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Read me" sheetId="2" r:id="rId5"/>
    <sheet name="Test Cases" sheetId="3" r:id="rId6"/>
  </sheets>
  <definedNames>
    <definedName name="_xlnm._FilterDatabase" localSheetId="2" hidden="1">'Test Cases'!$A$1:$N$76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<sst xmlns="http://schemas.openxmlformats.org/spreadsheetml/2006/main" uniqueCount="495">
  <si>
    <t>AfterShip Tracking: Test Summary</t>
  </si>
  <si>
    <t>Updates on its own from the Status column of the Test Cases sheet.</t>
  </si>
  <si>
    <t>Module</t>
  </si>
  <si>
    <t>Total</t>
  </si>
  <si>
    <t>Pass</t>
  </si>
  <si>
    <t>Fail</t>
  </si>
  <si>
    <t>Blocked</t>
  </si>
  <si>
    <t>N/A</t>
  </si>
  <si>
    <t>Not run</t>
  </si>
  <si>
    <t>% executed</t>
  </si>
  <si>
    <t>% pass</t>
  </si>
  <si>
    <t>Settings</t>
  </si>
  <si>
    <t>Courier list</t>
  </si>
  <si>
    <t>Add shipment</t>
  </si>
  <si>
    <t>Edit shipment</t>
  </si>
  <si>
    <t>Customer emails</t>
  </si>
  <si>
    <t>Webhook</t>
  </si>
  <si>
    <t>Sync command</t>
  </si>
  <si>
    <t>Staff alerts</t>
  </si>
  <si>
    <t>Cancellation</t>
  </si>
  <si>
    <t>Customer pages</t>
  </si>
  <si>
    <t>Security</t>
  </si>
  <si>
    <t>Error handling</t>
  </si>
  <si>
    <t>% pass = Pass / (Pass + Fail); Blocked and N/A are left out.</t>
  </si>
  <si>
    <t>By priority</t>
  </si>
  <si>
    <t>Priority</t>
  </si>
  <si>
    <t>Critical</t>
  </si>
  <si>
    <t>High</t>
  </si>
  <si>
    <t>Medium</t>
  </si>
  <si>
    <t>Low</t>
  </si>
  <si>
    <t>How to use this file</t>
  </si>
  <si>
    <t>What to fill in</t>
  </si>
  <si>
    <t>Only the yellow columns on Test Cases: Status, Actual result, Tester, Date tested. Everything else describes the test.</t>
  </si>
  <si>
    <t>Status values</t>
  </si>
  <si>
    <t>Not run, Pass, Fail, Blocked, N/A (pick from the dropdown). The Summary sheet counts them.</t>
  </si>
  <si>
    <t>Example of a filled row</t>
  </si>
  <si>
    <t>Status = Fail  |  Actual result = 'Customer received two shipped emails'  |  Tester = JD  |  Date tested = 2026-10-22</t>
  </si>
  <si>
    <t>Automated test</t>
  </si>
  <si>
    <t>The PHPUnit test that already covers the case (tests/Feature/AfterShipTrackingTest.php or tests/Isolated/AfterShipSettingsTest.php). 'Manual only' means no automated test, so check those by hand first.</t>
  </si>
  <si>
    <t>Before you start</t>
  </si>
  <si>
    <t>Test courier</t>
  </si>
  <si>
    <t>Outside production, use courier 'testing-courier' with numbers like ITD-&lt;minutes&gt;-&lt;6 to 16 digits&gt;, e.g. ITD-1-123456789. AfterShip moves it through Label created &gt; In transit &gt; Delivered on its own.</t>
  </si>
  <si>
    <t>API allowance</t>
  </si>
  <si>
    <t>The AfterShip account is on the free plan: 100 API calls a day (resets 04:37 UTC). Each save, refresh, courier-list fetch and Test connection uses one; webhooks are free. A full manual run uses roughly 20 to 30 calls. Never poll in a loop.</t>
  </si>
  <si>
    <t>Emails are real</t>
  </si>
  <si>
    <t>The local .env sends real email through Brevo. Use test customers whose inboxes you own; never use real customers.</t>
  </si>
  <si>
    <t>Queue worker</t>
  </si>
  <si>
    <t>Order emails go through the queue. Start it (php artisan queue:work) or emails stay queued. php artisan mail:check shows the state.</t>
  </si>
  <si>
    <t>Webhook tests</t>
  </si>
  <si>
    <t>AfterShip can only reach a public URL, so webhook cases run on live or staging, or locally by POSTing a signed body (header aftership-hmac-sha256 = base64 HMAC-SHA256 of the raw body with the webhook secret).</t>
  </si>
  <si>
    <t>Couriers</t>
  </si>
  <si>
    <t>Only couriers activated in AfterShip &gt; Settings &gt; Couriers can be chosen. Activate An Post and DPD Ireland there before testing them.</t>
  </si>
  <si>
    <t>Simulating failures</t>
  </si>
  <si>
    <t>Bad key: save a wrong key in Settings &gt; AfterShip, then restore it. Rate limits and outages are hard to cause by hand; the automated test for each is listed.</t>
  </si>
  <si>
    <t>TC ID</t>
  </si>
  <si>
    <t>Title</t>
  </si>
  <si>
    <t>Preconditions</t>
  </si>
  <si>
    <t>Steps</t>
  </si>
  <si>
    <t>Test data</t>
  </si>
  <si>
    <t>Expected result</t>
  </si>
  <si>
    <t>Type</t>
  </si>
  <si>
    <t>Status</t>
  </si>
  <si>
    <t>Actual result</t>
  </si>
  <si>
    <t>Tester</t>
  </si>
  <si>
    <t>Date tested</t>
  </si>
  <si>
    <t>AS-SET-01</t>
  </si>
  <si>
    <t>AfterShip tab opens</t>
  </si>
  <si>
    <t>Signed in as admin with Settings permission</t>
  </si>
  <si>
    <t>1. Go to Settings &gt; AfterShip</t>
  </si>
  <si>
    <t>-</t>
  </si>
  <si>
    <t>Page shows API key, Webhook, Delivery and status checks, and Test connection sections. Webhook URL ends in /api/v1/aftership/webhook.</t>
  </si>
  <si>
    <t>Positive</t>
  </si>
  <si>
    <t>Manual only</t>
  </si>
  <si>
    <t>AS-SET-02</t>
  </si>
  <si>
    <t>Save a new API key</t>
  </si>
  <si>
    <t>No key saved in admin (state reads 'Not set' or 'From the server .env')</t>
  </si>
  <si>
    <t>1. Enter a valid API key
2. Click Save
3. Reload the page</t>
  </si>
  <si>
    <t>Valid AfterShip API key</t>
  </si>
  <si>
    <t>Saved. Field is empty after reload; state reads 'Set here, ending in &lt;last 4&gt;'. The full key is never shown.</t>
  </si>
  <si>
    <t>AfterShipSettingsTest: a_saved_key_replaces_the_env_one</t>
  </si>
  <si>
    <t>AS-SET-03</t>
  </si>
  <si>
    <t>Blank key keeps the saved one</t>
  </si>
  <si>
    <t>A key is saved in admin</t>
  </si>
  <si>
    <t>1. Leave API key blank
2. Change another field (e.g. auto-deliver)
3. Save</t>
  </si>
  <si>
    <t>Saved key is unchanged (same last 4 characters).</t>
  </si>
  <si>
    <t>AfterShipSettingsTest: a_blank_key_keeps_the_saved_one</t>
  </si>
  <si>
    <t>AS-SET-04</t>
  </si>
  <si>
    <t>Switch back to the .env value</t>
  </si>
  <si>
    <t>1. Click 'Use the server .env value instead'
2. Save</t>
  </si>
  <si>
    <t>Before save the state reads 'Will switch back to the server .env value when you save'. After save it reads 'From the server .env, ending in ...' (or 'Not set').</t>
  </si>
  <si>
    <t>AfterShipSettingsTest: clear_goes_back_to_env</t>
  </si>
  <si>
    <t>AS-SET-05</t>
  </si>
  <si>
    <t>Secrets never returned by the API</t>
  </si>
  <si>
    <t>A key and webhook secret are saved</t>
  </si>
  <si>
    <t>1. Open browser DevTools &gt; Network
2. Load Settings &gt; AfterShip
3. Inspect the response of GET /api/admin/setting/aftership</t>
  </si>
  <si>
    <t>Response has only set / source / last 4 for each secret. No full key or secret anywhere.</t>
  </si>
  <si>
    <t>AfterShipSettingsTest: the_page_never_returns_a_secret</t>
  </si>
  <si>
    <t>AS-SET-06</t>
  </si>
  <si>
    <t>Test connection with a good key</t>
  </si>
  <si>
    <t>Valid key saved</t>
  </si>
  <si>
    <t>1. Click Test connection</t>
  </si>
  <si>
    <t>Shows 'Connected. N couriers are activated:' and lists them. Uses 1 API call.</t>
  </si>
  <si>
    <t>AfterShipSettingsTest: test_connection_lists_the_activated_couriers</t>
  </si>
  <si>
    <t>AS-SET-07</t>
  </si>
  <si>
    <t>Test connection with a bad key</t>
  </si>
  <si>
    <t>Save an invalid key (e.g. change one character)</t>
  </si>
  <si>
    <t>Invalid key</t>
  </si>
  <si>
    <t>A clear refusal message is shown, even if an old courier list is stored. Restore the good key afterwards.</t>
  </si>
  <si>
    <t>Negative</t>
  </si>
  <si>
    <t>AfterShipSettingsTest: test_connection_reports_a_rejected_key</t>
  </si>
  <si>
    <t>AS-SET-08</t>
  </si>
  <si>
    <t>Sync interval limits</t>
  </si>
  <si>
    <t>1. Enter 10 in 'Check each parcel every', Save
2. Enter 2000, Save
3. Enter 60, Save
4. Clear the field, Save</t>
  </si>
  <si>
    <t>10, 2000, 60, blank</t>
  </si>
  <si>
    <t>10 and 2000 are refused: 'Enter a whole number of minutes between 15 and 1440, or leave it blank for automatic.' 60 saves. Blank saves and shows 'Automatic (...)' (12 h with a webhook secret, 1 h without).</t>
  </si>
  <si>
    <t>Boundary</t>
  </si>
  <si>
    <t>AfterShipSettingsTest: a_check_interval_outside_the_limits_is_refused</t>
  </si>
  <si>
    <t>AS-SET-09</t>
  </si>
  <si>
    <t>Auto-deliver switched off</t>
  </si>
  <si>
    <t>Order On the way with a tracking</t>
  </si>
  <si>
    <t>1. Turn off 'Mark the order Delivered when the courier delivers it', Save
2. Courier reports Delivered (webhook or sync)</t>
  </si>
  <si>
    <t>Shipment shows Delivered, but the order stays On the way. Turn the switch back on afterwards.</t>
  </si>
  <si>
    <t>AfterShipSettingsTest: the_delivered_scan_can_be_switched_off</t>
  </si>
  <si>
    <t>AS-SET-10</t>
  </si>
  <si>
    <t>Admin without Settings permission</t>
  </si>
  <si>
    <t>Admin role without Settings permission</t>
  </si>
  <si>
    <t>1. Try to save Settings &gt; AfterShip (or POST /api/admin/setting/aftership)</t>
  </si>
  <si>
    <t>Save is refused. Nothing changes.</t>
  </si>
  <si>
    <t>AfterShipSettingsTest: an_admin_without_settings_permission_cannot_save</t>
  </si>
  <si>
    <t>AS-SET-11</t>
  </si>
  <si>
    <t>New key drops the old courier list</t>
  </si>
  <si>
    <t>Key A saved, courier list loaded</t>
  </si>
  <si>
    <t>1. Save key B (a different AfterShip account)
2. Open an order's courier picker</t>
  </si>
  <si>
    <t>Key B</t>
  </si>
  <si>
    <t>Courier list shows account B's activated couriers, not account A's.</t>
  </si>
  <si>
    <t>AfterShipSettingsTest: a_new_key_drops_the_old_accounts_courier_list</t>
  </si>
  <si>
    <t>AS-COU-01</t>
  </si>
  <si>
    <t>Only activated couriers offered</t>
  </si>
  <si>
    <t>Couriers activated in AfterShip &gt; Settings &gt; Couriers</t>
  </si>
  <si>
    <t>1. Open a Confirmed order
2. Click 'Search your AfterShip couriers' under Shipment tracking</t>
  </si>
  <si>
    <t>Only couriers activated in the AfterShip account appear (plus testing-courier outside production).</t>
  </si>
  <si>
    <t>AfterShipTrackingTest: only_couriers_activated_in_aftership_are_offered</t>
  </si>
  <si>
    <t>AS-COU-02</t>
  </si>
  <si>
    <t>Search the courier list</t>
  </si>
  <si>
    <t>Courier list loaded</t>
  </si>
  <si>
    <t>1. Type part of a courier name
2. Type a word that matches nothing</t>
  </si>
  <si>
    <t>'fed', 'zzzz'</t>
  </si>
  <si>
    <t>List filters to matching couriers. No match shows the 'no match' note.</t>
  </si>
  <si>
    <t>AS-COU-03</t>
  </si>
  <si>
    <t>Refresh courier list</t>
  </si>
  <si>
    <t>A courier was just activated in AfterShip</t>
  </si>
  <si>
    <t>1. Click 'Refresh courier list'</t>
  </si>
  <si>
    <t>The newly activated courier appears.</t>
  </si>
  <si>
    <t>AS-COU-04</t>
  </si>
  <si>
    <t>Courier not activated is refused</t>
  </si>
  <si>
    <t>A courier slug that is not activated in the account</t>
  </si>
  <si>
    <t>1. Send POST /api/admin/order/shipment with that slug (DevTools or Postman)</t>
  </si>
  <si>
    <t>courier = an inactive slug</t>
  </si>
  <si>
    <t>Refused on the Courier field: 'That courier is not activated in your AfterShip account...'. No AfterShip call made.</t>
  </si>
  <si>
    <t>AfterShipTrackingTest: a_courier_aftership_lists_but_the_account_has_not_activated_is_refused</t>
  </si>
  <si>
    <t>AS-COU-05</t>
  </si>
  <si>
    <t>Courier list when AfterShip is down</t>
  </si>
  <si>
    <t>List fetched once before; then AfterShip blocked (bad key or no network)</t>
  </si>
  <si>
    <t>1. Open the courier picker</t>
  </si>
  <si>
    <t>The stored list is still shown. With no stored list, a clear error appears instead.</t>
  </si>
  <si>
    <t>AfterShipTrackingTest: a_stale_copy_is_used_when_aftership_is_down</t>
  </si>
  <si>
    <t>AS-COU-06</t>
  </si>
  <si>
    <t>Test courier hidden in production</t>
  </si>
  <si>
    <t>APP_ENV=production</t>
  </si>
  <si>
    <t>1. Open the courier picker
2. Try to save testing-courier through the API</t>
  </si>
  <si>
    <t>testing-courier is not listed, and saving it is refused.</t>
  </si>
  <si>
    <t>AfterShipTrackingTest: the_test_courier_is_hidden_and_refused_where_not_allowed</t>
  </si>
  <si>
    <t>AS-COU-07</t>
  </si>
  <si>
    <t>Courier needing a postcode</t>
  </si>
  <si>
    <t>A courier whose required fields include a postcode; order address has one</t>
  </si>
  <si>
    <t>1. Pick that courier
2. Save a tracking number</t>
  </si>
  <si>
    <t>A note shows the fields filled from the order. Save succeeds.</t>
  </si>
  <si>
    <t>AfterShipTrackingTest: a_courier_needing_a_postcode_gets_it_from_the_order</t>
  </si>
  <si>
    <t>AS-COU-08</t>
  </si>
  <si>
    <t>Courier needing a postcode, order has none</t>
  </si>
  <si>
    <t>Same courier; order address has no postcode</t>
  </si>
  <si>
    <t>1. Pick the courier
2. Save</t>
  </si>
  <si>
    <t>Refused: '&lt;Courier&gt; also needs: ...'. Nothing saved.</t>
  </si>
  <si>
    <t>AfterShipTrackingTest: a_courier_needing_a_postcode_is_refused_when_the_order_has_none</t>
  </si>
  <si>
    <t>AS-COU-09</t>
  </si>
  <si>
    <t>Courier needing account number or key</t>
  </si>
  <si>
    <t>A courier that needs an account number or tracking key</t>
  </si>
  <si>
    <t>1. Pick the courier
2. Leave the extra field empty, Save
3. Enter a value with a symbol, Save
4. Enter a valid value, Save</t>
  </si>
  <si>
    <t>'ABC#1', then 'ABC123'</t>
  </si>
  <si>
    <t>Empty: '&lt;Courier&gt; also needs: ...'. Symbol: 'The courier account number is letters and digits only.' Valid value saves.</t>
  </si>
  <si>
    <t>AfterShipTrackingTest: account_number_and_key_are_asked_of_the_admin</t>
  </si>
  <si>
    <t>AS-SHP-01</t>
  </si>
  <si>
    <t>Add tracking to a Confirmed order</t>
  </si>
  <si>
    <t>Order Confirmed, home delivery, customer email is a test inbox you own</t>
  </si>
  <si>
    <t>1. Open the order
2. Pick a courier
3. Enter the tracking number
4. Click 'Save &amp; notify customer'</t>
  </si>
  <si>
    <t>testing-courier, ITD-1-123456789</t>
  </si>
  <si>
    <t>Shipment shows courier, number and 'Awaiting courier scan'. Order moves to On the way. Customer gets ONE shipped email with courier, number and a 'Track your parcel' button.</t>
  </si>
  <si>
    <t>AfterShipTrackingTest: saving_a_shipment_registers_it_ships_the_order_and_emails_the_link_once</t>
  </si>
  <si>
    <t>AS-SHP-02</t>
  </si>
  <si>
    <t>Add tracking to a Picked up order</t>
  </si>
  <si>
    <t>Order Picked up</t>
  </si>
  <si>
    <t>Same steps as above</t>
  </si>
  <si>
    <t>testing-courier, ITD-2-223456789</t>
  </si>
  <si>
    <t>Same result as for a Confirmed order.</t>
  </si>
  <si>
    <t>AS-SHP-03</t>
  </si>
  <si>
    <t>Add tracking to an order already On the way</t>
  </si>
  <si>
    <t>Order already On the way, no shipment yet</t>
  </si>
  <si>
    <t>1. Add courier + number
2. Save</t>
  </si>
  <si>
    <t>Customer gets ONE 'tracking added' email, not the shipped email again. Order status unchanged.</t>
  </si>
  <si>
    <t>AfterShipTrackingTest: an_order_already_on_its_way_gets_one_tracking_email</t>
  </si>
  <si>
    <t>AS-SHP-04</t>
  </si>
  <si>
    <t>Double click / same details again</t>
  </si>
  <si>
    <t>A shipment was just saved</t>
  </si>
  <si>
    <t>1. Save the exact same courier + number again (or double click Save)</t>
  </si>
  <si>
    <t>No second AfterShip call, no second email, no error. A save made while the first is still running is refused: 'This shipment is already being saved. Wait a moment, then reload the order.'</t>
  </si>
  <si>
    <t>AfterShipTrackingTest: resubmitting_the_same_shipment / a_second_save_while_the_first_is_running_is_refused</t>
  </si>
  <si>
    <t>AS-SHP-05</t>
  </si>
  <si>
    <t>Number with spaces and lower case</t>
  </si>
  <si>
    <t>1. Enter the number with spaces and lower-case letters
2. Save</t>
  </si>
  <si>
    <t>'itd 1 123456789'</t>
  </si>
  <si>
    <t>Saved in upper case with the spaces removed. Re-saving the spaced version counts as the same number.</t>
  </si>
  <si>
    <t>AS-SHP-06</t>
  </si>
  <si>
    <t>Invalid tracking number format</t>
  </si>
  <si>
    <t>Enter each value and Save</t>
  </si>
  <si>
    <t>'ab1' (too short), 'ABCDEFG' (no digit), 'AB--12', 'AB_12#', 65+ characters</t>
  </si>
  <si>
    <t>Each one refused, e.g. 'Enter the tracking number as printed on the label: letters and digits, at least one digit, single dashes or spaces between groups.' No AfterShip call.</t>
  </si>
  <si>
    <t>AfterShipTrackingTest: malformed_tracking_numbers_are_refused_before_aftership_is_called</t>
  </si>
  <si>
    <t>AS-SHP-07</t>
  </si>
  <si>
    <t>No courier chosen</t>
  </si>
  <si>
    <t>1. Enter a number, leave the courier empty
2. Save</t>
  </si>
  <si>
    <t>Refused: 'Choose a courier from the list.'</t>
  </si>
  <si>
    <t>AfterShipTrackingTest: a_courier_outside_the_list_is_refused</t>
  </si>
  <si>
    <t>AS-SHP-08</t>
  </si>
  <si>
    <t>Number AfterShip rejects</t>
  </si>
  <si>
    <t>1. Save a number in the wrong format for the chosen courier</t>
  </si>
  <si>
    <t>AfterShip's reason shown on the tracking number field. Nothing saved, order status unchanged, no email.</t>
  </si>
  <si>
    <t>AfterShipTrackingTest: a_number_aftership_rejects_shows_its_reason_and_saves_nothing</t>
  </si>
  <si>
    <t>AS-SHP-09</t>
  </si>
  <si>
    <t>Pending order refused</t>
  </si>
  <si>
    <t>Order Pending</t>
  </si>
  <si>
    <t>1. Try to add a shipment</t>
  </si>
  <si>
    <t>Refused: 'Only a confirmed, picked up or on-the-way order can be given a shipment. Confirm the order first.'</t>
  </si>
  <si>
    <t>AfterShipTrackingTest: pending_or_finished_orders_cannot_be_given_a_shipment</t>
  </si>
  <si>
    <t>AS-SHP-10</t>
  </si>
  <si>
    <t>Closed orders refused</t>
  </si>
  <si>
    <t>Orders that are Delivered, Cancelled, Returned and Refunded</t>
  </si>
  <si>
    <t>1. Try to add a shipment to each</t>
  </si>
  <si>
    <t>Each refused with the same message. No email.</t>
  </si>
  <si>
    <t>AS-SHP-11</t>
  </si>
  <si>
    <t>Click &amp; Collect order refused</t>
  </si>
  <si>
    <t>Order with Click &amp; Collect shipping</t>
  </si>
  <si>
    <t>Refused: 'This is a Click &amp; Collect order; there is no parcel to track.'</t>
  </si>
  <si>
    <t>AS-SHP-12</t>
  </si>
  <si>
    <t>Tracking AfterShip already holds</t>
  </si>
  <si>
    <t>The courier + number already exists in AfterShip (e.g. added there by hand)</t>
  </si>
  <si>
    <t>1. Save that courier + number on the order</t>
  </si>
  <si>
    <t>The existing AfterShip tracking is adopted, not duplicated. If it is already Delivered there, the order moves to Delivered.</t>
  </si>
  <si>
    <t>AfterShipTrackingTest: a_tracking_aftership_already_holds_is_adopted_not_duplicated</t>
  </si>
  <si>
    <t>AS-SHP-13</t>
  </si>
  <si>
    <t>Copy number and open tracking</t>
  </si>
  <si>
    <t>Shipment saved</t>
  </si>
  <si>
    <t>1. Click copy next to the number
2. Click 'Open tracking page'</t>
  </si>
  <si>
    <t>Number copied to the clipboard. The courier's tracking page opens in a new tab.</t>
  </si>
  <si>
    <t>UI</t>
  </si>
  <si>
    <t>AS-SHP-14</t>
  </si>
  <si>
    <t>Admin refresh</t>
  </si>
  <si>
    <t>1. Click Refresh on the shipment</t>
  </si>
  <si>
    <t>Status re-read from AfterShip; 'last checked' time updates. On failure the error is shown on the shipment.</t>
  </si>
  <si>
    <t>AfterShipTrackingTest: admin_refresh_reads_aftership_and_records_a_failure_on_the_row</t>
  </si>
  <si>
    <t>AS-EDT-01</t>
  </si>
  <si>
    <t>Correct the tracking number</t>
  </si>
  <si>
    <t>Shipment saved, customer already emailed</t>
  </si>
  <si>
    <t>1. Click Edit
2. Enter a different number
3. Save</t>
  </si>
  <si>
    <t>testing-courier, ITD-1-987654321</t>
  </si>
  <si>
    <t>Shipment shows the new number. Customer is NOT emailed again; their existing link shows the new details. Old tracking removed from AfterShip.</t>
  </si>
  <si>
    <t>AfterShipTrackingTest: correcting_a_shipment_never_emails_the_customer_again / a_corrected_number_removes_the_old_tracking</t>
  </si>
  <si>
    <t>AS-EDT-02</t>
  </si>
  <si>
    <t>Correct the courier</t>
  </si>
  <si>
    <t>1. Click Edit
2. Choose a different courier, same number
3. Save</t>
  </si>
  <si>
    <t>Saved with the new courier. No new customer email.</t>
  </si>
  <si>
    <t>AS-EDT-03</t>
  </si>
  <si>
    <t>Old number shared with another order</t>
  </si>
  <si>
    <t>Two orders use the same courier + number</t>
  </si>
  <si>
    <t>1. Correct the number on one of them</t>
  </si>
  <si>
    <t>The other order keeps its tracking; the old tracking is NOT deleted from AfterShip.</t>
  </si>
  <si>
    <t>Edge</t>
  </si>
  <si>
    <t>AfterShipTrackingTest: a_corrected_number_removes_the_old_tracking_unless_another_order_shares_it</t>
  </si>
  <si>
    <t>AS-EDT-04</t>
  </si>
  <si>
    <t>Cancel the edit</t>
  </si>
  <si>
    <t>1. Click Edit
2. Change the fields
3. Click Cancel</t>
  </si>
  <si>
    <t>The form closes; the saved shipment is unchanged.</t>
  </si>
  <si>
    <t>AS-EML-01</t>
  </si>
  <si>
    <t>Shipped email content</t>
  </si>
  <si>
    <t>Shipment just saved on a Confirmed order</t>
  </si>
  <si>
    <t>1. Open the email in the test inbox
2. Click 'Track your parcel'</t>
  </si>
  <si>
    <t>Email shows courier name and tracking number. The button opens /track-order with the signed link and shows the full parcel.</t>
  </si>
  <si>
    <t>AS-EML-02</t>
  </si>
  <si>
    <t>Out for delivery email</t>
  </si>
  <si>
    <t>Order On the way</t>
  </si>
  <si>
    <t>1. Courier reports OutForDelivery (webhook or sync)
2. Send the same status again</t>
  </si>
  <si>
    <t>Customer gets ONE 'out for delivery' email. The repeat sends nothing.</t>
  </si>
  <si>
    <t>AfterShipTrackingTest: out_for_delivery_and_a_failed_attempt_each_email_the_customer_once</t>
  </si>
  <si>
    <t>AS-EML-03</t>
  </si>
  <si>
    <t>Delivery attempt failed email</t>
  </si>
  <si>
    <t>1. Courier reports AttemptFail</t>
  </si>
  <si>
    <t>Customer gets ONE 'delivery attempt failed' email. A staff alert is sent too.</t>
  </si>
  <si>
    <t>AS-EML-04</t>
  </si>
  <si>
    <t>Ready for pickup email</t>
  </si>
  <si>
    <t>1. Courier reports AvailableForPickup</t>
  </si>
  <si>
    <t>Customer gets ONE 'ready for pickup' email.</t>
  </si>
  <si>
    <t>AfterShipTrackingTest: ready_for_pickup_emails_the_customer_once</t>
  </si>
  <si>
    <t>AS-EML-05</t>
  </si>
  <si>
    <t>Delivered by the courier</t>
  </si>
  <si>
    <t>Auto-deliver ON, order On the way</t>
  </si>
  <si>
    <t>1. Courier reports Delivered
2. Send Delivered again</t>
  </si>
  <si>
    <t>Order moves to Delivered once (changed by 'aftership') with the usual delivered email, loyalty points and cash-on-delivery paid stamp. The repeat changes nothing.</t>
  </si>
  <si>
    <t>AfterShipTrackingTest: webhook_updates_status_keeps_only_town_level_places_and_delivers_the_order_once</t>
  </si>
  <si>
    <t>AS-EML-06</t>
  </si>
  <si>
    <t>No emails for a closed order</t>
  </si>
  <si>
    <t>Order Cancelled after its shipment was saved</t>
  </si>
  <si>
    <t>1. Courier reports OutForDelivery, then AttemptFail</t>
  </si>
  <si>
    <t>No customer email and no staff alert.</t>
  </si>
  <si>
    <t>AfterShipTrackingTest: no_alerts_or_customer_emails_for_a_cancelled_order</t>
  </si>
  <si>
    <t>AS-EML-07</t>
  </si>
  <si>
    <t>AfterShip sends no emails of its own</t>
  </si>
  <si>
    <t>1. Check the customer inbox for mail from AfterShip</t>
  </si>
  <si>
    <t>No AfterShip-branded emails arrive.</t>
  </si>
  <si>
    <t>AS-EML-08</t>
  </si>
  <si>
    <t>Emails need the queue worker</t>
  </si>
  <si>
    <t>Queue worker stopped</t>
  </si>
  <si>
    <t>1. Save a shipment
2. Run php artisan mail:check
3. Start the queue worker</t>
  </si>
  <si>
    <t>The email waits in the queue and mail:check flags the stalled worker. Once the worker starts, the email is sent.</t>
  </si>
  <si>
    <t>AS-WHK-01</t>
  </si>
  <si>
    <t>Webhook with no secret configured</t>
  </si>
  <si>
    <t>No webhook secret saved, none in .env</t>
  </si>
  <si>
    <t>1. POST any body to /api/v1/aftership/webhook</t>
  </si>
  <si>
    <t>HTTP 503, {"received": false}.</t>
  </si>
  <si>
    <t>AfterShipTrackingTest: webhook_refuses_unsigned_badly_signed_and_unconfigured_calls</t>
  </si>
  <si>
    <t>AS-WHK-02</t>
  </si>
  <si>
    <t>Missing or bad signature</t>
  </si>
  <si>
    <t>Webhook secret set</t>
  </si>
  <si>
    <t>1. POST without the aftership-hmac-sha256 header
2. POST with a wrong header value</t>
  </si>
  <si>
    <t>HTTP 401, {"received": false}. Warning logged. Nothing updated.</t>
  </si>
  <si>
    <t>AS-WHK-03</t>
  </si>
  <si>
    <t>Valid webhook updates the shipment</t>
  </si>
  <si>
    <t>Secret set here and the URL added in AfterShip &gt; Settings &gt; Webhooks</t>
  </si>
  <si>
    <t>1. Save a test-courier shipment
2. Wait for it to move InfoReceived &gt; InTransit &gt; Delivered</t>
  </si>
  <si>
    <t>testing-courier, ITD-&lt;mins&gt;-&lt;6-16 digits&gt;</t>
  </si>
  <si>
    <t>HTTP 200, {"received": true, "updated": 1} for each. The admin screen shows each status. Places are town-level only.</t>
  </si>
  <si>
    <t>AS-WHK-04</t>
  </si>
  <si>
    <t>Tracking not on any order</t>
  </si>
  <si>
    <t>1. Send a correctly signed webhook for a number on no order</t>
  </si>
  <si>
    <t>HTTP 200, {"received": true, "updated": 0}. Nothing changes.</t>
  </si>
  <si>
    <t>AfterShipTrackingTest: webhook_for_a_tracking_we_do_not_hold_is_acknowledged_and_ignored</t>
  </si>
  <si>
    <t>AS-WHK-05</t>
  </si>
  <si>
    <t>Older update arrives late</t>
  </si>
  <si>
    <t>Shipment at In transit</t>
  </si>
  <si>
    <t>1. Replay an older (InfoReceived) signed webhook</t>
  </si>
  <si>
    <t>Status stays In transit.</t>
  </si>
  <si>
    <t>AfterShipTrackingTest: an_older_webhook_never_overwrites_a_newer_status</t>
  </si>
  <si>
    <t>AS-WHK-06</t>
  </si>
  <si>
    <t>Delivered after cancel</t>
  </si>
  <si>
    <t>Order Cancelled</t>
  </si>
  <si>
    <t>1. Send a Delivered webhook for its tracking</t>
  </si>
  <si>
    <t>Order stays Cancelled.</t>
  </si>
  <si>
    <t>AfterShipTrackingTest: delivered_scan_never_revives_a_cancelled_order</t>
  </si>
  <si>
    <t>AS-SYN-01</t>
  </si>
  <si>
    <t>Sync refreshes stale shipments</t>
  </si>
  <si>
    <t>Shipments in flight, last checked longer ago than the interval</t>
  </si>
  <si>
    <t>1. Run php artisan aftership:sync</t>
  </si>
  <si>
    <t>Stale shipments updated from AfterShip. Delivered, returned and refunded orders skipped.</t>
  </si>
  <si>
    <t>AfterShipTrackingTest: sync_command_refreshes_stale_in_flight_shipments_from_aftership</t>
  </si>
  <si>
    <t>AS-SYN-02</t>
  </si>
  <si>
    <t>Interval follows the webhook</t>
  </si>
  <si>
    <t>Sync interval left blank (automatic)</t>
  </si>
  <si>
    <t>1. Run sync with a webhook secret set
2. Run sync with none</t>
  </si>
  <si>
    <t>With a secret, each shipment is checked every 12 h. Without one, every 1 h.</t>
  </si>
  <si>
    <t>AfterShipTrackingTest: the_sync_checks_every_12h_with_a_webhook_and_hourly_without</t>
  </si>
  <si>
    <t>AS-SYN-03</t>
  </si>
  <si>
    <t>Daily API allowance used up</t>
  </si>
  <si>
    <t>AfterShip answers with its daily-limit 429</t>
  </si>
  <si>
    <t>1. Save a shipment
2. Run sync</t>
  </si>
  <si>
    <t>Reported as the daily allowance being used up (not 'AfterShip unreachable'). Not retried; sync stops.</t>
  </si>
  <si>
    <t>AfterShipTrackingTest: a_spent_daily_allowance_is_reported_as_such_and_not_retried</t>
  </si>
  <si>
    <t>AS-SYN-04</t>
  </si>
  <si>
    <t>Short rate limit retried once</t>
  </si>
  <si>
    <t>AfterShip answers one short 429</t>
  </si>
  <si>
    <t>1. Save a shipment</t>
  </si>
  <si>
    <t>Retried once and saved. If the limit persists, a clear message is shown and nothing is saved.</t>
  </si>
  <si>
    <t>AfterShipTrackingTest: a_rate_limited_create_is_retried_once_then_succeeds</t>
  </si>
  <si>
    <t>AS-ALR-01</t>
  </si>
  <si>
    <t>No scan 48 hours after entry</t>
  </si>
  <si>
    <t>Tracking entered 48+ h ago, still Awaiting courier scan</t>
  </si>
  <si>
    <t>1. Run php artisan aftership:sync
2. Run it again</t>
  </si>
  <si>
    <t>ONE email to the support address and a warning on the admin order screen. The second run sends nothing.</t>
  </si>
  <si>
    <t>AfterShipTrackingTest: a_parcel_with_no_courier_scan_after_48_hours_alerts_staff_once</t>
  </si>
  <si>
    <t>AS-ALR-02</t>
  </si>
  <si>
    <t>AttemptFail, Exception, Expired</t>
  </si>
  <si>
    <t>1. Courier reports each status in turn</t>
  </si>
  <si>
    <t>ONE staff email per reason, and the matching warning on the order screen.</t>
  </si>
  <si>
    <t>AfterShipTrackingTest: a_failed_attempt_and_an_exception_alert_staff_once_each</t>
  </si>
  <si>
    <t>AS-ALR-03</t>
  </si>
  <si>
    <t>Wrong or unrecognised courier</t>
  </si>
  <si>
    <t>A number saved under the wrong courier</t>
  </si>
  <si>
    <t>1. AfterShip reports Pending_004, Pending_006 or Pending_002</t>
  </si>
  <si>
    <t>Alert raised at once, with no 48 h wait, e.g. 'AfterShip says this tracking number does not belong to the selected courier...'.</t>
  </si>
  <si>
    <t>AfterShipTrackingTest: a_wrong_or_unrecognised_courier_is_flagged_and_alerted_at_once</t>
  </si>
  <si>
    <t>AS-ALR-04</t>
  </si>
  <si>
    <t>Order delivered by hand</t>
  </si>
  <si>
    <t>Staff set the order to Delivered; no courier scan</t>
  </si>
  <si>
    <t>1. Run sync 48+ h after the number was entered</t>
  </si>
  <si>
    <t>No 'no scan' alert or warning.</t>
  </si>
  <si>
    <t>AfterShipTrackingTest: no_scan_is_neither_alerted_nor_shown_for_an_order_delivered_by_hand</t>
  </si>
  <si>
    <t>AS-CAN-01</t>
  </si>
  <si>
    <t>Cancel before the courier scan</t>
  </si>
  <si>
    <t>Shipment at Awaiting courier scan or Label created</t>
  </si>
  <si>
    <t>1. Cancel the order</t>
  </si>
  <si>
    <t>Tracking removed from AfterShip. Shipment note: 'Order cancelled before the courier scanned the parcel; tracking removed from AfterShip.'</t>
  </si>
  <si>
    <t>AfterShipTrackingTest: cancelling_before_the_courier_scan_removes_the_tracking_from_aftership</t>
  </si>
  <si>
    <t>AS-CAN-02</t>
  </si>
  <si>
    <t>Cancel after a scan</t>
  </si>
  <si>
    <t>Shipment In transit</t>
  </si>
  <si>
    <t>Tracking kept in AfterShip so the return can be followed.</t>
  </si>
  <si>
    <t>AfterShipTrackingTest: cancelling_after_a_scan_keeps_tracking_so_the_return_can_be_followed</t>
  </si>
  <si>
    <t>AS-CAN-03</t>
  </si>
  <si>
    <t>Cancel while AfterShip is down</t>
  </si>
  <si>
    <t>AfterShip unreachable</t>
  </si>
  <si>
    <t>Cancellation succeeds anyway.</t>
  </si>
  <si>
    <t>AfterShipTrackingTest: aftership_being_down_never_blocks_a_cancellation</t>
  </si>
  <si>
    <t>AS-CUS-01</t>
  </si>
  <si>
    <t>Track order with the emailed link</t>
  </si>
  <si>
    <t>Shipped email received</t>
  </si>
  <si>
    <t>1. Click 'Track your parcel'</t>
  </si>
  <si>
    <t>/track-order shows courier, status, the full tracking number and the scan history.</t>
  </si>
  <si>
    <t>AfterShipTrackingTest: public_tracking_shows_courier_and_status_but_the_number_and_trail_need_the_signed_link</t>
  </si>
  <si>
    <t>AS-CUS-02</t>
  </si>
  <si>
    <t>Track order without the signed link</t>
  </si>
  <si>
    <t>Signed out</t>
  </si>
  <si>
    <t>1. Open /track-order and look the order up without the t parameter</t>
  </si>
  <si>
    <t>Courier and status only. Tracking number masked, no scan history, no prices.</t>
  </si>
  <si>
    <t>AS-CUS-03</t>
  </si>
  <si>
    <t>Tampered link</t>
  </si>
  <si>
    <t>1. Change one character of t in the emailed link</t>
  </si>
  <si>
    <t>Treated as unsigned: number masked, no history.</t>
  </si>
  <si>
    <t>AS-CUS-04</t>
  </si>
  <si>
    <t>My order page shows the parcel</t>
  </si>
  <si>
    <t>Signed in as the order's owner</t>
  </si>
  <si>
    <t>1. Account &gt; My orders &gt; open the order</t>
  </si>
  <si>
    <t>Parcel shows courier, number, status and history.</t>
  </si>
  <si>
    <t>AfterShipTrackingTest: my_order_page_gets_the_full_parcel_for_its_owner_only</t>
  </si>
  <si>
    <t>AS-CUS-05</t>
  </si>
  <si>
    <t>Another customer's order</t>
  </si>
  <si>
    <t>Signed in as a different customer</t>
  </si>
  <si>
    <t>1. Open the first customer's order URL</t>
  </si>
  <si>
    <t>Parcel details not shown.</t>
  </si>
  <si>
    <t>AS-CUS-06</t>
  </si>
  <si>
    <t>Status labels</t>
  </si>
  <si>
    <t>Shipments in each status</t>
  </si>
  <si>
    <t>1. View the customer page for each status</t>
  </si>
  <si>
    <t>Labels: Awaiting courier scan, Label created, In transit, Out for delivery, Delivery attempt failed, Delivered, Ready for pickup, Delivery problem, No recent updates. A message that repeats the status is not shown twice.</t>
  </si>
  <si>
    <t>AfterShipTrackingTest: a_status_message_that_repeats_the_status_is_not_shown_twice</t>
  </si>
  <si>
    <t>AS-SEC-01</t>
  </si>
  <si>
    <t>Shipment endpoints need an admin</t>
  </si>
  <si>
    <t>Signed out, or signed in as a customer</t>
  </si>
  <si>
    <t>1. Call POST /api/admin/order/shipment, POST shipment-refresh/{id} and GET shipment-couriers</t>
  </si>
  <si>
    <t>All refused.</t>
  </si>
  <si>
    <t>AfterShipTrackingTest: the_shipment_endpoints_need_an_admin / the_courier_endpoints_need_an_admin</t>
  </si>
  <si>
    <t>AS-SEC-02</t>
  </si>
  <si>
    <t>API key never sent to the browser</t>
  </si>
  <si>
    <t>Admin order screen open</t>
  </si>
  <si>
    <t>1. Inspect the order and courier responses in DevTools</t>
  </si>
  <si>
    <t>No AfterShip API key or webhook secret in any response.</t>
  </si>
  <si>
    <t>AfterShipTrackingTest: admin_order_screen_gets_the_shipment_and_courier_list_but_never_the_key</t>
  </si>
  <si>
    <t>AS-SEC-03</t>
  </si>
  <si>
    <t>No private data sent to AfterShip</t>
  </si>
  <si>
    <t>1. Open the tracking in the AfterShip dashboard</t>
  </si>
  <si>
    <t>Town-level destination and origin only. No customer name, email, phone or Eircode.</t>
  </si>
  <si>
    <t>AfterShipTrackingTest: town_level_destination_and_origin_are_sent_but_never_the_eircode_or_personal_details</t>
  </si>
  <si>
    <t>AS-ERR-01</t>
  </si>
  <si>
    <t>Bad key, outage, unreachable</t>
  </si>
  <si>
    <t>A bad key saved, or the network blocked</t>
  </si>
  <si>
    <t>A plain message on the Courier field (key refused / AfterShip down / unreachable). Nothing saved, no email.</t>
  </si>
  <si>
    <t>AfterShipTrackingTest: unsupported_courier_bad_key_outage_and_unreachable_are_reported_plainly</t>
  </si>
  <si>
    <t>AS-ERR-02</t>
  </si>
  <si>
    <t>Order cancelled during the save</t>
  </si>
  <si>
    <t>Two admins: one saves the shipment while the other cancels the order</t>
  </si>
  <si>
    <t>1. Save and cancel at the same moment</t>
  </si>
  <si>
    <t>'The order was closed while the shipment was being saved, so the customer was not told. Reload the order.' Tracking removed.</t>
  </si>
  <si>
    <t>AfterShipTrackingTest: an_order_cancelled_while_aftership_is_called_is_not_told_and_its_tracking_is_removed</t>
  </si>
  <si>
    <t>AS-ERR-03</t>
  </si>
  <si>
    <t>Half-finished save</t>
  </si>
  <si>
    <t>A save stored the shipment but failed before moving the order</t>
  </si>
  <si>
    <t>1. Click Save again</t>
  </si>
  <si>
    <t>The retry finishes the job: order moves to On the way, one email sent.</t>
  </si>
  <si>
    <t>AfterShipTrackingTest: a_save_that_stored_the_row_but_did_not_ship_the_order_is_finished_by_the_retry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</si>
</sst>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ED7D31"/>
      <name val="Arial"/>
    </font>
    <font>
      <b val="1"/>
      <i val="0"/>
      <strike val="0"/>
      <u val="none"/>
      <sz val="10"/>
      <color rgb="FFC00000"/>
      <name val="Arial"/>
    </font>
    <font>
      <b val="1"/>
      <i val="0"/>
      <strike val="0"/>
      <u val="none"/>
      <sz val="14"/>
      <color rgb="FF000000"/>
      <name val="Arial"/>
    </font>
    <font>
      <b val="0"/>
      <i val="1"/>
      <strike val="0"/>
      <u val="none"/>
      <sz val="9"/>
      <color rgb="FF595959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  <xf xfId="0" fontId="2" numFmtId="0" fillId="0" borderId="1" applyFont="1" applyNumberFormat="0" applyFill="0" applyBorder="1" applyAlignment="1">
      <alignment vertical="top" textRotation="0" wrapText="true" shrinkToFit="false"/>
    </xf>
    <xf xfId="0" fontId="3" numFmtId="0" fillId="0" borderId="1" applyFont="1" applyNumberFormat="0" applyFill="0" applyBorder="1" applyAlignment="1">
      <alignment vertical="top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164" fillId="3" borderId="1" applyFont="0" applyNumberFormat="1" applyFill="1" applyBorder="1" applyAlignment="1">
      <alignment vertical="top" textRotation="0" wrapText="tru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9" fillId="0" borderId="1" applyFont="0" applyNumberFormat="1" applyFill="0" applyBorder="1" applyAlignment="1">
      <alignment horizontal="center" vertical="bottom" textRotation="0" wrapText="false" shrinkToFit="false"/>
    </xf>
    <xf xfId="0" fontId="6" numFmtId="0" fillId="0" borderId="1" applyFont="1" applyNumberFormat="0" applyFill="0" applyBorder="1" applyAlignment="0"/>
    <xf xfId="0" fontId="6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9" fillId="0" borderId="1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0" fillId="3" borderId="0" applyFont="0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3">
    <dxf>
      <fill>
        <patternFill patternType="solid">
          <bgColor rgb="FFC6EFCE"/>
        </patternFill>
      </fill>
      <border/>
    </dxf>
    <dxf>
      <fill>
        <patternFill patternType="solid">
          <bgColor rgb="FFFFC7CE"/>
        </patternFill>
      </fill>
      <border/>
    </dxf>
    <dxf>
      <fill>
        <patternFill patternType="solid">
          <bgColor rgb="FFFFEB9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"/>
  <sheetViews>
    <sheetView tabSelected="1" workbookViewId="0" showGridLines="true" showRowColHeaders="1">
      <selection activeCell="C25" sqref="C25"/>
    </sheetView>
  </sheetViews>
  <sheetFormatPr defaultRowHeight="14.4" outlineLevelRow="0" outlineLevelCol="0"/>
  <cols>
    <col min="1" max="1" width="20" customWidth="true" style="0"/>
    <col min="2" max="2" width="11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</cols>
  <sheetData>
    <row r="1" spans="1:9">
      <c r="A1" s="8" t="s">
        <v>0</v>
      </c>
    </row>
    <row r="2" spans="1:9">
      <c r="A2" s="9" t="s">
        <v>1</v>
      </c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s="2" t="s">
        <v>11</v>
      </c>
      <c r="B5" s="10">
        <f>COUNTIF('Test Cases'!$B$2:$B$76,A5)</f>
        <v>11</v>
      </c>
      <c r="C5" s="10">
        <f>_xlfn.COUNTIFS('Test Cases'!$B$2:$B$76,$A5,'Test Cases'!$J$2:$J$76,"Pass")</f>
        <v>0</v>
      </c>
      <c r="D5" s="10">
        <f>_xlfn.COUNTIFS('Test Cases'!$B$2:$B$76,$A5,'Test Cases'!$J$2:$J$76,"Fail")</f>
        <v>0</v>
      </c>
      <c r="E5" s="10">
        <f>_xlfn.COUNTIFS('Test Cases'!$B$2:$B$76,$A5,'Test Cases'!$J$2:$J$76,"Blocked")</f>
        <v>0</v>
      </c>
      <c r="F5" s="10">
        <f>_xlfn.COUNTIFS('Test Cases'!$B$2:$B$76,$A5,'Test Cases'!$J$2:$J$76,"N/A")</f>
        <v>0</v>
      </c>
      <c r="G5" s="10">
        <f>_xlfn.COUNTIFS('Test Cases'!$B$2:$B$76,$A5,'Test Cases'!$J$2:$J$76,"Not run")</f>
        <v>11</v>
      </c>
      <c r="H5" s="11">
        <f>IF(B5=0,0,(B5-G5)/B5)</f>
        <v>0</v>
      </c>
      <c r="I5" s="11">
        <f>IF((C5+D5)=0,0,C5/(C5+D5))</f>
        <v>0</v>
      </c>
    </row>
    <row r="6" spans="1:9">
      <c r="A6" s="2" t="s">
        <v>12</v>
      </c>
      <c r="B6" s="10">
        <f>COUNTIF('Test Cases'!$B$2:$B$76,A6)</f>
        <v>9</v>
      </c>
      <c r="C6" s="10">
        <f>_xlfn.COUNTIFS('Test Cases'!$B$2:$B$76,$A6,'Test Cases'!$J$2:$J$76,"Pass")</f>
        <v>0</v>
      </c>
      <c r="D6" s="10">
        <f>_xlfn.COUNTIFS('Test Cases'!$B$2:$B$76,$A6,'Test Cases'!$J$2:$J$76,"Fail")</f>
        <v>0</v>
      </c>
      <c r="E6" s="10">
        <f>_xlfn.COUNTIFS('Test Cases'!$B$2:$B$76,$A6,'Test Cases'!$J$2:$J$76,"Blocked")</f>
        <v>0</v>
      </c>
      <c r="F6" s="10">
        <f>_xlfn.COUNTIFS('Test Cases'!$B$2:$B$76,$A6,'Test Cases'!$J$2:$J$76,"N/A")</f>
        <v>0</v>
      </c>
      <c r="G6" s="10">
        <f>_xlfn.COUNTIFS('Test Cases'!$B$2:$B$76,$A6,'Test Cases'!$J$2:$J$76,"Not run")</f>
        <v>9</v>
      </c>
      <c r="H6" s="11">
        <f>IF(B6=0,0,(B6-G6)/B6)</f>
        <v>0</v>
      </c>
      <c r="I6" s="11">
        <f>IF((C6+D6)=0,0,C6/(C6+D6))</f>
        <v>0</v>
      </c>
    </row>
    <row r="7" spans="1:9">
      <c r="A7" s="2" t="s">
        <v>13</v>
      </c>
      <c r="B7" s="10">
        <f>COUNTIF('Test Cases'!$B$2:$B$76,A7)</f>
        <v>14</v>
      </c>
      <c r="C7" s="10">
        <f>_xlfn.COUNTIFS('Test Cases'!$B$2:$B$76,$A7,'Test Cases'!$J$2:$J$76,"Pass")</f>
        <v>0</v>
      </c>
      <c r="D7" s="10">
        <f>_xlfn.COUNTIFS('Test Cases'!$B$2:$B$76,$A7,'Test Cases'!$J$2:$J$76,"Fail")</f>
        <v>0</v>
      </c>
      <c r="E7" s="10">
        <f>_xlfn.COUNTIFS('Test Cases'!$B$2:$B$76,$A7,'Test Cases'!$J$2:$J$76,"Blocked")</f>
        <v>0</v>
      </c>
      <c r="F7" s="10">
        <f>_xlfn.COUNTIFS('Test Cases'!$B$2:$B$76,$A7,'Test Cases'!$J$2:$J$76,"N/A")</f>
        <v>0</v>
      </c>
      <c r="G7" s="10">
        <f>_xlfn.COUNTIFS('Test Cases'!$B$2:$B$76,$A7,'Test Cases'!$J$2:$J$76,"Not run")</f>
        <v>14</v>
      </c>
      <c r="H7" s="11">
        <f>IF(B7=0,0,(B7-G7)/B7)</f>
        <v>0</v>
      </c>
      <c r="I7" s="11">
        <f>IF((C7+D7)=0,0,C7/(C7+D7))</f>
        <v>0</v>
      </c>
    </row>
    <row r="8" spans="1:9">
      <c r="A8" s="2" t="s">
        <v>14</v>
      </c>
      <c r="B8" s="10">
        <f>COUNTIF('Test Cases'!$B$2:$B$76,A8)</f>
        <v>4</v>
      </c>
      <c r="C8" s="10">
        <f>_xlfn.COUNTIFS('Test Cases'!$B$2:$B$76,$A8,'Test Cases'!$J$2:$J$76,"Pass")</f>
        <v>0</v>
      </c>
      <c r="D8" s="10">
        <f>_xlfn.COUNTIFS('Test Cases'!$B$2:$B$76,$A8,'Test Cases'!$J$2:$J$76,"Fail")</f>
        <v>0</v>
      </c>
      <c r="E8" s="10">
        <f>_xlfn.COUNTIFS('Test Cases'!$B$2:$B$76,$A8,'Test Cases'!$J$2:$J$76,"Blocked")</f>
        <v>0</v>
      </c>
      <c r="F8" s="10">
        <f>_xlfn.COUNTIFS('Test Cases'!$B$2:$B$76,$A8,'Test Cases'!$J$2:$J$76,"N/A")</f>
        <v>0</v>
      </c>
      <c r="G8" s="10">
        <f>_xlfn.COUNTIFS('Test Cases'!$B$2:$B$76,$A8,'Test Cases'!$J$2:$J$76,"Not run")</f>
        <v>4</v>
      </c>
      <c r="H8" s="11">
        <f>IF(B8=0,0,(B8-G8)/B8)</f>
        <v>0</v>
      </c>
      <c r="I8" s="11">
        <f>IF((C8+D8)=0,0,C8/(C8+D8))</f>
        <v>0</v>
      </c>
    </row>
    <row r="9" spans="1:9">
      <c r="A9" s="2" t="s">
        <v>15</v>
      </c>
      <c r="B9" s="10">
        <f>COUNTIF('Test Cases'!$B$2:$B$76,A9)</f>
        <v>8</v>
      </c>
      <c r="C9" s="10">
        <f>_xlfn.COUNTIFS('Test Cases'!$B$2:$B$76,$A9,'Test Cases'!$J$2:$J$76,"Pass")</f>
        <v>0</v>
      </c>
      <c r="D9" s="10">
        <f>_xlfn.COUNTIFS('Test Cases'!$B$2:$B$76,$A9,'Test Cases'!$J$2:$J$76,"Fail")</f>
        <v>0</v>
      </c>
      <c r="E9" s="10">
        <f>_xlfn.COUNTIFS('Test Cases'!$B$2:$B$76,$A9,'Test Cases'!$J$2:$J$76,"Blocked")</f>
        <v>0</v>
      </c>
      <c r="F9" s="10">
        <f>_xlfn.COUNTIFS('Test Cases'!$B$2:$B$76,$A9,'Test Cases'!$J$2:$J$76,"N/A")</f>
        <v>0</v>
      </c>
      <c r="G9" s="10">
        <f>_xlfn.COUNTIFS('Test Cases'!$B$2:$B$76,$A9,'Test Cases'!$J$2:$J$76,"Not run")</f>
        <v>8</v>
      </c>
      <c r="H9" s="11">
        <f>IF(B9=0,0,(B9-G9)/B9)</f>
        <v>0</v>
      </c>
      <c r="I9" s="11">
        <f>IF((C9+D9)=0,0,C9/(C9+D9))</f>
        <v>0</v>
      </c>
    </row>
    <row r="10" spans="1:9">
      <c r="A10" s="2" t="s">
        <v>16</v>
      </c>
      <c r="B10" s="10">
        <f>COUNTIF('Test Cases'!$B$2:$B$76,A10)</f>
        <v>6</v>
      </c>
      <c r="C10" s="10">
        <f>_xlfn.COUNTIFS('Test Cases'!$B$2:$B$76,$A10,'Test Cases'!$J$2:$J$76,"Pass")</f>
        <v>0</v>
      </c>
      <c r="D10" s="10">
        <f>_xlfn.COUNTIFS('Test Cases'!$B$2:$B$76,$A10,'Test Cases'!$J$2:$J$76,"Fail")</f>
        <v>0</v>
      </c>
      <c r="E10" s="10">
        <f>_xlfn.COUNTIFS('Test Cases'!$B$2:$B$76,$A10,'Test Cases'!$J$2:$J$76,"Blocked")</f>
        <v>0</v>
      </c>
      <c r="F10" s="10">
        <f>_xlfn.COUNTIFS('Test Cases'!$B$2:$B$76,$A10,'Test Cases'!$J$2:$J$76,"N/A")</f>
        <v>0</v>
      </c>
      <c r="G10" s="10">
        <f>_xlfn.COUNTIFS('Test Cases'!$B$2:$B$76,$A10,'Test Cases'!$J$2:$J$76,"Not run")</f>
        <v>6</v>
      </c>
      <c r="H10" s="11">
        <f>IF(B10=0,0,(B10-G10)/B10)</f>
        <v>0</v>
      </c>
      <c r="I10" s="11">
        <f>IF((C10+D10)=0,0,C10/(C10+D10))</f>
        <v>0</v>
      </c>
    </row>
    <row r="11" spans="1:9">
      <c r="A11" s="2" t="s">
        <v>17</v>
      </c>
      <c r="B11" s="10">
        <f>COUNTIF('Test Cases'!$B$2:$B$76,A11)</f>
        <v>4</v>
      </c>
      <c r="C11" s="10">
        <f>_xlfn.COUNTIFS('Test Cases'!$B$2:$B$76,$A11,'Test Cases'!$J$2:$J$76,"Pass")</f>
        <v>0</v>
      </c>
      <c r="D11" s="10">
        <f>_xlfn.COUNTIFS('Test Cases'!$B$2:$B$76,$A11,'Test Cases'!$J$2:$J$76,"Fail")</f>
        <v>0</v>
      </c>
      <c r="E11" s="10">
        <f>_xlfn.COUNTIFS('Test Cases'!$B$2:$B$76,$A11,'Test Cases'!$J$2:$J$76,"Blocked")</f>
        <v>0</v>
      </c>
      <c r="F11" s="10">
        <f>_xlfn.COUNTIFS('Test Cases'!$B$2:$B$76,$A11,'Test Cases'!$J$2:$J$76,"N/A")</f>
        <v>0</v>
      </c>
      <c r="G11" s="10">
        <f>_xlfn.COUNTIFS('Test Cases'!$B$2:$B$76,$A11,'Test Cases'!$J$2:$J$76,"Not run")</f>
        <v>4</v>
      </c>
      <c r="H11" s="11">
        <f>IF(B11=0,0,(B11-G11)/B11)</f>
        <v>0</v>
      </c>
      <c r="I11" s="11">
        <f>IF((C11+D11)=0,0,C11/(C11+D11))</f>
        <v>0</v>
      </c>
    </row>
    <row r="12" spans="1:9">
      <c r="A12" s="2" t="s">
        <v>18</v>
      </c>
      <c r="B12" s="10">
        <f>COUNTIF('Test Cases'!$B$2:$B$76,A12)</f>
        <v>4</v>
      </c>
      <c r="C12" s="10">
        <f>_xlfn.COUNTIFS('Test Cases'!$B$2:$B$76,$A12,'Test Cases'!$J$2:$J$76,"Pass")</f>
        <v>0</v>
      </c>
      <c r="D12" s="10">
        <f>_xlfn.COUNTIFS('Test Cases'!$B$2:$B$76,$A12,'Test Cases'!$J$2:$J$76,"Fail")</f>
        <v>0</v>
      </c>
      <c r="E12" s="10">
        <f>_xlfn.COUNTIFS('Test Cases'!$B$2:$B$76,$A12,'Test Cases'!$J$2:$J$76,"Blocked")</f>
        <v>0</v>
      </c>
      <c r="F12" s="10">
        <f>_xlfn.COUNTIFS('Test Cases'!$B$2:$B$76,$A12,'Test Cases'!$J$2:$J$76,"N/A")</f>
        <v>0</v>
      </c>
      <c r="G12" s="10">
        <f>_xlfn.COUNTIFS('Test Cases'!$B$2:$B$76,$A12,'Test Cases'!$J$2:$J$76,"Not run")</f>
        <v>4</v>
      </c>
      <c r="H12" s="11">
        <f>IF(B12=0,0,(B12-G12)/B12)</f>
        <v>0</v>
      </c>
      <c r="I12" s="11">
        <f>IF((C12+D12)=0,0,C12/(C12+D12))</f>
        <v>0</v>
      </c>
    </row>
    <row r="13" spans="1:9">
      <c r="A13" s="2" t="s">
        <v>19</v>
      </c>
      <c r="B13" s="10">
        <f>COUNTIF('Test Cases'!$B$2:$B$76,A13)</f>
        <v>3</v>
      </c>
      <c r="C13" s="10">
        <f>_xlfn.COUNTIFS('Test Cases'!$B$2:$B$76,$A13,'Test Cases'!$J$2:$J$76,"Pass")</f>
        <v>0</v>
      </c>
      <c r="D13" s="10">
        <f>_xlfn.COUNTIFS('Test Cases'!$B$2:$B$76,$A13,'Test Cases'!$J$2:$J$76,"Fail")</f>
        <v>0</v>
      </c>
      <c r="E13" s="10">
        <f>_xlfn.COUNTIFS('Test Cases'!$B$2:$B$76,$A13,'Test Cases'!$J$2:$J$76,"Blocked")</f>
        <v>0</v>
      </c>
      <c r="F13" s="10">
        <f>_xlfn.COUNTIFS('Test Cases'!$B$2:$B$76,$A13,'Test Cases'!$J$2:$J$76,"N/A")</f>
        <v>0</v>
      </c>
      <c r="G13" s="10">
        <f>_xlfn.COUNTIFS('Test Cases'!$B$2:$B$76,$A13,'Test Cases'!$J$2:$J$76,"Not run")</f>
        <v>3</v>
      </c>
      <c r="H13" s="11">
        <f>IF(B13=0,0,(B13-G13)/B13)</f>
        <v>0</v>
      </c>
      <c r="I13" s="11">
        <f>IF((C13+D13)=0,0,C13/(C13+D13))</f>
        <v>0</v>
      </c>
    </row>
    <row r="14" spans="1:9">
      <c r="A14" s="2" t="s">
        <v>20</v>
      </c>
      <c r="B14" s="10">
        <f>COUNTIF('Test Cases'!$B$2:$B$76,A14)</f>
        <v>6</v>
      </c>
      <c r="C14" s="10">
        <f>_xlfn.COUNTIFS('Test Cases'!$B$2:$B$76,$A14,'Test Cases'!$J$2:$J$76,"Pass")</f>
        <v>0</v>
      </c>
      <c r="D14" s="10">
        <f>_xlfn.COUNTIFS('Test Cases'!$B$2:$B$76,$A14,'Test Cases'!$J$2:$J$76,"Fail")</f>
        <v>0</v>
      </c>
      <c r="E14" s="10">
        <f>_xlfn.COUNTIFS('Test Cases'!$B$2:$B$76,$A14,'Test Cases'!$J$2:$J$76,"Blocked")</f>
        <v>0</v>
      </c>
      <c r="F14" s="10">
        <f>_xlfn.COUNTIFS('Test Cases'!$B$2:$B$76,$A14,'Test Cases'!$J$2:$J$76,"N/A")</f>
        <v>0</v>
      </c>
      <c r="G14" s="10">
        <f>_xlfn.COUNTIFS('Test Cases'!$B$2:$B$76,$A14,'Test Cases'!$J$2:$J$76,"Not run")</f>
        <v>6</v>
      </c>
      <c r="H14" s="11">
        <f>IF(B14=0,0,(B14-G14)/B14)</f>
        <v>0</v>
      </c>
      <c r="I14" s="11">
        <f>IF((C14+D14)=0,0,C14/(C14+D14))</f>
        <v>0</v>
      </c>
    </row>
    <row r="15" spans="1:9">
      <c r="A15" s="2" t="s">
        <v>21</v>
      </c>
      <c r="B15" s="10">
        <f>COUNTIF('Test Cases'!$B$2:$B$76,A15)</f>
        <v>3</v>
      </c>
      <c r="C15" s="10">
        <f>_xlfn.COUNTIFS('Test Cases'!$B$2:$B$76,$A15,'Test Cases'!$J$2:$J$76,"Pass")</f>
        <v>0</v>
      </c>
      <c r="D15" s="10">
        <f>_xlfn.COUNTIFS('Test Cases'!$B$2:$B$76,$A15,'Test Cases'!$J$2:$J$76,"Fail")</f>
        <v>0</v>
      </c>
      <c r="E15" s="10">
        <f>_xlfn.COUNTIFS('Test Cases'!$B$2:$B$76,$A15,'Test Cases'!$J$2:$J$76,"Blocked")</f>
        <v>0</v>
      </c>
      <c r="F15" s="10">
        <f>_xlfn.COUNTIFS('Test Cases'!$B$2:$B$76,$A15,'Test Cases'!$J$2:$J$76,"N/A")</f>
        <v>0</v>
      </c>
      <c r="G15" s="10">
        <f>_xlfn.COUNTIFS('Test Cases'!$B$2:$B$76,$A15,'Test Cases'!$J$2:$J$76,"Not run")</f>
        <v>3</v>
      </c>
      <c r="H15" s="11">
        <f>IF(B15=0,0,(B15-G15)/B15)</f>
        <v>0</v>
      </c>
      <c r="I15" s="11">
        <f>IF((C15+D15)=0,0,C15/(C15+D15))</f>
        <v>0</v>
      </c>
    </row>
    <row r="16" spans="1:9">
      <c r="A16" s="2" t="s">
        <v>22</v>
      </c>
      <c r="B16" s="10">
        <f>COUNTIF('Test Cases'!$B$2:$B$76,A16)</f>
        <v>3</v>
      </c>
      <c r="C16" s="10">
        <f>_xlfn.COUNTIFS('Test Cases'!$B$2:$B$76,$A16,'Test Cases'!$J$2:$J$76,"Pass")</f>
        <v>0</v>
      </c>
      <c r="D16" s="10">
        <f>_xlfn.COUNTIFS('Test Cases'!$B$2:$B$76,$A16,'Test Cases'!$J$2:$J$76,"Fail")</f>
        <v>0</v>
      </c>
      <c r="E16" s="10">
        <f>_xlfn.COUNTIFS('Test Cases'!$B$2:$B$76,$A16,'Test Cases'!$J$2:$J$76,"Blocked")</f>
        <v>0</v>
      </c>
      <c r="F16" s="10">
        <f>_xlfn.COUNTIFS('Test Cases'!$B$2:$B$76,$A16,'Test Cases'!$J$2:$J$76,"N/A")</f>
        <v>0</v>
      </c>
      <c r="G16" s="10">
        <f>_xlfn.COUNTIFS('Test Cases'!$B$2:$B$76,$A16,'Test Cases'!$J$2:$J$76,"Not run")</f>
        <v>3</v>
      </c>
      <c r="H16" s="11">
        <f>IF(B16=0,0,(B16-G16)/B16)</f>
        <v>0</v>
      </c>
      <c r="I16" s="11">
        <f>IF((C16+D16)=0,0,C16/(C16+D16))</f>
        <v>0</v>
      </c>
    </row>
    <row r="17" spans="1:9">
      <c r="A17" s="12" t="s">
        <v>3</v>
      </c>
      <c r="B17" s="13">
        <f>SUM(B5:B16)</f>
        <v>75</v>
      </c>
      <c r="C17" s="13">
        <f>SUM(C5:C16)</f>
        <v>0</v>
      </c>
      <c r="D17" s="13">
        <f>SUM(D5:D16)</f>
        <v>0</v>
      </c>
      <c r="E17" s="13">
        <f>SUM(E5:E16)</f>
        <v>0</v>
      </c>
      <c r="F17" s="13">
        <f>SUM(F5:F16)</f>
        <v>0</v>
      </c>
      <c r="G17" s="13">
        <f>SUM(G5:G16)</f>
        <v>75</v>
      </c>
      <c r="H17" s="14">
        <f>IF(B17=0,0,(B17-G17)/B17)</f>
        <v>0</v>
      </c>
      <c r="I17" s="14">
        <f>IF((C17+D17)=0,0,C17/(C17+D17))</f>
        <v>0</v>
      </c>
    </row>
    <row r="18" spans="1:9">
      <c r="A18" s="9" t="s">
        <v>23</v>
      </c>
    </row>
    <row r="20" spans="1:9">
      <c r="A20" s="15" t="s">
        <v>24</v>
      </c>
    </row>
    <row r="21" spans="1:9">
      <c r="A21" s="1" t="s">
        <v>25</v>
      </c>
      <c r="B21" s="1" t="s">
        <v>3</v>
      </c>
      <c r="C21" s="1" t="s">
        <v>5</v>
      </c>
    </row>
    <row r="22" spans="1:9">
      <c r="A22" s="2" t="s">
        <v>26</v>
      </c>
      <c r="B22" s="10">
        <f>COUNTIF('Test Cases'!$H$2:$H$76,A22)</f>
        <v>10</v>
      </c>
      <c r="C22" s="10">
        <f>_xlfn.COUNTIFS('Test Cases'!$H$2:$H$76,A22,'Test Cases'!$J$2:$J$76,"Fail")</f>
        <v>0</v>
      </c>
    </row>
    <row r="23" spans="1:9">
      <c r="A23" s="2" t="s">
        <v>27</v>
      </c>
      <c r="B23" s="10">
        <f>COUNTIF('Test Cases'!$H$2:$H$76,A23)</f>
        <v>32</v>
      </c>
      <c r="C23" s="10">
        <f>_xlfn.COUNTIFS('Test Cases'!$H$2:$H$76,A23,'Test Cases'!$J$2:$J$76,"Fail")</f>
        <v>0</v>
      </c>
    </row>
    <row r="24" spans="1:9">
      <c r="A24" s="2" t="s">
        <v>28</v>
      </c>
      <c r="B24" s="10">
        <f>COUNTIF('Test Cases'!$H$2:$H$76,A24)</f>
        <v>24</v>
      </c>
      <c r="C24" s="10">
        <f>_xlfn.COUNTIFS('Test Cases'!$H$2:$H$76,A24,'Test Cases'!$J$2:$J$76,"Fail")</f>
        <v>0</v>
      </c>
    </row>
    <row r="25" spans="1:9">
      <c r="A25" s="2" t="s">
        <v>29</v>
      </c>
      <c r="B25" s="10">
        <f>COUNTIF('Test Cases'!$H$2:$H$76,A25)</f>
        <v>9</v>
      </c>
      <c r="C25" s="10">
        <f>_xlfn.COUNTIFS('Test Cases'!$H$2:$H$76,A25,'Test Cases'!$J$2:$J$76,"Fail")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24" customWidth="true" style="0"/>
    <col min="2" max="2" width="100" customWidth="true" style="0"/>
  </cols>
  <sheetData>
    <row r="1" spans="1:2">
      <c r="A1" s="16" t="s">
        <v>30</v>
      </c>
    </row>
    <row r="2" spans="1:2">
      <c r="A2" s="17" t="s">
        <v>31</v>
      </c>
      <c r="B2" s="18" t="s">
        <v>32</v>
      </c>
    </row>
    <row r="3" spans="1:2">
      <c r="A3" s="17" t="s">
        <v>33</v>
      </c>
      <c r="B3" s="18" t="s">
        <v>34</v>
      </c>
    </row>
    <row r="4" spans="1:2">
      <c r="A4" s="17" t="s">
        <v>35</v>
      </c>
      <c r="B4" s="19" t="s">
        <v>36</v>
      </c>
    </row>
    <row r="5" spans="1:2">
      <c r="A5" s="17" t="s">
        <v>37</v>
      </c>
      <c r="B5" s="18" t="s">
        <v>38</v>
      </c>
    </row>
    <row r="6" spans="1:2">
      <c r="A6" s="16"/>
    </row>
    <row r="7" spans="1:2">
      <c r="A7" s="16" t="s">
        <v>39</v>
      </c>
    </row>
    <row r="8" spans="1:2">
      <c r="A8" s="17" t="s">
        <v>40</v>
      </c>
      <c r="B8" s="18" t="s">
        <v>41</v>
      </c>
    </row>
    <row r="9" spans="1:2">
      <c r="A9" s="17" t="s">
        <v>42</v>
      </c>
      <c r="B9" s="18" t="s">
        <v>43</v>
      </c>
    </row>
    <row r="10" spans="1:2">
      <c r="A10" s="17" t="s">
        <v>44</v>
      </c>
      <c r="B10" s="18" t="s">
        <v>45</v>
      </c>
    </row>
    <row r="11" spans="1:2">
      <c r="A11" s="17" t="s">
        <v>46</v>
      </c>
      <c r="B11" s="18" t="s">
        <v>47</v>
      </c>
    </row>
    <row r="12" spans="1:2">
      <c r="A12" s="17" t="s">
        <v>48</v>
      </c>
      <c r="B12" s="18" t="s">
        <v>49</v>
      </c>
    </row>
    <row r="13" spans="1:2">
      <c r="A13" s="17" t="s">
        <v>50</v>
      </c>
      <c r="B13" s="18" t="s">
        <v>51</v>
      </c>
    </row>
    <row r="14" spans="1:2">
      <c r="A14" s="17" t="s">
        <v>52</v>
      </c>
      <c r="B14" s="18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6"/>
  <sheetViews>
    <sheetView tabSelected="0" workbookViewId="0" showGridLines="true" showRowColHeaders="1">
      <pane xSplit="3" ySplit="1" topLeftCell="D2" activePane="bottomRight" state="frozen"/>
      <selection pane="topRight"/>
      <selection pane="bottomLeft"/>
      <selection pane="bottomRight" activeCell="J2" sqref="J2:J76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32" customWidth="true" style="0"/>
    <col min="5" max="5" width="42" customWidth="true" style="0"/>
    <col min="6" max="6" width="22" customWidth="true" style="0"/>
    <col min="7" max="7" width="52" customWidth="true" style="0"/>
    <col min="8" max="8" width="10" customWidth="true" style="0"/>
    <col min="9" max="9" width="11" customWidth="true" style="0"/>
    <col min="10" max="10" width="12" customWidth="true" style="0"/>
    <col min="11" max="11" width="30" customWidth="true" style="0"/>
    <col min="12" max="12" width="10" customWidth="true" style="0"/>
    <col min="13" max="13" width="12" customWidth="true" style="0"/>
    <col min="14" max="14" width="42" customWidth="true" style="0"/>
  </cols>
  <sheetData>
    <row r="1" spans="1:14" customHeight="1" ht="28">
      <c r="A1" s="1" t="s">
        <v>54</v>
      </c>
      <c r="B1" s="1" t="s">
        <v>2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25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37</v>
      </c>
    </row>
    <row r="2" spans="1:14">
      <c r="A2" s="3" t="s">
        <v>65</v>
      </c>
      <c r="B2" s="3" t="s">
        <v>11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4" t="s">
        <v>27</v>
      </c>
      <c r="I2" s="3" t="s">
        <v>71</v>
      </c>
      <c r="J2" s="6" t="s">
        <v>8</v>
      </c>
      <c r="K2" s="6"/>
      <c r="L2" s="6"/>
      <c r="M2" s="7"/>
      <c r="N2" s="3" t="s">
        <v>72</v>
      </c>
    </row>
    <row r="3" spans="1:14">
      <c r="A3" s="3" t="s">
        <v>73</v>
      </c>
      <c r="B3" s="3" t="s">
        <v>11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4" t="s">
        <v>27</v>
      </c>
      <c r="I3" s="3" t="s">
        <v>71</v>
      </c>
      <c r="J3" s="6" t="s">
        <v>8</v>
      </c>
      <c r="K3" s="6"/>
      <c r="L3" s="6"/>
      <c r="M3" s="7"/>
      <c r="N3" s="3" t="s">
        <v>79</v>
      </c>
    </row>
    <row r="4" spans="1:14">
      <c r="A4" s="3" t="s">
        <v>80</v>
      </c>
      <c r="B4" s="3" t="s">
        <v>11</v>
      </c>
      <c r="C4" s="3" t="s">
        <v>81</v>
      </c>
      <c r="D4" s="3" t="s">
        <v>82</v>
      </c>
      <c r="E4" s="3" t="s">
        <v>83</v>
      </c>
      <c r="F4" s="3" t="s">
        <v>69</v>
      </c>
      <c r="G4" s="3" t="s">
        <v>84</v>
      </c>
      <c r="H4" s="3" t="s">
        <v>28</v>
      </c>
      <c r="I4" s="3" t="s">
        <v>71</v>
      </c>
      <c r="J4" s="6" t="s">
        <v>8</v>
      </c>
      <c r="K4" s="6"/>
      <c r="L4" s="6"/>
      <c r="M4" s="7"/>
      <c r="N4" s="3" t="s">
        <v>85</v>
      </c>
    </row>
    <row r="5" spans="1:14">
      <c r="A5" s="3" t="s">
        <v>86</v>
      </c>
      <c r="B5" s="3" t="s">
        <v>11</v>
      </c>
      <c r="C5" s="3" t="s">
        <v>87</v>
      </c>
      <c r="D5" s="3" t="s">
        <v>82</v>
      </c>
      <c r="E5" s="3" t="s">
        <v>88</v>
      </c>
      <c r="F5" s="3" t="s">
        <v>69</v>
      </c>
      <c r="G5" s="3" t="s">
        <v>89</v>
      </c>
      <c r="H5" s="3" t="s">
        <v>28</v>
      </c>
      <c r="I5" s="3" t="s">
        <v>71</v>
      </c>
      <c r="J5" s="6" t="s">
        <v>8</v>
      </c>
      <c r="K5" s="6"/>
      <c r="L5" s="6"/>
      <c r="M5" s="7"/>
      <c r="N5" s="3" t="s">
        <v>90</v>
      </c>
    </row>
    <row r="6" spans="1:14">
      <c r="A6" s="3" t="s">
        <v>91</v>
      </c>
      <c r="B6" s="3" t="s">
        <v>11</v>
      </c>
      <c r="C6" s="3" t="s">
        <v>92</v>
      </c>
      <c r="D6" s="3" t="s">
        <v>93</v>
      </c>
      <c r="E6" s="3" t="s">
        <v>94</v>
      </c>
      <c r="F6" s="3" t="s">
        <v>69</v>
      </c>
      <c r="G6" s="3" t="s">
        <v>95</v>
      </c>
      <c r="H6" s="4" t="s">
        <v>27</v>
      </c>
      <c r="I6" s="3" t="s">
        <v>21</v>
      </c>
      <c r="J6" s="6" t="s">
        <v>8</v>
      </c>
      <c r="K6" s="6"/>
      <c r="L6" s="6"/>
      <c r="M6" s="7"/>
      <c r="N6" s="3" t="s">
        <v>96</v>
      </c>
    </row>
    <row r="7" spans="1:14">
      <c r="A7" s="3" t="s">
        <v>97</v>
      </c>
      <c r="B7" s="3" t="s">
        <v>11</v>
      </c>
      <c r="C7" s="3" t="s">
        <v>98</v>
      </c>
      <c r="D7" s="3" t="s">
        <v>99</v>
      </c>
      <c r="E7" s="3" t="s">
        <v>100</v>
      </c>
      <c r="F7" s="3" t="s">
        <v>69</v>
      </c>
      <c r="G7" s="3" t="s">
        <v>101</v>
      </c>
      <c r="H7" s="4" t="s">
        <v>27</v>
      </c>
      <c r="I7" s="3" t="s">
        <v>71</v>
      </c>
      <c r="J7" s="6" t="s">
        <v>8</v>
      </c>
      <c r="K7" s="6"/>
      <c r="L7" s="6"/>
      <c r="M7" s="7"/>
      <c r="N7" s="3" t="s">
        <v>102</v>
      </c>
    </row>
    <row r="8" spans="1:14">
      <c r="A8" s="3" t="s">
        <v>103</v>
      </c>
      <c r="B8" s="3" t="s">
        <v>11</v>
      </c>
      <c r="C8" s="3" t="s">
        <v>104</v>
      </c>
      <c r="D8" s="3" t="s">
        <v>105</v>
      </c>
      <c r="E8" s="3" t="s">
        <v>100</v>
      </c>
      <c r="F8" s="3" t="s">
        <v>106</v>
      </c>
      <c r="G8" s="3" t="s">
        <v>107</v>
      </c>
      <c r="H8" s="4" t="s">
        <v>27</v>
      </c>
      <c r="I8" s="3" t="s">
        <v>108</v>
      </c>
      <c r="J8" s="6" t="s">
        <v>8</v>
      </c>
      <c r="K8" s="6"/>
      <c r="L8" s="6"/>
      <c r="M8" s="7"/>
      <c r="N8" s="3" t="s">
        <v>109</v>
      </c>
    </row>
    <row r="9" spans="1:14">
      <c r="A9" s="3" t="s">
        <v>110</v>
      </c>
      <c r="B9" s="3" t="s">
        <v>11</v>
      </c>
      <c r="C9" s="3" t="s">
        <v>111</v>
      </c>
      <c r="D9" s="3" t="s">
        <v>69</v>
      </c>
      <c r="E9" s="3" t="s">
        <v>112</v>
      </c>
      <c r="F9" s="3" t="s">
        <v>113</v>
      </c>
      <c r="G9" s="3" t="s">
        <v>114</v>
      </c>
      <c r="H9" s="3" t="s">
        <v>28</v>
      </c>
      <c r="I9" s="3" t="s">
        <v>115</v>
      </c>
      <c r="J9" s="6" t="s">
        <v>8</v>
      </c>
      <c r="K9" s="6"/>
      <c r="L9" s="6"/>
      <c r="M9" s="7"/>
      <c r="N9" s="3" t="s">
        <v>116</v>
      </c>
    </row>
    <row r="10" spans="1:14">
      <c r="A10" s="3" t="s">
        <v>117</v>
      </c>
      <c r="B10" s="3" t="s">
        <v>11</v>
      </c>
      <c r="C10" s="3" t="s">
        <v>118</v>
      </c>
      <c r="D10" s="3" t="s">
        <v>119</v>
      </c>
      <c r="E10" s="3" t="s">
        <v>120</v>
      </c>
      <c r="F10" s="3" t="s">
        <v>69</v>
      </c>
      <c r="G10" s="3" t="s">
        <v>121</v>
      </c>
      <c r="H10" s="3" t="s">
        <v>28</v>
      </c>
      <c r="I10" s="3" t="s">
        <v>71</v>
      </c>
      <c r="J10" s="6" t="s">
        <v>8</v>
      </c>
      <c r="K10" s="6"/>
      <c r="L10" s="6"/>
      <c r="M10" s="7"/>
      <c r="N10" s="3" t="s">
        <v>122</v>
      </c>
    </row>
    <row r="11" spans="1:14">
      <c r="A11" s="3" t="s">
        <v>123</v>
      </c>
      <c r="B11" s="3" t="s">
        <v>11</v>
      </c>
      <c r="C11" s="3" t="s">
        <v>124</v>
      </c>
      <c r="D11" s="3" t="s">
        <v>125</v>
      </c>
      <c r="E11" s="3" t="s">
        <v>126</v>
      </c>
      <c r="F11" s="3" t="s">
        <v>69</v>
      </c>
      <c r="G11" s="3" t="s">
        <v>127</v>
      </c>
      <c r="H11" s="4" t="s">
        <v>27</v>
      </c>
      <c r="I11" s="3" t="s">
        <v>21</v>
      </c>
      <c r="J11" s="6" t="s">
        <v>8</v>
      </c>
      <c r="K11" s="6"/>
      <c r="L11" s="6"/>
      <c r="M11" s="7"/>
      <c r="N11" s="3" t="s">
        <v>128</v>
      </c>
    </row>
    <row r="12" spans="1:14">
      <c r="A12" s="3" t="s">
        <v>129</v>
      </c>
      <c r="B12" s="3" t="s">
        <v>11</v>
      </c>
      <c r="C12" s="3" t="s">
        <v>130</v>
      </c>
      <c r="D12" s="3" t="s">
        <v>131</v>
      </c>
      <c r="E12" s="3" t="s">
        <v>132</v>
      </c>
      <c r="F12" s="3" t="s">
        <v>133</v>
      </c>
      <c r="G12" s="3" t="s">
        <v>134</v>
      </c>
      <c r="H12" s="3" t="s">
        <v>28</v>
      </c>
      <c r="I12" s="3" t="s">
        <v>71</v>
      </c>
      <c r="J12" s="6" t="s">
        <v>8</v>
      </c>
      <c r="K12" s="6"/>
      <c r="L12" s="6"/>
      <c r="M12" s="7"/>
      <c r="N12" s="3" t="s">
        <v>135</v>
      </c>
    </row>
    <row r="13" spans="1:14">
      <c r="A13" s="3" t="s">
        <v>136</v>
      </c>
      <c r="B13" s="3" t="s">
        <v>12</v>
      </c>
      <c r="C13" s="3" t="s">
        <v>137</v>
      </c>
      <c r="D13" s="3" t="s">
        <v>138</v>
      </c>
      <c r="E13" s="3" t="s">
        <v>139</v>
      </c>
      <c r="F13" s="3" t="s">
        <v>69</v>
      </c>
      <c r="G13" s="3" t="s">
        <v>140</v>
      </c>
      <c r="H13" s="4" t="s">
        <v>27</v>
      </c>
      <c r="I13" s="3" t="s">
        <v>71</v>
      </c>
      <c r="J13" s="6" t="s">
        <v>8</v>
      </c>
      <c r="K13" s="6"/>
      <c r="L13" s="6"/>
      <c r="M13" s="7"/>
      <c r="N13" s="3" t="s">
        <v>141</v>
      </c>
    </row>
    <row r="14" spans="1:14">
      <c r="A14" s="3" t="s">
        <v>142</v>
      </c>
      <c r="B14" s="3" t="s">
        <v>12</v>
      </c>
      <c r="C14" s="3" t="s">
        <v>143</v>
      </c>
      <c r="D14" s="3" t="s">
        <v>144</v>
      </c>
      <c r="E14" s="3" t="s">
        <v>145</v>
      </c>
      <c r="F14" s="3" t="s">
        <v>146</v>
      </c>
      <c r="G14" s="3" t="s">
        <v>147</v>
      </c>
      <c r="H14" s="3" t="s">
        <v>29</v>
      </c>
      <c r="I14" s="3" t="s">
        <v>71</v>
      </c>
      <c r="J14" s="6" t="s">
        <v>8</v>
      </c>
      <c r="K14" s="6"/>
      <c r="L14" s="6"/>
      <c r="M14" s="7"/>
      <c r="N14" s="3" t="s">
        <v>72</v>
      </c>
    </row>
    <row r="15" spans="1:14">
      <c r="A15" s="3" t="s">
        <v>148</v>
      </c>
      <c r="B15" s="3" t="s">
        <v>12</v>
      </c>
      <c r="C15" s="3" t="s">
        <v>149</v>
      </c>
      <c r="D15" s="3" t="s">
        <v>150</v>
      </c>
      <c r="E15" s="3" t="s">
        <v>151</v>
      </c>
      <c r="F15" s="3" t="s">
        <v>69</v>
      </c>
      <c r="G15" s="3" t="s">
        <v>152</v>
      </c>
      <c r="H15" s="3" t="s">
        <v>28</v>
      </c>
      <c r="I15" s="3" t="s">
        <v>71</v>
      </c>
      <c r="J15" s="6" t="s">
        <v>8</v>
      </c>
      <c r="K15" s="6"/>
      <c r="L15" s="6"/>
      <c r="M15" s="7"/>
      <c r="N15" s="3" t="s">
        <v>72</v>
      </c>
    </row>
    <row r="16" spans="1:14">
      <c r="A16" s="3" t="s">
        <v>153</v>
      </c>
      <c r="B16" s="3" t="s">
        <v>12</v>
      </c>
      <c r="C16" s="3" t="s">
        <v>154</v>
      </c>
      <c r="D16" s="3" t="s">
        <v>155</v>
      </c>
      <c r="E16" s="3" t="s">
        <v>156</v>
      </c>
      <c r="F16" s="3" t="s">
        <v>157</v>
      </c>
      <c r="G16" s="3" t="s">
        <v>158</v>
      </c>
      <c r="H16" s="4" t="s">
        <v>27</v>
      </c>
      <c r="I16" s="3" t="s">
        <v>108</v>
      </c>
      <c r="J16" s="6" t="s">
        <v>8</v>
      </c>
      <c r="K16" s="6"/>
      <c r="L16" s="6"/>
      <c r="M16" s="7"/>
      <c r="N16" s="3" t="s">
        <v>159</v>
      </c>
    </row>
    <row r="17" spans="1:14">
      <c r="A17" s="3" t="s">
        <v>160</v>
      </c>
      <c r="B17" s="3" t="s">
        <v>12</v>
      </c>
      <c r="C17" s="3" t="s">
        <v>161</v>
      </c>
      <c r="D17" s="3" t="s">
        <v>162</v>
      </c>
      <c r="E17" s="3" t="s">
        <v>163</v>
      </c>
      <c r="F17" s="3" t="s">
        <v>69</v>
      </c>
      <c r="G17" s="3" t="s">
        <v>164</v>
      </c>
      <c r="H17" s="3" t="s">
        <v>28</v>
      </c>
      <c r="I17" s="3" t="s">
        <v>108</v>
      </c>
      <c r="J17" s="6" t="s">
        <v>8</v>
      </c>
      <c r="K17" s="6"/>
      <c r="L17" s="6"/>
      <c r="M17" s="7"/>
      <c r="N17" s="3" t="s">
        <v>165</v>
      </c>
    </row>
    <row r="18" spans="1:14">
      <c r="A18" s="3" t="s">
        <v>166</v>
      </c>
      <c r="B18" s="3" t="s">
        <v>12</v>
      </c>
      <c r="C18" s="3" t="s">
        <v>167</v>
      </c>
      <c r="D18" s="3" t="s">
        <v>168</v>
      </c>
      <c r="E18" s="3" t="s">
        <v>169</v>
      </c>
      <c r="F18" s="3" t="s">
        <v>69</v>
      </c>
      <c r="G18" s="3" t="s">
        <v>170</v>
      </c>
      <c r="H18" s="3" t="s">
        <v>28</v>
      </c>
      <c r="I18" s="3" t="s">
        <v>108</v>
      </c>
      <c r="J18" s="6" t="s">
        <v>8</v>
      </c>
      <c r="K18" s="6"/>
      <c r="L18" s="6"/>
      <c r="M18" s="7"/>
      <c r="N18" s="3" t="s">
        <v>171</v>
      </c>
    </row>
    <row r="19" spans="1:14">
      <c r="A19" s="3" t="s">
        <v>172</v>
      </c>
      <c r="B19" s="3" t="s">
        <v>12</v>
      </c>
      <c r="C19" s="3" t="s">
        <v>173</v>
      </c>
      <c r="D19" s="3" t="s">
        <v>174</v>
      </c>
      <c r="E19" s="3" t="s">
        <v>175</v>
      </c>
      <c r="F19" s="3" t="s">
        <v>69</v>
      </c>
      <c r="G19" s="3" t="s">
        <v>176</v>
      </c>
      <c r="H19" s="3" t="s">
        <v>28</v>
      </c>
      <c r="I19" s="3" t="s">
        <v>71</v>
      </c>
      <c r="J19" s="6" t="s">
        <v>8</v>
      </c>
      <c r="K19" s="6"/>
      <c r="L19" s="6"/>
      <c r="M19" s="7"/>
      <c r="N19" s="3" t="s">
        <v>177</v>
      </c>
    </row>
    <row r="20" spans="1:14">
      <c r="A20" s="3" t="s">
        <v>178</v>
      </c>
      <c r="B20" s="3" t="s">
        <v>12</v>
      </c>
      <c r="C20" s="3" t="s">
        <v>179</v>
      </c>
      <c r="D20" s="3" t="s">
        <v>180</v>
      </c>
      <c r="E20" s="3" t="s">
        <v>181</v>
      </c>
      <c r="F20" s="3" t="s">
        <v>69</v>
      </c>
      <c r="G20" s="3" t="s">
        <v>182</v>
      </c>
      <c r="H20" s="3" t="s">
        <v>28</v>
      </c>
      <c r="I20" s="3" t="s">
        <v>108</v>
      </c>
      <c r="J20" s="6" t="s">
        <v>8</v>
      </c>
      <c r="K20" s="6"/>
      <c r="L20" s="6"/>
      <c r="M20" s="7"/>
      <c r="N20" s="3" t="s">
        <v>183</v>
      </c>
    </row>
    <row r="21" spans="1:14">
      <c r="A21" s="3" t="s">
        <v>184</v>
      </c>
      <c r="B21" s="3" t="s">
        <v>12</v>
      </c>
      <c r="C21" s="3" t="s">
        <v>185</v>
      </c>
      <c r="D21" s="3" t="s">
        <v>186</v>
      </c>
      <c r="E21" s="3" t="s">
        <v>187</v>
      </c>
      <c r="F21" s="3" t="s">
        <v>188</v>
      </c>
      <c r="G21" s="3" t="s">
        <v>189</v>
      </c>
      <c r="H21" s="3" t="s">
        <v>28</v>
      </c>
      <c r="I21" s="3" t="s">
        <v>108</v>
      </c>
      <c r="J21" s="6" t="s">
        <v>8</v>
      </c>
      <c r="K21" s="6"/>
      <c r="L21" s="6"/>
      <c r="M21" s="7"/>
      <c r="N21" s="3" t="s">
        <v>190</v>
      </c>
    </row>
    <row r="22" spans="1:14">
      <c r="A22" s="3" t="s">
        <v>191</v>
      </c>
      <c r="B22" s="3" t="s">
        <v>13</v>
      </c>
      <c r="C22" s="3" t="s">
        <v>192</v>
      </c>
      <c r="D22" s="3" t="s">
        <v>193</v>
      </c>
      <c r="E22" s="3" t="s">
        <v>194</v>
      </c>
      <c r="F22" s="3" t="s">
        <v>195</v>
      </c>
      <c r="G22" s="3" t="s">
        <v>196</v>
      </c>
      <c r="H22" s="5" t="s">
        <v>26</v>
      </c>
      <c r="I22" s="3" t="s">
        <v>71</v>
      </c>
      <c r="J22" s="6" t="s">
        <v>8</v>
      </c>
      <c r="K22" s="6"/>
      <c r="L22" s="6"/>
      <c r="M22" s="7"/>
      <c r="N22" s="3" t="s">
        <v>197</v>
      </c>
    </row>
    <row r="23" spans="1:14">
      <c r="A23" s="3" t="s">
        <v>198</v>
      </c>
      <c r="B23" s="3" t="s">
        <v>13</v>
      </c>
      <c r="C23" s="3" t="s">
        <v>199</v>
      </c>
      <c r="D23" s="3" t="s">
        <v>200</v>
      </c>
      <c r="E23" s="3" t="s">
        <v>201</v>
      </c>
      <c r="F23" s="3" t="s">
        <v>202</v>
      </c>
      <c r="G23" s="3" t="s">
        <v>203</v>
      </c>
      <c r="H23" s="4" t="s">
        <v>27</v>
      </c>
      <c r="I23" s="3" t="s">
        <v>71</v>
      </c>
      <c r="J23" s="6" t="s">
        <v>8</v>
      </c>
      <c r="K23" s="6"/>
      <c r="L23" s="6"/>
      <c r="M23" s="7"/>
      <c r="N23" s="3" t="s">
        <v>72</v>
      </c>
    </row>
    <row r="24" spans="1:14">
      <c r="A24" s="3" t="s">
        <v>204</v>
      </c>
      <c r="B24" s="3" t="s">
        <v>13</v>
      </c>
      <c r="C24" s="3" t="s">
        <v>205</v>
      </c>
      <c r="D24" s="3" t="s">
        <v>206</v>
      </c>
      <c r="E24" s="3" t="s">
        <v>207</v>
      </c>
      <c r="F24" s="3" t="s">
        <v>69</v>
      </c>
      <c r="G24" s="3" t="s">
        <v>208</v>
      </c>
      <c r="H24" s="4" t="s">
        <v>27</v>
      </c>
      <c r="I24" s="3" t="s">
        <v>71</v>
      </c>
      <c r="J24" s="6" t="s">
        <v>8</v>
      </c>
      <c r="K24" s="6"/>
      <c r="L24" s="6"/>
      <c r="M24" s="7"/>
      <c r="N24" s="3" t="s">
        <v>209</v>
      </c>
    </row>
    <row r="25" spans="1:14">
      <c r="A25" s="3" t="s">
        <v>210</v>
      </c>
      <c r="B25" s="3" t="s">
        <v>13</v>
      </c>
      <c r="C25" s="3" t="s">
        <v>211</v>
      </c>
      <c r="D25" s="3" t="s">
        <v>212</v>
      </c>
      <c r="E25" s="3" t="s">
        <v>213</v>
      </c>
      <c r="F25" s="3" t="s">
        <v>69</v>
      </c>
      <c r="G25" s="3" t="s">
        <v>214</v>
      </c>
      <c r="H25" s="5" t="s">
        <v>26</v>
      </c>
      <c r="I25" s="3" t="s">
        <v>108</v>
      </c>
      <c r="J25" s="6" t="s">
        <v>8</v>
      </c>
      <c r="K25" s="6"/>
      <c r="L25" s="6"/>
      <c r="M25" s="7"/>
      <c r="N25" s="3" t="s">
        <v>215</v>
      </c>
    </row>
    <row r="26" spans="1:14">
      <c r="A26" s="3" t="s">
        <v>216</v>
      </c>
      <c r="B26" s="3" t="s">
        <v>13</v>
      </c>
      <c r="C26" s="3" t="s">
        <v>217</v>
      </c>
      <c r="D26" s="3" t="s">
        <v>69</v>
      </c>
      <c r="E26" s="3" t="s">
        <v>218</v>
      </c>
      <c r="F26" s="3" t="s">
        <v>219</v>
      </c>
      <c r="G26" s="3" t="s">
        <v>220</v>
      </c>
      <c r="H26" s="3" t="s">
        <v>28</v>
      </c>
      <c r="I26" s="3" t="s">
        <v>71</v>
      </c>
      <c r="J26" s="6" t="s">
        <v>8</v>
      </c>
      <c r="K26" s="6"/>
      <c r="L26" s="6"/>
      <c r="M26" s="7"/>
      <c r="N26" s="3" t="s">
        <v>72</v>
      </c>
    </row>
    <row r="27" spans="1:14">
      <c r="A27" s="3" t="s">
        <v>221</v>
      </c>
      <c r="B27" s="3" t="s">
        <v>13</v>
      </c>
      <c r="C27" s="3" t="s">
        <v>222</v>
      </c>
      <c r="D27" s="3" t="s">
        <v>69</v>
      </c>
      <c r="E27" s="3" t="s">
        <v>223</v>
      </c>
      <c r="F27" s="3" t="s">
        <v>224</v>
      </c>
      <c r="G27" s="3" t="s">
        <v>225</v>
      </c>
      <c r="H27" s="4" t="s">
        <v>27</v>
      </c>
      <c r="I27" s="3" t="s">
        <v>108</v>
      </c>
      <c r="J27" s="6" t="s">
        <v>8</v>
      </c>
      <c r="K27" s="6"/>
      <c r="L27" s="6"/>
      <c r="M27" s="7"/>
      <c r="N27" s="3" t="s">
        <v>226</v>
      </c>
    </row>
    <row r="28" spans="1:14">
      <c r="A28" s="3" t="s">
        <v>227</v>
      </c>
      <c r="B28" s="3" t="s">
        <v>13</v>
      </c>
      <c r="C28" s="3" t="s">
        <v>228</v>
      </c>
      <c r="D28" s="3" t="s">
        <v>69</v>
      </c>
      <c r="E28" s="3" t="s">
        <v>229</v>
      </c>
      <c r="F28" s="3" t="s">
        <v>69</v>
      </c>
      <c r="G28" s="3" t="s">
        <v>230</v>
      </c>
      <c r="H28" s="3" t="s">
        <v>28</v>
      </c>
      <c r="I28" s="3" t="s">
        <v>108</v>
      </c>
      <c r="J28" s="6" t="s">
        <v>8</v>
      </c>
      <c r="K28" s="6"/>
      <c r="L28" s="6"/>
      <c r="M28" s="7"/>
      <c r="N28" s="3" t="s">
        <v>231</v>
      </c>
    </row>
    <row r="29" spans="1:14">
      <c r="A29" s="3" t="s">
        <v>232</v>
      </c>
      <c r="B29" s="3" t="s">
        <v>13</v>
      </c>
      <c r="C29" s="3" t="s">
        <v>233</v>
      </c>
      <c r="D29" s="3" t="s">
        <v>69</v>
      </c>
      <c r="E29" s="3" t="s">
        <v>234</v>
      </c>
      <c r="F29" s="3" t="s">
        <v>69</v>
      </c>
      <c r="G29" s="3" t="s">
        <v>235</v>
      </c>
      <c r="H29" s="4" t="s">
        <v>27</v>
      </c>
      <c r="I29" s="3" t="s">
        <v>108</v>
      </c>
      <c r="J29" s="6" t="s">
        <v>8</v>
      </c>
      <c r="K29" s="6"/>
      <c r="L29" s="6"/>
      <c r="M29" s="7"/>
      <c r="N29" s="3" t="s">
        <v>236</v>
      </c>
    </row>
    <row r="30" spans="1:14">
      <c r="A30" s="3" t="s">
        <v>237</v>
      </c>
      <c r="B30" s="3" t="s">
        <v>13</v>
      </c>
      <c r="C30" s="3" t="s">
        <v>238</v>
      </c>
      <c r="D30" s="3" t="s">
        <v>239</v>
      </c>
      <c r="E30" s="3" t="s">
        <v>240</v>
      </c>
      <c r="F30" s="3" t="s">
        <v>69</v>
      </c>
      <c r="G30" s="3" t="s">
        <v>241</v>
      </c>
      <c r="H30" s="4" t="s">
        <v>27</v>
      </c>
      <c r="I30" s="3" t="s">
        <v>108</v>
      </c>
      <c r="J30" s="6" t="s">
        <v>8</v>
      </c>
      <c r="K30" s="6"/>
      <c r="L30" s="6"/>
      <c r="M30" s="7"/>
      <c r="N30" s="3" t="s">
        <v>242</v>
      </c>
    </row>
    <row r="31" spans="1:14">
      <c r="A31" s="3" t="s">
        <v>243</v>
      </c>
      <c r="B31" s="3" t="s">
        <v>13</v>
      </c>
      <c r="C31" s="3" t="s">
        <v>244</v>
      </c>
      <c r="D31" s="3" t="s">
        <v>245</v>
      </c>
      <c r="E31" s="3" t="s">
        <v>246</v>
      </c>
      <c r="F31" s="3" t="s">
        <v>69</v>
      </c>
      <c r="G31" s="3" t="s">
        <v>247</v>
      </c>
      <c r="H31" s="4" t="s">
        <v>27</v>
      </c>
      <c r="I31" s="3" t="s">
        <v>108</v>
      </c>
      <c r="J31" s="6" t="s">
        <v>8</v>
      </c>
      <c r="K31" s="6"/>
      <c r="L31" s="6"/>
      <c r="M31" s="7"/>
      <c r="N31" s="3" t="s">
        <v>242</v>
      </c>
    </row>
    <row r="32" spans="1:14">
      <c r="A32" s="3" t="s">
        <v>248</v>
      </c>
      <c r="B32" s="3" t="s">
        <v>13</v>
      </c>
      <c r="C32" s="3" t="s">
        <v>249</v>
      </c>
      <c r="D32" s="3" t="s">
        <v>250</v>
      </c>
      <c r="E32" s="3" t="s">
        <v>240</v>
      </c>
      <c r="F32" s="3" t="s">
        <v>69</v>
      </c>
      <c r="G32" s="3" t="s">
        <v>251</v>
      </c>
      <c r="H32" s="4" t="s">
        <v>27</v>
      </c>
      <c r="I32" s="3" t="s">
        <v>108</v>
      </c>
      <c r="J32" s="6" t="s">
        <v>8</v>
      </c>
      <c r="K32" s="6"/>
      <c r="L32" s="6"/>
      <c r="M32" s="7"/>
      <c r="N32" s="3" t="s">
        <v>72</v>
      </c>
    </row>
    <row r="33" spans="1:14">
      <c r="A33" s="3" t="s">
        <v>252</v>
      </c>
      <c r="B33" s="3" t="s">
        <v>13</v>
      </c>
      <c r="C33" s="3" t="s">
        <v>253</v>
      </c>
      <c r="D33" s="3" t="s">
        <v>254</v>
      </c>
      <c r="E33" s="3" t="s">
        <v>255</v>
      </c>
      <c r="F33" s="3" t="s">
        <v>69</v>
      </c>
      <c r="G33" s="3" t="s">
        <v>256</v>
      </c>
      <c r="H33" s="3" t="s">
        <v>28</v>
      </c>
      <c r="I33" s="3" t="s">
        <v>71</v>
      </c>
      <c r="J33" s="6" t="s">
        <v>8</v>
      </c>
      <c r="K33" s="6"/>
      <c r="L33" s="6"/>
      <c r="M33" s="7"/>
      <c r="N33" s="3" t="s">
        <v>257</v>
      </c>
    </row>
    <row r="34" spans="1:14">
      <c r="A34" s="3" t="s">
        <v>258</v>
      </c>
      <c r="B34" s="3" t="s">
        <v>13</v>
      </c>
      <c r="C34" s="3" t="s">
        <v>259</v>
      </c>
      <c r="D34" s="3" t="s">
        <v>260</v>
      </c>
      <c r="E34" s="3" t="s">
        <v>261</v>
      </c>
      <c r="F34" s="3" t="s">
        <v>69</v>
      </c>
      <c r="G34" s="3" t="s">
        <v>262</v>
      </c>
      <c r="H34" s="3" t="s">
        <v>29</v>
      </c>
      <c r="I34" s="3" t="s">
        <v>263</v>
      </c>
      <c r="J34" s="6" t="s">
        <v>8</v>
      </c>
      <c r="K34" s="6"/>
      <c r="L34" s="6"/>
      <c r="M34" s="7"/>
      <c r="N34" s="3" t="s">
        <v>72</v>
      </c>
    </row>
    <row r="35" spans="1:14">
      <c r="A35" s="3" t="s">
        <v>264</v>
      </c>
      <c r="B35" s="3" t="s">
        <v>13</v>
      </c>
      <c r="C35" s="3" t="s">
        <v>265</v>
      </c>
      <c r="D35" s="3" t="s">
        <v>260</v>
      </c>
      <c r="E35" s="3" t="s">
        <v>266</v>
      </c>
      <c r="F35" s="3" t="s">
        <v>69</v>
      </c>
      <c r="G35" s="3" t="s">
        <v>267</v>
      </c>
      <c r="H35" s="3" t="s">
        <v>28</v>
      </c>
      <c r="I35" s="3" t="s">
        <v>71</v>
      </c>
      <c r="J35" s="6" t="s">
        <v>8</v>
      </c>
      <c r="K35" s="6"/>
      <c r="L35" s="6"/>
      <c r="M35" s="7"/>
      <c r="N35" s="3" t="s">
        <v>268</v>
      </c>
    </row>
    <row r="36" spans="1:14">
      <c r="A36" s="3" t="s">
        <v>269</v>
      </c>
      <c r="B36" s="3" t="s">
        <v>14</v>
      </c>
      <c r="C36" s="3" t="s">
        <v>270</v>
      </c>
      <c r="D36" s="3" t="s">
        <v>271</v>
      </c>
      <c r="E36" s="3" t="s">
        <v>272</v>
      </c>
      <c r="F36" s="3" t="s">
        <v>273</v>
      </c>
      <c r="G36" s="3" t="s">
        <v>274</v>
      </c>
      <c r="H36" s="4" t="s">
        <v>27</v>
      </c>
      <c r="I36" s="3" t="s">
        <v>71</v>
      </c>
      <c r="J36" s="6" t="s">
        <v>8</v>
      </c>
      <c r="K36" s="6"/>
      <c r="L36" s="6"/>
      <c r="M36" s="7"/>
      <c r="N36" s="3" t="s">
        <v>275</v>
      </c>
    </row>
    <row r="37" spans="1:14">
      <c r="A37" s="3" t="s">
        <v>276</v>
      </c>
      <c r="B37" s="3" t="s">
        <v>14</v>
      </c>
      <c r="C37" s="3" t="s">
        <v>277</v>
      </c>
      <c r="D37" s="3" t="s">
        <v>260</v>
      </c>
      <c r="E37" s="3" t="s">
        <v>278</v>
      </c>
      <c r="F37" s="3" t="s">
        <v>69</v>
      </c>
      <c r="G37" s="3" t="s">
        <v>279</v>
      </c>
      <c r="H37" s="3" t="s">
        <v>28</v>
      </c>
      <c r="I37" s="3" t="s">
        <v>71</v>
      </c>
      <c r="J37" s="6" t="s">
        <v>8</v>
      </c>
      <c r="K37" s="6"/>
      <c r="L37" s="6"/>
      <c r="M37" s="7"/>
      <c r="N37" s="3" t="s">
        <v>72</v>
      </c>
    </row>
    <row r="38" spans="1:14">
      <c r="A38" s="3" t="s">
        <v>280</v>
      </c>
      <c r="B38" s="3" t="s">
        <v>14</v>
      </c>
      <c r="C38" s="3" t="s">
        <v>281</v>
      </c>
      <c r="D38" s="3" t="s">
        <v>282</v>
      </c>
      <c r="E38" s="3" t="s">
        <v>283</v>
      </c>
      <c r="F38" s="3" t="s">
        <v>69</v>
      </c>
      <c r="G38" s="3" t="s">
        <v>284</v>
      </c>
      <c r="H38" s="3" t="s">
        <v>29</v>
      </c>
      <c r="I38" s="3" t="s">
        <v>285</v>
      </c>
      <c r="J38" s="6" t="s">
        <v>8</v>
      </c>
      <c r="K38" s="6"/>
      <c r="L38" s="6"/>
      <c r="M38" s="7"/>
      <c r="N38" s="3" t="s">
        <v>286</v>
      </c>
    </row>
    <row r="39" spans="1:14">
      <c r="A39" s="3" t="s">
        <v>287</v>
      </c>
      <c r="B39" s="3" t="s">
        <v>14</v>
      </c>
      <c r="C39" s="3" t="s">
        <v>288</v>
      </c>
      <c r="D39" s="3" t="s">
        <v>260</v>
      </c>
      <c r="E39" s="3" t="s">
        <v>289</v>
      </c>
      <c r="F39" s="3" t="s">
        <v>69</v>
      </c>
      <c r="G39" s="3" t="s">
        <v>290</v>
      </c>
      <c r="H39" s="3" t="s">
        <v>29</v>
      </c>
      <c r="I39" s="3" t="s">
        <v>263</v>
      </c>
      <c r="J39" s="6" t="s">
        <v>8</v>
      </c>
      <c r="K39" s="6"/>
      <c r="L39" s="6"/>
      <c r="M39" s="7"/>
      <c r="N39" s="3" t="s">
        <v>72</v>
      </c>
    </row>
    <row r="40" spans="1:14">
      <c r="A40" s="3" t="s">
        <v>291</v>
      </c>
      <c r="B40" s="3" t="s">
        <v>15</v>
      </c>
      <c r="C40" s="3" t="s">
        <v>292</v>
      </c>
      <c r="D40" s="3" t="s">
        <v>293</v>
      </c>
      <c r="E40" s="3" t="s">
        <v>294</v>
      </c>
      <c r="F40" s="3" t="s">
        <v>69</v>
      </c>
      <c r="G40" s="3" t="s">
        <v>295</v>
      </c>
      <c r="H40" s="5" t="s">
        <v>26</v>
      </c>
      <c r="I40" s="3" t="s">
        <v>71</v>
      </c>
      <c r="J40" s="6" t="s">
        <v>8</v>
      </c>
      <c r="K40" s="6"/>
      <c r="L40" s="6"/>
      <c r="M40" s="7"/>
      <c r="N40" s="3" t="s">
        <v>72</v>
      </c>
    </row>
    <row r="41" spans="1:14">
      <c r="A41" s="3" t="s">
        <v>296</v>
      </c>
      <c r="B41" s="3" t="s">
        <v>15</v>
      </c>
      <c r="C41" s="3" t="s">
        <v>297</v>
      </c>
      <c r="D41" s="3" t="s">
        <v>298</v>
      </c>
      <c r="E41" s="3" t="s">
        <v>299</v>
      </c>
      <c r="F41" s="3" t="s">
        <v>69</v>
      </c>
      <c r="G41" s="3" t="s">
        <v>300</v>
      </c>
      <c r="H41" s="4" t="s">
        <v>27</v>
      </c>
      <c r="I41" s="3" t="s">
        <v>71</v>
      </c>
      <c r="J41" s="6" t="s">
        <v>8</v>
      </c>
      <c r="K41" s="6"/>
      <c r="L41" s="6"/>
      <c r="M41" s="7"/>
      <c r="N41" s="3" t="s">
        <v>301</v>
      </c>
    </row>
    <row r="42" spans="1:14">
      <c r="A42" s="3" t="s">
        <v>302</v>
      </c>
      <c r="B42" s="3" t="s">
        <v>15</v>
      </c>
      <c r="C42" s="3" t="s">
        <v>303</v>
      </c>
      <c r="D42" s="3" t="s">
        <v>298</v>
      </c>
      <c r="E42" s="3" t="s">
        <v>304</v>
      </c>
      <c r="F42" s="3" t="s">
        <v>69</v>
      </c>
      <c r="G42" s="3" t="s">
        <v>305</v>
      </c>
      <c r="H42" s="4" t="s">
        <v>27</v>
      </c>
      <c r="I42" s="3" t="s">
        <v>71</v>
      </c>
      <c r="J42" s="6" t="s">
        <v>8</v>
      </c>
      <c r="K42" s="6"/>
      <c r="L42" s="6"/>
      <c r="M42" s="7"/>
      <c r="N42" s="3" t="s">
        <v>301</v>
      </c>
    </row>
    <row r="43" spans="1:14">
      <c r="A43" s="3" t="s">
        <v>306</v>
      </c>
      <c r="B43" s="3" t="s">
        <v>15</v>
      </c>
      <c r="C43" s="3" t="s">
        <v>307</v>
      </c>
      <c r="D43" s="3" t="s">
        <v>298</v>
      </c>
      <c r="E43" s="3" t="s">
        <v>308</v>
      </c>
      <c r="F43" s="3" t="s">
        <v>69</v>
      </c>
      <c r="G43" s="3" t="s">
        <v>309</v>
      </c>
      <c r="H43" s="3" t="s">
        <v>28</v>
      </c>
      <c r="I43" s="3" t="s">
        <v>71</v>
      </c>
      <c r="J43" s="6" t="s">
        <v>8</v>
      </c>
      <c r="K43" s="6"/>
      <c r="L43" s="6"/>
      <c r="M43" s="7"/>
      <c r="N43" s="3" t="s">
        <v>310</v>
      </c>
    </row>
    <row r="44" spans="1:14">
      <c r="A44" s="3" t="s">
        <v>311</v>
      </c>
      <c r="B44" s="3" t="s">
        <v>15</v>
      </c>
      <c r="C44" s="3" t="s">
        <v>312</v>
      </c>
      <c r="D44" s="3" t="s">
        <v>313</v>
      </c>
      <c r="E44" s="3" t="s">
        <v>314</v>
      </c>
      <c r="F44" s="3" t="s">
        <v>69</v>
      </c>
      <c r="G44" s="3" t="s">
        <v>315</v>
      </c>
      <c r="H44" s="5" t="s">
        <v>26</v>
      </c>
      <c r="I44" s="3" t="s">
        <v>71</v>
      </c>
      <c r="J44" s="6" t="s">
        <v>8</v>
      </c>
      <c r="K44" s="6"/>
      <c r="L44" s="6"/>
      <c r="M44" s="7"/>
      <c r="N44" s="3" t="s">
        <v>316</v>
      </c>
    </row>
    <row r="45" spans="1:14">
      <c r="A45" s="3" t="s">
        <v>317</v>
      </c>
      <c r="B45" s="3" t="s">
        <v>15</v>
      </c>
      <c r="C45" s="3" t="s">
        <v>318</v>
      </c>
      <c r="D45" s="3" t="s">
        <v>319</v>
      </c>
      <c r="E45" s="3" t="s">
        <v>320</v>
      </c>
      <c r="F45" s="3" t="s">
        <v>69</v>
      </c>
      <c r="G45" s="3" t="s">
        <v>321</v>
      </c>
      <c r="H45" s="4" t="s">
        <v>27</v>
      </c>
      <c r="I45" s="3" t="s">
        <v>108</v>
      </c>
      <c r="J45" s="6" t="s">
        <v>8</v>
      </c>
      <c r="K45" s="6"/>
      <c r="L45" s="6"/>
      <c r="M45" s="7"/>
      <c r="N45" s="3" t="s">
        <v>322</v>
      </c>
    </row>
    <row r="46" spans="1:14">
      <c r="A46" s="3" t="s">
        <v>323</v>
      </c>
      <c r="B46" s="3" t="s">
        <v>15</v>
      </c>
      <c r="C46" s="3" t="s">
        <v>324</v>
      </c>
      <c r="D46" s="3" t="s">
        <v>260</v>
      </c>
      <c r="E46" s="3" t="s">
        <v>325</v>
      </c>
      <c r="F46" s="3" t="s">
        <v>69</v>
      </c>
      <c r="G46" s="3" t="s">
        <v>326</v>
      </c>
      <c r="H46" s="4" t="s">
        <v>27</v>
      </c>
      <c r="I46" s="3" t="s">
        <v>108</v>
      </c>
      <c r="J46" s="6" t="s">
        <v>8</v>
      </c>
      <c r="K46" s="6"/>
      <c r="L46" s="6"/>
      <c r="M46" s="7"/>
      <c r="N46" s="3" t="s">
        <v>72</v>
      </c>
    </row>
    <row r="47" spans="1:14">
      <c r="A47" s="3" t="s">
        <v>327</v>
      </c>
      <c r="B47" s="3" t="s">
        <v>15</v>
      </c>
      <c r="C47" s="3" t="s">
        <v>328</v>
      </c>
      <c r="D47" s="3" t="s">
        <v>329</v>
      </c>
      <c r="E47" s="3" t="s">
        <v>330</v>
      </c>
      <c r="F47" s="3" t="s">
        <v>69</v>
      </c>
      <c r="G47" s="3" t="s">
        <v>331</v>
      </c>
      <c r="H47" s="3" t="s">
        <v>28</v>
      </c>
      <c r="I47" s="3" t="s">
        <v>285</v>
      </c>
      <c r="J47" s="6" t="s">
        <v>8</v>
      </c>
      <c r="K47" s="6"/>
      <c r="L47" s="6"/>
      <c r="M47" s="7"/>
      <c r="N47" s="3" t="s">
        <v>72</v>
      </c>
    </row>
    <row r="48" spans="1:14">
      <c r="A48" s="3" t="s">
        <v>332</v>
      </c>
      <c r="B48" s="3" t="s">
        <v>16</v>
      </c>
      <c r="C48" s="3" t="s">
        <v>333</v>
      </c>
      <c r="D48" s="3" t="s">
        <v>334</v>
      </c>
      <c r="E48" s="3" t="s">
        <v>335</v>
      </c>
      <c r="F48" s="3" t="s">
        <v>69</v>
      </c>
      <c r="G48" s="3" t="s">
        <v>336</v>
      </c>
      <c r="H48" s="4" t="s">
        <v>27</v>
      </c>
      <c r="I48" s="3" t="s">
        <v>108</v>
      </c>
      <c r="J48" s="6" t="s">
        <v>8</v>
      </c>
      <c r="K48" s="6"/>
      <c r="L48" s="6"/>
      <c r="M48" s="7"/>
      <c r="N48" s="3" t="s">
        <v>337</v>
      </c>
    </row>
    <row r="49" spans="1:14">
      <c r="A49" s="3" t="s">
        <v>338</v>
      </c>
      <c r="B49" s="3" t="s">
        <v>16</v>
      </c>
      <c r="C49" s="3" t="s">
        <v>339</v>
      </c>
      <c r="D49" s="3" t="s">
        <v>340</v>
      </c>
      <c r="E49" s="3" t="s">
        <v>341</v>
      </c>
      <c r="F49" s="3" t="s">
        <v>69</v>
      </c>
      <c r="G49" s="3" t="s">
        <v>342</v>
      </c>
      <c r="H49" s="5" t="s">
        <v>26</v>
      </c>
      <c r="I49" s="3" t="s">
        <v>21</v>
      </c>
      <c r="J49" s="6" t="s">
        <v>8</v>
      </c>
      <c r="K49" s="6"/>
      <c r="L49" s="6"/>
      <c r="M49" s="7"/>
      <c r="N49" s="3" t="s">
        <v>337</v>
      </c>
    </row>
    <row r="50" spans="1:14">
      <c r="A50" s="3" t="s">
        <v>343</v>
      </c>
      <c r="B50" s="3" t="s">
        <v>16</v>
      </c>
      <c r="C50" s="3" t="s">
        <v>344</v>
      </c>
      <c r="D50" s="3" t="s">
        <v>345</v>
      </c>
      <c r="E50" s="3" t="s">
        <v>346</v>
      </c>
      <c r="F50" s="3" t="s">
        <v>347</v>
      </c>
      <c r="G50" s="3" t="s">
        <v>348</v>
      </c>
      <c r="H50" s="5" t="s">
        <v>26</v>
      </c>
      <c r="I50" s="3" t="s">
        <v>71</v>
      </c>
      <c r="J50" s="6" t="s">
        <v>8</v>
      </c>
      <c r="K50" s="6"/>
      <c r="L50" s="6"/>
      <c r="M50" s="7"/>
      <c r="N50" s="3" t="s">
        <v>316</v>
      </c>
    </row>
    <row r="51" spans="1:14">
      <c r="A51" s="3" t="s">
        <v>349</v>
      </c>
      <c r="B51" s="3" t="s">
        <v>16</v>
      </c>
      <c r="C51" s="3" t="s">
        <v>350</v>
      </c>
      <c r="D51" s="3" t="s">
        <v>69</v>
      </c>
      <c r="E51" s="3" t="s">
        <v>351</v>
      </c>
      <c r="F51" s="3" t="s">
        <v>69</v>
      </c>
      <c r="G51" s="3" t="s">
        <v>352</v>
      </c>
      <c r="H51" s="3" t="s">
        <v>28</v>
      </c>
      <c r="I51" s="3" t="s">
        <v>285</v>
      </c>
      <c r="J51" s="6" t="s">
        <v>8</v>
      </c>
      <c r="K51" s="6"/>
      <c r="L51" s="6"/>
      <c r="M51" s="7"/>
      <c r="N51" s="3" t="s">
        <v>353</v>
      </c>
    </row>
    <row r="52" spans="1:14">
      <c r="A52" s="3" t="s">
        <v>354</v>
      </c>
      <c r="B52" s="3" t="s">
        <v>16</v>
      </c>
      <c r="C52" s="3" t="s">
        <v>355</v>
      </c>
      <c r="D52" s="3" t="s">
        <v>356</v>
      </c>
      <c r="E52" s="3" t="s">
        <v>357</v>
      </c>
      <c r="F52" s="3" t="s">
        <v>69</v>
      </c>
      <c r="G52" s="3" t="s">
        <v>358</v>
      </c>
      <c r="H52" s="3" t="s">
        <v>28</v>
      </c>
      <c r="I52" s="3" t="s">
        <v>285</v>
      </c>
      <c r="J52" s="6" t="s">
        <v>8</v>
      </c>
      <c r="K52" s="6"/>
      <c r="L52" s="6"/>
      <c r="M52" s="7"/>
      <c r="N52" s="3" t="s">
        <v>359</v>
      </c>
    </row>
    <row r="53" spans="1:14">
      <c r="A53" s="3" t="s">
        <v>360</v>
      </c>
      <c r="B53" s="3" t="s">
        <v>16</v>
      </c>
      <c r="C53" s="3" t="s">
        <v>361</v>
      </c>
      <c r="D53" s="3" t="s">
        <v>362</v>
      </c>
      <c r="E53" s="3" t="s">
        <v>363</v>
      </c>
      <c r="F53" s="3" t="s">
        <v>69</v>
      </c>
      <c r="G53" s="3" t="s">
        <v>364</v>
      </c>
      <c r="H53" s="4" t="s">
        <v>27</v>
      </c>
      <c r="I53" s="3" t="s">
        <v>108</v>
      </c>
      <c r="J53" s="6" t="s">
        <v>8</v>
      </c>
      <c r="K53" s="6"/>
      <c r="L53" s="6"/>
      <c r="M53" s="7"/>
      <c r="N53" s="3" t="s">
        <v>365</v>
      </c>
    </row>
    <row r="54" spans="1:14">
      <c r="A54" s="3" t="s">
        <v>366</v>
      </c>
      <c r="B54" s="3" t="s">
        <v>17</v>
      </c>
      <c r="C54" s="3" t="s">
        <v>367</v>
      </c>
      <c r="D54" s="3" t="s">
        <v>368</v>
      </c>
      <c r="E54" s="3" t="s">
        <v>369</v>
      </c>
      <c r="F54" s="3" t="s">
        <v>69</v>
      </c>
      <c r="G54" s="3" t="s">
        <v>370</v>
      </c>
      <c r="H54" s="4" t="s">
        <v>27</v>
      </c>
      <c r="I54" s="3" t="s">
        <v>71</v>
      </c>
      <c r="J54" s="6" t="s">
        <v>8</v>
      </c>
      <c r="K54" s="6"/>
      <c r="L54" s="6"/>
      <c r="M54" s="7"/>
      <c r="N54" s="3" t="s">
        <v>371</v>
      </c>
    </row>
    <row r="55" spans="1:14">
      <c r="A55" s="3" t="s">
        <v>372</v>
      </c>
      <c r="B55" s="3" t="s">
        <v>17</v>
      </c>
      <c r="C55" s="3" t="s">
        <v>373</v>
      </c>
      <c r="D55" s="3" t="s">
        <v>374</v>
      </c>
      <c r="E55" s="3" t="s">
        <v>375</v>
      </c>
      <c r="F55" s="3" t="s">
        <v>69</v>
      </c>
      <c r="G55" s="3" t="s">
        <v>376</v>
      </c>
      <c r="H55" s="3" t="s">
        <v>28</v>
      </c>
      <c r="I55" s="3" t="s">
        <v>71</v>
      </c>
      <c r="J55" s="6" t="s">
        <v>8</v>
      </c>
      <c r="K55" s="6"/>
      <c r="L55" s="6"/>
      <c r="M55" s="7"/>
      <c r="N55" s="3" t="s">
        <v>377</v>
      </c>
    </row>
    <row r="56" spans="1:14">
      <c r="A56" s="3" t="s">
        <v>378</v>
      </c>
      <c r="B56" s="3" t="s">
        <v>17</v>
      </c>
      <c r="C56" s="3" t="s">
        <v>379</v>
      </c>
      <c r="D56" s="3" t="s">
        <v>380</v>
      </c>
      <c r="E56" s="3" t="s">
        <v>381</v>
      </c>
      <c r="F56" s="3" t="s">
        <v>69</v>
      </c>
      <c r="G56" s="3" t="s">
        <v>382</v>
      </c>
      <c r="H56" s="3" t="s">
        <v>28</v>
      </c>
      <c r="I56" s="3" t="s">
        <v>108</v>
      </c>
      <c r="J56" s="6" t="s">
        <v>8</v>
      </c>
      <c r="K56" s="6"/>
      <c r="L56" s="6"/>
      <c r="M56" s="7"/>
      <c r="N56" s="3" t="s">
        <v>383</v>
      </c>
    </row>
    <row r="57" spans="1:14">
      <c r="A57" s="3" t="s">
        <v>384</v>
      </c>
      <c r="B57" s="3" t="s">
        <v>17</v>
      </c>
      <c r="C57" s="3" t="s">
        <v>385</v>
      </c>
      <c r="D57" s="3" t="s">
        <v>386</v>
      </c>
      <c r="E57" s="3" t="s">
        <v>387</v>
      </c>
      <c r="F57" s="3" t="s">
        <v>69</v>
      </c>
      <c r="G57" s="3" t="s">
        <v>388</v>
      </c>
      <c r="H57" s="3" t="s">
        <v>29</v>
      </c>
      <c r="I57" s="3" t="s">
        <v>108</v>
      </c>
      <c r="J57" s="6" t="s">
        <v>8</v>
      </c>
      <c r="K57" s="6"/>
      <c r="L57" s="6"/>
      <c r="M57" s="7"/>
      <c r="N57" s="3" t="s">
        <v>389</v>
      </c>
    </row>
    <row r="58" spans="1:14">
      <c r="A58" s="3" t="s">
        <v>390</v>
      </c>
      <c r="B58" s="3" t="s">
        <v>18</v>
      </c>
      <c r="C58" s="3" t="s">
        <v>391</v>
      </c>
      <c r="D58" s="3" t="s">
        <v>392</v>
      </c>
      <c r="E58" s="3" t="s">
        <v>393</v>
      </c>
      <c r="F58" s="3" t="s">
        <v>69</v>
      </c>
      <c r="G58" s="3" t="s">
        <v>394</v>
      </c>
      <c r="H58" s="4" t="s">
        <v>27</v>
      </c>
      <c r="I58" s="3" t="s">
        <v>71</v>
      </c>
      <c r="J58" s="6" t="s">
        <v>8</v>
      </c>
      <c r="K58" s="6"/>
      <c r="L58" s="6"/>
      <c r="M58" s="7"/>
      <c r="N58" s="3" t="s">
        <v>395</v>
      </c>
    </row>
    <row r="59" spans="1:14">
      <c r="A59" s="3" t="s">
        <v>396</v>
      </c>
      <c r="B59" s="3" t="s">
        <v>18</v>
      </c>
      <c r="C59" s="3" t="s">
        <v>397</v>
      </c>
      <c r="D59" s="3" t="s">
        <v>298</v>
      </c>
      <c r="E59" s="3" t="s">
        <v>398</v>
      </c>
      <c r="F59" s="3" t="s">
        <v>69</v>
      </c>
      <c r="G59" s="3" t="s">
        <v>399</v>
      </c>
      <c r="H59" s="4" t="s">
        <v>27</v>
      </c>
      <c r="I59" s="3" t="s">
        <v>71</v>
      </c>
      <c r="J59" s="6" t="s">
        <v>8</v>
      </c>
      <c r="K59" s="6"/>
      <c r="L59" s="6"/>
      <c r="M59" s="7"/>
      <c r="N59" s="3" t="s">
        <v>400</v>
      </c>
    </row>
    <row r="60" spans="1:14">
      <c r="A60" s="3" t="s">
        <v>401</v>
      </c>
      <c r="B60" s="3" t="s">
        <v>18</v>
      </c>
      <c r="C60" s="3" t="s">
        <v>402</v>
      </c>
      <c r="D60" s="3" t="s">
        <v>403</v>
      </c>
      <c r="E60" s="3" t="s">
        <v>404</v>
      </c>
      <c r="F60" s="3" t="s">
        <v>69</v>
      </c>
      <c r="G60" s="3" t="s">
        <v>405</v>
      </c>
      <c r="H60" s="3" t="s">
        <v>28</v>
      </c>
      <c r="I60" s="3" t="s">
        <v>108</v>
      </c>
      <c r="J60" s="6" t="s">
        <v>8</v>
      </c>
      <c r="K60" s="6"/>
      <c r="L60" s="6"/>
      <c r="M60" s="7"/>
      <c r="N60" s="3" t="s">
        <v>406</v>
      </c>
    </row>
    <row r="61" spans="1:14">
      <c r="A61" s="3" t="s">
        <v>407</v>
      </c>
      <c r="B61" s="3" t="s">
        <v>18</v>
      </c>
      <c r="C61" s="3" t="s">
        <v>408</v>
      </c>
      <c r="D61" s="3" t="s">
        <v>409</v>
      </c>
      <c r="E61" s="3" t="s">
        <v>410</v>
      </c>
      <c r="F61" s="3" t="s">
        <v>69</v>
      </c>
      <c r="G61" s="3" t="s">
        <v>411</v>
      </c>
      <c r="H61" s="3" t="s">
        <v>29</v>
      </c>
      <c r="I61" s="3" t="s">
        <v>285</v>
      </c>
      <c r="J61" s="6" t="s">
        <v>8</v>
      </c>
      <c r="K61" s="6"/>
      <c r="L61" s="6"/>
      <c r="M61" s="7"/>
      <c r="N61" s="3" t="s">
        <v>412</v>
      </c>
    </row>
    <row r="62" spans="1:14">
      <c r="A62" s="3" t="s">
        <v>413</v>
      </c>
      <c r="B62" s="3" t="s">
        <v>19</v>
      </c>
      <c r="C62" s="3" t="s">
        <v>414</v>
      </c>
      <c r="D62" s="3" t="s">
        <v>415</v>
      </c>
      <c r="E62" s="3" t="s">
        <v>416</v>
      </c>
      <c r="F62" s="3" t="s">
        <v>69</v>
      </c>
      <c r="G62" s="3" t="s">
        <v>417</v>
      </c>
      <c r="H62" s="4" t="s">
        <v>27</v>
      </c>
      <c r="I62" s="3" t="s">
        <v>71</v>
      </c>
      <c r="J62" s="6" t="s">
        <v>8</v>
      </c>
      <c r="K62" s="6"/>
      <c r="L62" s="6"/>
      <c r="M62" s="7"/>
      <c r="N62" s="3" t="s">
        <v>418</v>
      </c>
    </row>
    <row r="63" spans="1:14">
      <c r="A63" s="3" t="s">
        <v>419</v>
      </c>
      <c r="B63" s="3" t="s">
        <v>19</v>
      </c>
      <c r="C63" s="3" t="s">
        <v>420</v>
      </c>
      <c r="D63" s="3" t="s">
        <v>421</v>
      </c>
      <c r="E63" s="3" t="s">
        <v>416</v>
      </c>
      <c r="F63" s="3" t="s">
        <v>69</v>
      </c>
      <c r="G63" s="3" t="s">
        <v>422</v>
      </c>
      <c r="H63" s="3" t="s">
        <v>28</v>
      </c>
      <c r="I63" s="3" t="s">
        <v>71</v>
      </c>
      <c r="J63" s="6" t="s">
        <v>8</v>
      </c>
      <c r="K63" s="6"/>
      <c r="L63" s="6"/>
      <c r="M63" s="7"/>
      <c r="N63" s="3" t="s">
        <v>423</v>
      </c>
    </row>
    <row r="64" spans="1:14">
      <c r="A64" s="3" t="s">
        <v>424</v>
      </c>
      <c r="B64" s="3" t="s">
        <v>19</v>
      </c>
      <c r="C64" s="3" t="s">
        <v>425</v>
      </c>
      <c r="D64" s="3" t="s">
        <v>426</v>
      </c>
      <c r="E64" s="3" t="s">
        <v>416</v>
      </c>
      <c r="F64" s="3" t="s">
        <v>69</v>
      </c>
      <c r="G64" s="3" t="s">
        <v>427</v>
      </c>
      <c r="H64" s="4" t="s">
        <v>27</v>
      </c>
      <c r="I64" s="3" t="s">
        <v>108</v>
      </c>
      <c r="J64" s="6" t="s">
        <v>8</v>
      </c>
      <c r="K64" s="6"/>
      <c r="L64" s="6"/>
      <c r="M64" s="7"/>
      <c r="N64" s="3" t="s">
        <v>428</v>
      </c>
    </row>
    <row r="65" spans="1:14">
      <c r="A65" s="3" t="s">
        <v>429</v>
      </c>
      <c r="B65" s="3" t="s">
        <v>20</v>
      </c>
      <c r="C65" s="3" t="s">
        <v>430</v>
      </c>
      <c r="D65" s="3" t="s">
        <v>431</v>
      </c>
      <c r="E65" s="3" t="s">
        <v>432</v>
      </c>
      <c r="F65" s="3" t="s">
        <v>69</v>
      </c>
      <c r="G65" s="3" t="s">
        <v>433</v>
      </c>
      <c r="H65" s="5" t="s">
        <v>26</v>
      </c>
      <c r="I65" s="3" t="s">
        <v>71</v>
      </c>
      <c r="J65" s="6" t="s">
        <v>8</v>
      </c>
      <c r="K65" s="6"/>
      <c r="L65" s="6"/>
      <c r="M65" s="7"/>
      <c r="N65" s="3" t="s">
        <v>434</v>
      </c>
    </row>
    <row r="66" spans="1:14">
      <c r="A66" s="3" t="s">
        <v>435</v>
      </c>
      <c r="B66" s="3" t="s">
        <v>20</v>
      </c>
      <c r="C66" s="3" t="s">
        <v>436</v>
      </c>
      <c r="D66" s="3" t="s">
        <v>437</v>
      </c>
      <c r="E66" s="3" t="s">
        <v>438</v>
      </c>
      <c r="F66" s="3" t="s">
        <v>69</v>
      </c>
      <c r="G66" s="3" t="s">
        <v>439</v>
      </c>
      <c r="H66" s="5" t="s">
        <v>26</v>
      </c>
      <c r="I66" s="3" t="s">
        <v>21</v>
      </c>
      <c r="J66" s="6" t="s">
        <v>8</v>
      </c>
      <c r="K66" s="6"/>
      <c r="L66" s="6"/>
      <c r="M66" s="7"/>
      <c r="N66" s="3" t="s">
        <v>434</v>
      </c>
    </row>
    <row r="67" spans="1:14">
      <c r="A67" s="3" t="s">
        <v>440</v>
      </c>
      <c r="B67" s="3" t="s">
        <v>20</v>
      </c>
      <c r="C67" s="3" t="s">
        <v>441</v>
      </c>
      <c r="D67" s="3" t="s">
        <v>69</v>
      </c>
      <c r="E67" s="3" t="s">
        <v>442</v>
      </c>
      <c r="F67" s="3" t="s">
        <v>69</v>
      </c>
      <c r="G67" s="3" t="s">
        <v>443</v>
      </c>
      <c r="H67" s="4" t="s">
        <v>27</v>
      </c>
      <c r="I67" s="3" t="s">
        <v>21</v>
      </c>
      <c r="J67" s="6" t="s">
        <v>8</v>
      </c>
      <c r="K67" s="6"/>
      <c r="L67" s="6"/>
      <c r="M67" s="7"/>
      <c r="N67" s="3" t="s">
        <v>72</v>
      </c>
    </row>
    <row r="68" spans="1:14">
      <c r="A68" s="3" t="s">
        <v>444</v>
      </c>
      <c r="B68" s="3" t="s">
        <v>20</v>
      </c>
      <c r="C68" s="3" t="s">
        <v>445</v>
      </c>
      <c r="D68" s="3" t="s">
        <v>446</v>
      </c>
      <c r="E68" s="3" t="s">
        <v>447</v>
      </c>
      <c r="F68" s="3" t="s">
        <v>69</v>
      </c>
      <c r="G68" s="3" t="s">
        <v>448</v>
      </c>
      <c r="H68" s="4" t="s">
        <v>27</v>
      </c>
      <c r="I68" s="3" t="s">
        <v>71</v>
      </c>
      <c r="J68" s="6" t="s">
        <v>8</v>
      </c>
      <c r="K68" s="6"/>
      <c r="L68" s="6"/>
      <c r="M68" s="7"/>
      <c r="N68" s="3" t="s">
        <v>449</v>
      </c>
    </row>
    <row r="69" spans="1:14">
      <c r="A69" s="3" t="s">
        <v>450</v>
      </c>
      <c r="B69" s="3" t="s">
        <v>20</v>
      </c>
      <c r="C69" s="3" t="s">
        <v>451</v>
      </c>
      <c r="D69" s="3" t="s">
        <v>452</v>
      </c>
      <c r="E69" s="3" t="s">
        <v>453</v>
      </c>
      <c r="F69" s="3" t="s">
        <v>69</v>
      </c>
      <c r="G69" s="3" t="s">
        <v>454</v>
      </c>
      <c r="H69" s="4" t="s">
        <v>27</v>
      </c>
      <c r="I69" s="3" t="s">
        <v>21</v>
      </c>
      <c r="J69" s="6" t="s">
        <v>8</v>
      </c>
      <c r="K69" s="6"/>
      <c r="L69" s="6"/>
      <c r="M69" s="7"/>
      <c r="N69" s="3" t="s">
        <v>449</v>
      </c>
    </row>
    <row r="70" spans="1:14">
      <c r="A70" s="3" t="s">
        <v>455</v>
      </c>
      <c r="B70" s="3" t="s">
        <v>20</v>
      </c>
      <c r="C70" s="3" t="s">
        <v>456</v>
      </c>
      <c r="D70" s="3" t="s">
        <v>457</v>
      </c>
      <c r="E70" s="3" t="s">
        <v>458</v>
      </c>
      <c r="F70" s="3" t="s">
        <v>69</v>
      </c>
      <c r="G70" s="3" t="s">
        <v>459</v>
      </c>
      <c r="H70" s="3" t="s">
        <v>29</v>
      </c>
      <c r="I70" s="3" t="s">
        <v>263</v>
      </c>
      <c r="J70" s="6" t="s">
        <v>8</v>
      </c>
      <c r="K70" s="6"/>
      <c r="L70" s="6"/>
      <c r="M70" s="7"/>
      <c r="N70" s="3" t="s">
        <v>460</v>
      </c>
    </row>
    <row r="71" spans="1:14">
      <c r="A71" s="3" t="s">
        <v>461</v>
      </c>
      <c r="B71" s="3" t="s">
        <v>21</v>
      </c>
      <c r="C71" s="3" t="s">
        <v>462</v>
      </c>
      <c r="D71" s="3" t="s">
        <v>463</v>
      </c>
      <c r="E71" s="3" t="s">
        <v>464</v>
      </c>
      <c r="F71" s="3" t="s">
        <v>69</v>
      </c>
      <c r="G71" s="3" t="s">
        <v>465</v>
      </c>
      <c r="H71" s="5" t="s">
        <v>26</v>
      </c>
      <c r="I71" s="3" t="s">
        <v>21</v>
      </c>
      <c r="J71" s="6" t="s">
        <v>8</v>
      </c>
      <c r="K71" s="6"/>
      <c r="L71" s="6"/>
      <c r="M71" s="7"/>
      <c r="N71" s="3" t="s">
        <v>466</v>
      </c>
    </row>
    <row r="72" spans="1:14">
      <c r="A72" s="3" t="s">
        <v>467</v>
      </c>
      <c r="B72" s="3" t="s">
        <v>21</v>
      </c>
      <c r="C72" s="3" t="s">
        <v>468</v>
      </c>
      <c r="D72" s="3" t="s">
        <v>469</v>
      </c>
      <c r="E72" s="3" t="s">
        <v>470</v>
      </c>
      <c r="F72" s="3" t="s">
        <v>69</v>
      </c>
      <c r="G72" s="3" t="s">
        <v>471</v>
      </c>
      <c r="H72" s="5" t="s">
        <v>26</v>
      </c>
      <c r="I72" s="3" t="s">
        <v>21</v>
      </c>
      <c r="J72" s="6" t="s">
        <v>8</v>
      </c>
      <c r="K72" s="6"/>
      <c r="L72" s="6"/>
      <c r="M72" s="7"/>
      <c r="N72" s="3" t="s">
        <v>472</v>
      </c>
    </row>
    <row r="73" spans="1:14">
      <c r="A73" s="3" t="s">
        <v>473</v>
      </c>
      <c r="B73" s="3" t="s">
        <v>21</v>
      </c>
      <c r="C73" s="3" t="s">
        <v>474</v>
      </c>
      <c r="D73" s="3" t="s">
        <v>260</v>
      </c>
      <c r="E73" s="3" t="s">
        <v>475</v>
      </c>
      <c r="F73" s="3" t="s">
        <v>69</v>
      </c>
      <c r="G73" s="3" t="s">
        <v>476</v>
      </c>
      <c r="H73" s="4" t="s">
        <v>27</v>
      </c>
      <c r="I73" s="3" t="s">
        <v>21</v>
      </c>
      <c r="J73" s="6" t="s">
        <v>8</v>
      </c>
      <c r="K73" s="6"/>
      <c r="L73" s="6"/>
      <c r="M73" s="7"/>
      <c r="N73" s="3" t="s">
        <v>477</v>
      </c>
    </row>
    <row r="74" spans="1:14">
      <c r="A74" s="3" t="s">
        <v>478</v>
      </c>
      <c r="B74" s="3" t="s">
        <v>22</v>
      </c>
      <c r="C74" s="3" t="s">
        <v>479</v>
      </c>
      <c r="D74" s="3" t="s">
        <v>480</v>
      </c>
      <c r="E74" s="3" t="s">
        <v>387</v>
      </c>
      <c r="F74" s="3" t="s">
        <v>69</v>
      </c>
      <c r="G74" s="3" t="s">
        <v>481</v>
      </c>
      <c r="H74" s="4" t="s">
        <v>27</v>
      </c>
      <c r="I74" s="3" t="s">
        <v>108</v>
      </c>
      <c r="J74" s="6" t="s">
        <v>8</v>
      </c>
      <c r="K74" s="6"/>
      <c r="L74" s="6"/>
      <c r="M74" s="7"/>
      <c r="N74" s="3" t="s">
        <v>482</v>
      </c>
    </row>
    <row r="75" spans="1:14">
      <c r="A75" s="3" t="s">
        <v>483</v>
      </c>
      <c r="B75" s="3" t="s">
        <v>22</v>
      </c>
      <c r="C75" s="3" t="s">
        <v>484</v>
      </c>
      <c r="D75" s="3" t="s">
        <v>485</v>
      </c>
      <c r="E75" s="3" t="s">
        <v>486</v>
      </c>
      <c r="F75" s="3" t="s">
        <v>69</v>
      </c>
      <c r="G75" s="3" t="s">
        <v>487</v>
      </c>
      <c r="H75" s="3" t="s">
        <v>29</v>
      </c>
      <c r="I75" s="3" t="s">
        <v>285</v>
      </c>
      <c r="J75" s="6" t="s">
        <v>8</v>
      </c>
      <c r="K75" s="6"/>
      <c r="L75" s="6"/>
      <c r="M75" s="7"/>
      <c r="N75" s="3" t="s">
        <v>488</v>
      </c>
    </row>
    <row r="76" spans="1:14">
      <c r="A76" s="3" t="s">
        <v>489</v>
      </c>
      <c r="B76" s="3" t="s">
        <v>22</v>
      </c>
      <c r="C76" s="3" t="s">
        <v>490</v>
      </c>
      <c r="D76" s="3" t="s">
        <v>491</v>
      </c>
      <c r="E76" s="3" t="s">
        <v>492</v>
      </c>
      <c r="F76" s="3" t="s">
        <v>69</v>
      </c>
      <c r="G76" s="3" t="s">
        <v>493</v>
      </c>
      <c r="H76" s="3" t="s">
        <v>29</v>
      </c>
      <c r="I76" s="3" t="s">
        <v>285</v>
      </c>
      <c r="J76" s="6" t="s">
        <v>8</v>
      </c>
      <c r="K76" s="6"/>
      <c r="L76" s="6"/>
      <c r="M76" s="7"/>
      <c r="N76" s="3" t="s">
        <v>494</v>
      </c>
    </row>
  </sheetData>
  <autoFilter ref="A1:N76"/>
  <conditionalFormatting sqref="J2:J76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</conditionalFormatting>
  <dataValidations count="1">
    <dataValidation type="list" errorStyle="stop" operator="between" allowBlank="0" showDropDown="0" showInputMessage="0" showErrorMessage="1" errorTitle="Status" error="Pick a status from the list." sqref="J2:J76">
      <formula1>"Not run,Pass,Fail,Blocked,N/A"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Read me</vt:lpstr>
      <vt:lpstr>Test Cases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2026-10-21T08:30:55+02:00</dcterms:created>
  <dcterms:modified xsi:type="dcterms:W3CDTF">2026-10-21T08:30:55+02:00</dcterms:modified>
  <dc:title>Untitled Spreadsheet</dc:title>
  <dc:description/>
  <dc:subject/>
  <cp:keywords/>
  <cp:category/>
</cp:coreProperties>
</file>