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ad me" sheetId="1" r:id="rId4"/>
    <sheet name="Test cases" sheetId="2" r:id="rId5"/>
    <sheet name="Summary" sheetId="3" r:id="rId6"/>
  </sheets>
  <definedNames>
    <definedName name="_xlnm._FilterDatabase" localSheetId="1" hidden="1">'Test cases'!$A$1:$I$72</definedName>
  </definedNames>
  <calcPr calcId="999999" calcMode="auto" calcCompleted="1" fullCalcOnLoad="0" forceFullCalc="0"/>
</workbook>
</file>

<file path=xl/sharedStrings.xml><?xml version="1.0" encoding="utf-8"?>
<sst xmlns="http://schemas.openxmlformats.org/spreadsheetml/2006/main" uniqueCount="443">
  <si>
    <t>Returns &amp; Exchanges - QA Test Cases</t>
  </si>
  <si>
    <t>For the live site after the deploy (git commit dc2ab10). Prepared 21 Oct 2026.</t>
  </si>
  <si>
    <t>How to use this workbook</t>
  </si>
  <si>
    <t>1. Prepare the data in "Before you start" below.</t>
  </si>
  <si>
    <t>2. Work through the Test cases sheet. Fill in only the pale yellow columns: Result (dropdown), Tester, Date tested, Notes / defect link.</t>
  </si>
  <si>
    <t>3. For a Fail or Blocked case, write what you saw in Notes, with a screenshot or ticket link.</t>
  </si>
  <si>
    <t>4. The Summary sheet counts the results by area as you go.</t>
  </si>
  <si>
    <t>Card refunds and payment links move real money on the live site: use small amounts (EUR 1-5) and refund them afterwards.</t>
  </si>
  <si>
    <t>Result values</t>
  </si>
  <si>
    <t>Not run</t>
  </si>
  <si>
    <t>Not tested yet (the starting value)</t>
  </si>
  <si>
    <t>Pass</t>
  </si>
  <si>
    <t>Everything in Expected result happened</t>
  </si>
  <si>
    <t>Fail</t>
  </si>
  <si>
    <t>Something differed: describe it in Notes</t>
  </si>
  <si>
    <t>Blocked</t>
  </si>
  <si>
    <t>Could not be tested (missing data, another bug): say why in Notes</t>
  </si>
  <si>
    <t>Example of a filled-in row</t>
  </si>
  <si>
    <t>ID</t>
  </si>
  <si>
    <t>Result</t>
  </si>
  <si>
    <t>Tester</t>
  </si>
  <si>
    <t>Date tested</t>
  </si>
  <si>
    <t>Notes / defect link</t>
  </si>
  <si>
    <t>A-07</t>
  </si>
  <si>
    <t>Priya</t>
  </si>
  <si>
    <t>22 Oct 2026</t>
  </si>
  <si>
    <t>EUR 470 was accepted on a EUR 461.54 quote; screenshot in ticket QA-112</t>
  </si>
  <si>
    <t>Example only: the real cases are on the Test cases sheet.</t>
  </si>
  <si>
    <t>Before you start</t>
  </si>
  <si>
    <t>What</t>
  </si>
  <si>
    <t>How to set it up</t>
  </si>
  <si>
    <t>Used by</t>
  </si>
  <si>
    <t>Deploy done</t>
  </si>
  <si>
    <t>Migrations 2026_10_19_000200 to 000500 run with --path; admin panel and storefront rebuilt with API_BASE empty</t>
  </si>
  <si>
    <t>All</t>
  </si>
  <si>
    <t>Test customer</t>
  </si>
  <si>
    <t>A signed-in customer account whose email you can read</t>
  </si>
  <si>
    <t>C, E, M, L</t>
  </si>
  <si>
    <t>Guest order</t>
  </si>
  <si>
    <t>One order placed at guest checkout in a separate browser</t>
  </si>
  <si>
    <t>C-11, S-02</t>
  </si>
  <si>
    <t>Delivered card order</t>
  </si>
  <si>
    <t>Small card order (1 item); admin moves it to Delivered</t>
  </si>
  <si>
    <t>C-01 to C-03, A-06</t>
  </si>
  <si>
    <t>Two-unit order</t>
  </si>
  <si>
    <t>One product, quantity 2, delivered</t>
  </si>
  <si>
    <t>A-12</t>
  </si>
  <si>
    <t>Order with a voucher</t>
  </si>
  <si>
    <t>A voucher applied at checkout, delivered</t>
  </si>
  <si>
    <t>A-13</t>
  </si>
  <si>
    <t>Gift card order</t>
  </si>
  <si>
    <t>Part paid with a gift card, delivered</t>
  </si>
  <si>
    <t>A-14</t>
  </si>
  <si>
    <t>Points order</t>
  </si>
  <si>
    <t>Points spent at checkout, delivered (points earned on delivery)</t>
  </si>
  <si>
    <t>A-15</t>
  </si>
  <si>
    <t>Variant product</t>
  </si>
  <si>
    <t>A product with 3 in-stock variants: one dearer, one same price, one cheaper than the one ordered</t>
  </si>
  <si>
    <t>E-01 to E-14</t>
  </si>
  <si>
    <t>Cash on delivery order</t>
  </si>
  <si>
    <t>COD order, delivered</t>
  </si>
  <si>
    <t>A-11</t>
  </si>
  <si>
    <t>Old order</t>
  </si>
  <si>
    <t>Delivered more than 30 days ago</t>
  </si>
  <si>
    <t>C-05, A-04</t>
  </si>
  <si>
    <t>Non-refundable product</t>
  </si>
  <si>
    <t>Product with Refundable = No, ordered and delivered</t>
  </si>
  <si>
    <t>C-06</t>
  </si>
  <si>
    <t>Orders in other states</t>
  </si>
  <si>
    <t>One Pending, one On the way, one Cancelled</t>
  </si>
  <si>
    <t>C-01, M-01 to M-08</t>
  </si>
  <si>
    <t>Staff email</t>
  </si>
  <si>
    <t>Settings &gt; store email is an inbox you can read</t>
  </si>
  <si>
    <t>C-03</t>
  </si>
  <si>
    <t>Card gateway</t>
  </si>
  <si>
    <t>Payment Setting: SumUp or Stripe switched on as the card gateway</t>
  </si>
  <si>
    <t>A-06, E-06 to E-09</t>
  </si>
  <si>
    <t>To make an order Delivered, use the status dropdown on the admin order page: the 30-day return window counts from that change.</t>
  </si>
  <si>
    <t>Automated tests behind these cases: tests/Isolated/OrderReturnTest, OrderExchangeTest, ReturnRequestAndPayLinkTest, MyOrdersTabsTest (77 tests).</t>
  </si>
  <si>
    <t>Area</t>
  </si>
  <si>
    <t>Test case</t>
  </si>
  <si>
    <t>Steps</t>
  </si>
  <si>
    <t>Expected result</t>
  </si>
  <si>
    <t>C-01</t>
  </si>
  <si>
    <t>Customer request</t>
  </si>
  <si>
    <t>Button only where allowed</t>
  </si>
  <si>
    <t>Open a Delivered paid order, then a Pending, an On the way and a Cancelled one</t>
  </si>
  <si>
    <t>The "Return or exchange" box appears only on the Delivered paid order</t>
  </si>
  <si>
    <t>Automated (PHPUnit / node)</t>
  </si>
  <si>
    <t>2026-10-22</t>
  </si>
  <si>
    <t>Automated: ReturnsWorkbookCasesTest::test_C_01_only_a_delivered_paid_order_can_be_asked_about; storefront shows the box only when delivered and paid (canRequestReturn).</t>
  </si>
  <si>
    <t>C-02</t>
  </si>
  <si>
    <t>Form contents</t>
  </si>
  <si>
    <t>Delivered order &gt; Return or exchange</t>
  </si>
  <si>
    <t>Days left in the 30-day window, each item with a quantity stepper, reason list, optional note</t>
  </si>
  <si>
    <t>Automated: ReturnsWorkbookCasesTest::test_C_02_the_form_gets_the_days_left_each_item_and_the_reasons (API side).</t>
  </si>
  <si>
    <t>Send a return request</t>
  </si>
  <si>
    <t>Return for a refund, 1 unit, reason Faulty, a note, Send</t>
  </si>
  <si>
    <t>Toast "Thanks - we have your request"; Returns box shows RMA number, Return badge, "Request received", Cancel request; customer email "Return request received"; staff email "Return request RMA..."</t>
  </si>
  <si>
    <t>Automated: ReturnRequestAndPayLinkTest::test_a_customer_requests_a_return_and_staff_approve_it (customer + staff emails, Request received). Toast not clicked.</t>
  </si>
  <si>
    <t>C-04</t>
  </si>
  <si>
    <t>Units cannot be asked twice</t>
  </si>
  <si>
    <t>After C-03, open the form again on the same order</t>
  </si>
  <si>
    <t>That unit shows "Already being returned"; no stepper for it</t>
  </si>
  <si>
    <t>Automated: ReturnsWorkbookCasesTest::test_C_04_a_unit_already_asked_for_is_not_offered_again; ReturnRequestAndPayLinkTest::test_a_request_reserves_its_units_until_the_customer_withdraws_it</t>
  </si>
  <si>
    <t>C-05</t>
  </si>
  <si>
    <t>Return window</t>
  </si>
  <si>
    <t>Old order (delivered 31+ days ago) &gt; Return or exchange</t>
  </si>
  <si>
    <t>Message "Returns can be requested within 30 days of delivery..."; no form</t>
  </si>
  <si>
    <t>Automated: ReturnsWorkbookCasesTest::test_C_05_past_the_window_the_form_is_replaced_by_the_message (English and French).</t>
  </si>
  <si>
    <t>Non-refundable item: Return for a refund + Changed my mind; then Faulty; then Exchange</t>
  </si>
  <si>
    <t>Changed my mind refused with a message; Faulty accepted; Exchange accepted</t>
  </si>
  <si>
    <t>Automated: ReturnRequestAndPayLinkTest::test_a_non_refundable_product_is_not_refunded_for_a_change_of_mind</t>
  </si>
  <si>
    <t>C-07</t>
  </si>
  <si>
    <t>Exchange choices</t>
  </si>
  <si>
    <t>Variant product &gt; Exchange, 1 unit, open Swap for</t>
  </si>
  <si>
    <t>Only in-stock (or backorder) variants; each shows "EUR X more", "EUR X less" or "same price"; the dearer one shows the payment-link note</t>
  </si>
  <si>
    <t>Automated: ReturnsWorkbookCasesTest::test_C_07_only_variants_that_can_be_had_are_offered_with_their_price (sold out hidden, backorder offered, prices for the more/less note).</t>
  </si>
  <si>
    <t>C-08</t>
  </si>
  <si>
    <t>Exchange needs a variant</t>
  </si>
  <si>
    <t>Exchange, unit chosen, no variant picked</t>
  </si>
  <si>
    <t>Send button stays disabled</t>
  </si>
  <si>
    <t>UI only. Code read: canSubmit needs a variant for every chosen line on an exchange; Send is :disabled without it.</t>
  </si>
  <si>
    <t>C-09</t>
  </si>
  <si>
    <t>Withdraw a request</t>
  </si>
  <si>
    <t>After C-03, Cancel request &gt; confirm</t>
  </si>
  <si>
    <t>Status "Cancelled"; the unit can be requested again</t>
  </si>
  <si>
    <t>Automated: ReturnsWorkbookCasesTest::test_C_09_a_withdrawn_unit_is_offered_again</t>
  </si>
  <si>
    <t>C-10</t>
  </si>
  <si>
    <t>No withdraw after receipt</t>
  </si>
  <si>
    <t>Staff mark a request received (A-05), customer reloads</t>
  </si>
  <si>
    <t>Cancel request button is gone</t>
  </si>
  <si>
    <t>Automated: ReturnRequestAndPayLinkTest::test_once_the_parcel_is_in_the_customer_cannot_withdraw (can_cancel only while requested / awaiting return).</t>
  </si>
  <si>
    <t>C-11</t>
  </si>
  <si>
    <t>In the guest browser, open the guest order and send a request</t>
  </si>
  <si>
    <t>Request accepted exactly as for an account</t>
  </si>
  <si>
    <t>Automated: ReturnRequestAndPayLinkTest::test_a_guest_asks_with_the_order_token</t>
  </si>
  <si>
    <t>A-01</t>
  </si>
  <si>
    <t>Admin review &amp; refund</t>
  </si>
  <si>
    <t>Returns list</t>
  </si>
  <si>
    <t>Open Orders &gt; Returns after C-03</t>
  </si>
  <si>
    <t>"To review" tile counts the request; list shows RMA, Type, order, customer, status; status filter and search by RMA, order number or email work</t>
  </si>
  <si>
    <t>Automated: ReturnsWorkbookCasesTest::test_A_01_the_returns_list_counts_filters_and_searches</t>
  </si>
  <si>
    <t>A-02</t>
  </si>
  <si>
    <t>Approve a request</t>
  </si>
  <si>
    <t>Open the request &gt; Approve with "Email the customer" ticked</t>
  </si>
  <si>
    <t>Status "Awaiting return"; customer email has the RMA number and the store address</t>
  </si>
  <si>
    <t>Automated: ReturnsWorkbookCasesTest::test_A_02_approving_emails_the_rma_and_where_to_send_it</t>
  </si>
  <si>
    <t>A-03</t>
  </si>
  <si>
    <t>Reject a request</t>
  </si>
  <si>
    <t>New request &gt; Reject with a reason</t>
  </si>
  <si>
    <t>Status "Rejected"; customer email "Return not accepted"; units can be requested again</t>
  </si>
  <si>
    <t>Automated: OrderReturnTest::test_a_rejected_case_frees_its_units; OrderReturnTest::test_the_refunded_and_rejected_emails_are_actually_sent</t>
  </si>
  <si>
    <t>A-04</t>
  </si>
  <si>
    <t>Staff start a return</t>
  </si>
  <si>
    <t>Old order page &gt; Start a return</t>
  </si>
  <si>
    <t>Warning that it is past the 30-day window, but the return can still be opened; Email language picker offers the 5 languages</t>
  </si>
  <si>
    <t>Automated: ReturnsWorkbookCasesTest::test_A_04_staff_can_start_a_return_past_the_window_and_pick_the_language</t>
  </si>
  <si>
    <t>A-05</t>
  </si>
  <si>
    <t>Receive and restock</t>
  </si>
  <si>
    <t>Awaiting return case &gt; tick Put back in stock on one item, untick another &gt; Mark as received</t>
  </si>
  <si>
    <t>Status "Received"; ticked units back in the product's stock, unticked ones not; history says how many</t>
  </si>
  <si>
    <t>Automated: OrderReturnTest::test_stock_comes_back_only_for_restocked_units_and_never_twice</t>
  </si>
  <si>
    <t>A-06</t>
  </si>
  <si>
    <t>Refund to the card</t>
  </si>
  <si>
    <t>Received case &gt; To the original payment &gt; Refund &gt; confirm</t>
  </si>
  <si>
    <t>Status "Refunded"; amount equals the quote; refund visible in the SumUp or Stripe dashboard; customer email with amount and reference</t>
  </si>
  <si>
    <t>Automated: OrderReturnTest::test_staff_run_a_return_through_the_api (gateway faked; no real card refund made).</t>
  </si>
  <si>
    <t>Lower or higher amount</t>
  </si>
  <si>
    <t>Enter less than the quote; then try more than the quote</t>
  </si>
  <si>
    <t>Lower amount accepted; more is refused "can be at most EUR X"</t>
  </si>
  <si>
    <t>Automated: OrderReturnTest::test_the_refund_can_be_lowered_but_never_raised_above_the_quote</t>
  </si>
  <si>
    <t>A-08</t>
  </si>
  <si>
    <t>Delivery refunded once</t>
  </si>
  <si>
    <t>Tick Refund delivery too on one case; open a second case on the same order</t>
  </si>
  <si>
    <t>Delivery added on the first; the second case offers no delivery</t>
  </si>
  <si>
    <t>Automated: OrderReturnTest::test_delivery_is_refunded_only_when_asked_and_only_once</t>
  </si>
  <si>
    <t>A-09</t>
  </si>
  <si>
    <t>Manual refund</t>
  </si>
  <si>
    <t>Already refunded another way, no reference; then with a reference</t>
  </si>
  <si>
    <t>Refused without a reference; with it, Refunded and no gateway call</t>
  </si>
  <si>
    <t>Automated: OrderReturnTest::test_a_manual_refund_needs_a_reference_and_moves_no_money</t>
  </si>
  <si>
    <t>A-10</t>
  </si>
  <si>
    <t>Close without refund</t>
  </si>
  <si>
    <t>No refund (close the return) &gt; confirm</t>
  </si>
  <si>
    <t>Status "Closed", nothing paid</t>
  </si>
  <si>
    <t>Automated: OrderReturnTest::test_closing_without_a_refund_still_uses_up_the_share</t>
  </si>
  <si>
    <t>Cash on delivery</t>
  </si>
  <si>
    <t>COD order case &gt; Refund</t>
  </si>
  <si>
    <t>"To the original payment" is disabled; manual refund only</t>
  </si>
  <si>
    <t>Automated: OrderReturnTest::test_cash_on_delivery_cannot_be_refunded_through_the_gateway</t>
  </si>
  <si>
    <t>Partial return</t>
  </si>
  <si>
    <t>Two-unit order: return 1 unit and refund; then the second</t>
  </si>
  <si>
    <t>Order stays Delivered after the first; Returned after the second; the two refunds add up to the order total</t>
  </si>
  <si>
    <t>Automated: OrderReturnTest::test_every_return_together_refunds_exactly_what_the_order_took; MyOrdersTabsTest::test_E2_returning_part_of_an_order_is_a_partial_refund</t>
  </si>
  <si>
    <t>Voucher share</t>
  </si>
  <si>
    <t>Voucher order: return one item</t>
  </si>
  <si>
    <t>Refund = item price minus its share of the voucher (e.g. EUR 1,300 order with EUR 100 off: one EUR 500 item refunds EUR 461.54)</t>
  </si>
  <si>
    <t>Automated: OrderReturnTest::test_one_unit_refunds_its_share_of_the_order_wide_voucher</t>
  </si>
  <si>
    <t>Gift card share</t>
  </si>
  <si>
    <t>Gift card order: return an item</t>
  </si>
  <si>
    <t>Gift card share goes back on the card (its balance rises); the money refund excludes it</t>
  </si>
  <si>
    <t>Automated: OrderReturnTest::test_a_gift_card_share_goes_back_on_the_card_not_to_the_bank</t>
  </si>
  <si>
    <t>Points</t>
  </si>
  <si>
    <t>Points order: return an item</t>
  </si>
  <si>
    <t>Spent points come back; points earned on the order are taken back in proportion</t>
  </si>
  <si>
    <t>Automated: OrderReturnTest::test_points_spent_come_back_and_points_earned_are_taken_back_once</t>
  </si>
  <si>
    <t>A-16</t>
  </si>
  <si>
    <t>Failed card refund</t>
  </si>
  <si>
    <t>Refund an order whose gateway refuses (e.g. already fully refunded in the gateway)</t>
  </si>
  <si>
    <t>Error shown; case stays Received with the error; can retry or record a manual refund</t>
  </si>
  <si>
    <t>Automated: OrderReturnTest::test_a_failed_gateway_refund_records_nothing_and_can_be_retried</t>
  </si>
  <si>
    <t>A-17</t>
  </si>
  <si>
    <t>Double click</t>
  </si>
  <si>
    <t>Click Refund twice quickly</t>
  </si>
  <si>
    <t>Only one refund at the gateway and one history entry</t>
  </si>
  <si>
    <t>Automated: OrderReturnTest::test_a_case_refunds_once</t>
  </si>
  <si>
    <t>A-18</t>
  </si>
  <si>
    <t>Order page</t>
  </si>
  <si>
    <t>Open the order behind a case</t>
  </si>
  <si>
    <t>Returns card lists each case with type, status and refund; overview shows a Refund line</t>
  </si>
  <si>
    <t>Automated: ReturnsWorkbookCasesTest::test_A_18_the_order_page_lists_each_case</t>
  </si>
  <si>
    <t>A-19</t>
  </si>
  <si>
    <t>Dashboard</t>
  </si>
  <si>
    <t>Dashboard &gt; sales for the period of a refunded order</t>
  </si>
  <si>
    <t>Total and received drop by the refund; note "EUR X refunded on returns is taken off"</t>
  </si>
  <si>
    <t>Automated: OrderReturnTest::test_the_dashboard_counts_sales_net_of_return_refunds</t>
  </si>
  <si>
    <t>E-01</t>
  </si>
  <si>
    <t>Exchanges &amp; payment links</t>
  </si>
  <si>
    <t>Same-price exchange</t>
  </si>
  <si>
    <t>Exchange to the same-price variant &gt; receive &gt; Complete exchange</t>
  </si>
  <si>
    <t>New replacement order, Confirmed and Paid, total EUR 0; new variant stock -1, old variant +1 if restocked; case "Exchanged" with a link to the new order; customer email "Replacement on its way" with the new order number</t>
  </si>
  <si>
    <t>Automated: OrderExchangeTest::test_an_equal_price_swap_moves_no_money; OrderExchangeTest::test_the_customer_is_told_the_replacement_order</t>
  </si>
  <si>
    <t>E-02</t>
  </si>
  <si>
    <t>Dearer, staff take payment</t>
  </si>
  <si>
    <t>Dearer variant &gt; receive &gt; Complete with the reference empty, then with a reference</t>
  </si>
  <si>
    <t>Refused without "where the payment was taken"; with it, replacement order total = the difference; 0 waives it</t>
  </si>
  <si>
    <t>Automated: OrderExchangeTest::test_a_dearer_swap_needs_a_payment_reference_and_cannot_overcharge; OrderExchangeTest::test_staff_can_waive_the_difference</t>
  </si>
  <si>
    <t>E-03</t>
  </si>
  <si>
    <t>Cheaper exchange</t>
  </si>
  <si>
    <t>Cheaper variant &gt; receive &gt; To the original payment &gt; Complete</t>
  </si>
  <si>
    <t>Difference refunded to the card; case shows the refund; replacement order total EUR 0</t>
  </si>
  <si>
    <t>Automated: OrderExchangeTest::test_a_cheaper_variant_pays_the_difference_back</t>
  </si>
  <si>
    <t>E-04</t>
  </si>
  <si>
    <t>Variant sold out</t>
  </si>
  <si>
    <t>Set the chosen variant's stock to 0 (not backorder) before completing</t>
  </si>
  <si>
    <t>Complete exchange refused "out of stock"; nothing created</t>
  </si>
  <si>
    <t>Automated: OrderExchangeTest::test_an_out_of_stock_variant_is_refused_and_nothing_is_recorded</t>
  </si>
  <si>
    <t>E-05</t>
  </si>
  <si>
    <t>Refund instead</t>
  </si>
  <si>
    <t>On a received exchange &gt; Refund instead &gt; refund</t>
  </si>
  <si>
    <t>Case becomes a normal refund; no replacement order</t>
  </si>
  <si>
    <t>Automated: OrderExchangeTest::test_an_exchange_can_still_be_refunded_instead</t>
  </si>
  <si>
    <t>E-06</t>
  </si>
  <si>
    <t>Send a payment link</t>
  </si>
  <si>
    <t>Dearer exchange, received &gt; Send payment link &gt; confirm</t>
  </si>
  <si>
    <t>Status "Awaiting payment"; admin shows the link with Copy, amount, gateway and valid-until (7 days); new unit held (stock -1); customer email "Payment needed for your exchange" with a Pay now button</t>
  </si>
  <si>
    <t>Automated: ReturnRequestAndPayLinkTest::test_a_paid_link_completes_the_exchange_by_itself (status, held unit, 48-char link, email with the link).</t>
  </si>
  <si>
    <t>E-07</t>
  </si>
  <si>
    <t>Customer pays the link</t>
  </si>
  <si>
    <t>Open the emailed link in a signed-out browser &gt; Pay &gt; card details &gt; pay</t>
  </si>
  <si>
    <t>Page shows RMA, order, the swap and amount; after paying "Payment received" and the new order number; admin case turns "Exchanged" by itself; replacement order paid by card with the gateway reference</t>
  </si>
  <si>
    <t>Automated: ReturnRequestAndPayLinkTest::test_a_paid_link_completes_the_exchange_by_itself; ReturnRequestAndPayLinkTest::test_stripe_links_check_the_intent_amount_and_owner (SumUp/Stripe faked).</t>
  </si>
  <si>
    <t>E-08</t>
  </si>
  <si>
    <t>Paid link reopened</t>
  </si>
  <si>
    <t>Open the same link again; refresh the page</t>
  </si>
  <si>
    <t>Shows "Payment received"; no new charge, no second replacement order</t>
  </si>
  <si>
    <t>Automated: ReturnsWorkbookCasesTest::test_E_08_a_paid_link_reopened_shows_paid_and_charges_nothing</t>
  </si>
  <si>
    <t>E-09</t>
  </si>
  <si>
    <t>Declined card</t>
  </si>
  <si>
    <t>Pay the link with a card that is declined</t>
  </si>
  <si>
    <t>Error on the page; case still Awaiting payment; retrying with a good card works</t>
  </si>
  <si>
    <t>Automated: ReturnsWorkbookCasesTest::test_E_09_a_declined_card_leaves_the_link_open_and_a_retry_works</t>
  </si>
  <si>
    <t>E-10</t>
  </si>
  <si>
    <t>Cancel a link</t>
  </si>
  <si>
    <t>Admin &gt; Cancel link on an unpaid link; then open the link</t>
  </si>
  <si>
    <t>Case back to Received; held unit back in stock; link page says it was withdrawn</t>
  </si>
  <si>
    <t>Automated: ReturnsWorkbookCasesTest::test_E_10_a_cancelled_link_says_it_was_withdrawn; ReturnRequestAndPayLinkTest::test_cancelling_a_link_puts_the_held_units_back</t>
  </si>
  <si>
    <t>E-11</t>
  </si>
  <si>
    <t>Expired link</t>
  </si>
  <si>
    <t>A link older than 7 days</t>
  </si>
  <si>
    <t>Link page says it has expired; Pay is not offered</t>
  </si>
  <si>
    <t>Automated: ReturnsWorkbookCasesTest::test_E_11_an_expired_link_says_so_and_cannot_be_paid</t>
  </si>
  <si>
    <t>E-12</t>
  </si>
  <si>
    <t>Wrong link</t>
  </si>
  <si>
    <t>Change one character of the link</t>
  </si>
  <si>
    <t>"This payment link is not valid"</t>
  </si>
  <si>
    <t>Automated: ReturnsWorkbookCasesTest::test_E_12_a_link_with_one_character_changed_is_not_valid</t>
  </si>
  <si>
    <t>E-13</t>
  </si>
  <si>
    <t>No double settlement</t>
  </si>
  <si>
    <t>While a link is open, try Complete exchange with a manual reference</t>
  </si>
  <si>
    <t>Refused "A pay link is open on this exchange"</t>
  </si>
  <si>
    <t>Automated: ReturnRequestAndPayLinkTest::test_staff_cannot_record_a_payment_while_a_link_is_open</t>
  </si>
  <si>
    <t>E-14</t>
  </si>
  <si>
    <t>Customer sees the link</t>
  </si>
  <si>
    <t>Customer order page while Awaiting payment</t>
  </si>
  <si>
    <t>Returns box shows "Waiting for your payment" and a Pay the difference button</t>
  </si>
  <si>
    <t>Automated: ReturnsWorkbookCasesTest::test_E_14_the_customer_sees_the_payment_waiting_and_the_link</t>
  </si>
  <si>
    <t>M-01</t>
  </si>
  <si>
    <t>My Orders tabs</t>
  </si>
  <si>
    <t>A: cancelled, nothing to refund</t>
  </si>
  <si>
    <t>Cancel a Pending unpaid order</t>
  </si>
  <si>
    <t>Only in All and Cancelled; badge Cancelled; "This order was cancelled."</t>
  </si>
  <si>
    <t>Automated: MyOrdersTabsTest::test_A_cancelled_before_dispatch_with_nothing_to_refund</t>
  </si>
  <si>
    <t>M-02</t>
  </si>
  <si>
    <t>A: cancelled, paid</t>
  </si>
  <si>
    <t>Cancel a paid order before it is refunded</t>
  </si>
  <si>
    <t>Cancelled + "Refund pending"; also listed under Returns &amp; Refunds</t>
  </si>
  <si>
    <t>Automated: MyOrdersTabsTest::test_A2_a_paid_cancelled_order_shows_its_refund_as_pending_not_refunded</t>
  </si>
  <si>
    <t>M-03</t>
  </si>
  <si>
    <t>B: cancelled and refunded</t>
  </si>
  <si>
    <t>Admin refunds the M-02 order from its cancellation</t>
  </si>
  <si>
    <t>Still Cancelled (not moved to Refunded); badges Cancelled + Refunded; message names the amount</t>
  </si>
  <si>
    <t>Automated: MyOrdersTabsTest::test_B_a_refund_on_a_cancelled_order_keeps_it_cancelled</t>
  </si>
  <si>
    <t>M-04</t>
  </si>
  <si>
    <t>C: return requested</t>
  </si>
  <si>
    <t>Delivered order with a request (C-03)</t>
  </si>
  <si>
    <t>Delivered + "Return: Requested"; no refund badge; in Delivered and Returns &amp; Refunds, not Cancelled</t>
  </si>
  <si>
    <t>Automated: MyOrdersTabsTest::test_C_a_delivered_order_with_a_return_requested_stays_delivered</t>
  </si>
  <si>
    <t>M-05</t>
  </si>
  <si>
    <t>D: return approved</t>
  </si>
  <si>
    <t>After A-02</t>
  </si>
  <si>
    <t>Delivered + "Return: Approved" + "Refund pending"; never "Refunded"</t>
  </si>
  <si>
    <t>Automated: MyOrdersTabsTest::test_D_an_approved_return_has_its_refund_pending_not_refunded</t>
  </si>
  <si>
    <t>M-06</t>
  </si>
  <si>
    <t>E: return refunded</t>
  </si>
  <si>
    <t>After the last unit is refunded (A-12)</t>
  </si>
  <si>
    <t>Returned + "Return: Completed" + Refunded; only in All and Returns &amp; Refunds</t>
  </si>
  <si>
    <t>Automated: MyOrdersTabsTest::test_E_a_completed_return_with_a_confirmed_refund</t>
  </si>
  <si>
    <t>M-07</t>
  </si>
  <si>
    <t>F: refund failed</t>
  </si>
  <si>
    <t>After A-16</t>
  </si>
  <si>
    <t>Delivered + "Return: Item received" + "Refund failed"; message says we will be in touch</t>
  </si>
  <si>
    <t>Automated: MyOrdersTabsTest::test_F_a_failed_refund_shows_failed_and_keeps_the_order_status</t>
  </si>
  <si>
    <t>M-08</t>
  </si>
  <si>
    <t>G and H</t>
  </si>
  <si>
    <t>An On the way order; a Delivered order with no return</t>
  </si>
  <si>
    <t>Shipped tab only (badge = the step, e.g. On the way); Delivered tab only</t>
  </si>
  <si>
    <t>Automated: MyOrdersTabsTest::test_G_a_shipped_order_is_only_in_shipped; MyOrdersTabsTest::test_H_a_delivered_order_without_a_return_is_only_in_delivered</t>
  </si>
  <si>
    <t>M-09</t>
  </si>
  <si>
    <t>Partly refunded</t>
  </si>
  <si>
    <t>Return 1 of 2 units and refund it</t>
  </si>
  <si>
    <t>Delivered + "Partially refunded"</t>
  </si>
  <si>
    <t>Automated: MyOrdersTabsTest::test_E2_returning_part_of_an_order_is_a_partial_refund</t>
  </si>
  <si>
    <t>M-10</t>
  </si>
  <si>
    <t>Counts</t>
  </si>
  <si>
    <t>Compare each tab's number with the cards it lists</t>
  </si>
  <si>
    <t>Every count equals its list, across all pages</t>
  </si>
  <si>
    <t>Automated: MyOrdersTabsTest::test_each_count_matches_its_tab; MyOrdersTabsTest::test_counts_cover_every_page_not_just_the_one_shown</t>
  </si>
  <si>
    <t>M-11</t>
  </si>
  <si>
    <t>Search</t>
  </si>
  <si>
    <t>Type part of an order number (with or without #)</t>
  </si>
  <si>
    <t>Results and counts narrow to matches; clearing it brings all back; search kept in the URL</t>
  </si>
  <si>
    <t>Automated: MyOrdersTabsTest::test_search_works_on_the_server_and_narrows_the_counts (includes '#ORD...').</t>
  </si>
  <si>
    <t>M-12</t>
  </si>
  <si>
    <t>Pagination</t>
  </si>
  <si>
    <t>Customer with more than 25 orders: page 2 of a tab</t>
  </si>
  <si>
    <t>Next page of the same tab; counts unchanged</t>
  </si>
  <si>
    <t>Automated: MyOrdersTabsTest::test_counts_cover_every_page_not_just_the_one_shown (page 2 of a tab).</t>
  </si>
  <si>
    <t>M-13</t>
  </si>
  <si>
    <t>Fast tab switching</t>
  </si>
  <si>
    <t>Click several tabs quickly</t>
  </si>
  <si>
    <t>Ends on the last tab clicked with its own orders, never another tab's</t>
  </si>
  <si>
    <t>FIXED 2026-10-22. Was failing: when an older request answered after a newer one, the screen showed an empty list (tab switch) or the previous search/page. store/order.js now drops answers that are no longer the latest. Check: npm run check:my-orders-race (12 cases).</t>
  </si>
  <si>
    <t>M-14</t>
  </si>
  <si>
    <t>Phone and tablet</t>
  </si>
  <si>
    <t>Repeat M-03 and M-05 at phone and tablet width</t>
  </si>
  <si>
    <t>Badges wrap under the order number; tabs scroll sideways; nothing cut off</t>
  </si>
  <si>
    <t>Visual. CSS read: tabs overflow-x scroll, badges flex-wrap. Step bar rendered at phone width in headless Chrome. Check on a real phone and tablet.</t>
  </si>
  <si>
    <t>L-01</t>
  </si>
  <si>
    <t>Emails &amp; languages</t>
  </si>
  <si>
    <t>Every return email arrives</t>
  </si>
  <si>
    <t>Collect the emails from C-03, A-02, A-03, A-06, E-01 and E-06</t>
  </si>
  <si>
    <t>Request received, Return started (with store address), Return not accepted, Return refunded (amount + reference), Replacement on its way (new order number), Payment needed (Pay now button)</t>
  </si>
  <si>
    <t>Automated: ReturnRequestAndPayLinkTest::test_a_customer_requests_a_return_and_staff_approve_it; ReturnsWorkbookCasesTest::test_A_02...; OrderReturnTest::test_the_refunded_and_rejected_emails_are_actually_sent; OrderExchangeTest::test_the_customer_is_told_the_replacement_order; ReturnRequestAndPayLinkTest::test_a_paid_link_completes_the_exchange_by_itself</t>
  </si>
  <si>
    <t>L-02</t>
  </si>
  <si>
    <t>One email per case</t>
  </si>
  <si>
    <t>Open two returns on the same order</t>
  </si>
  <si>
    <t>Each case sends its own emails; the second is not skipped</t>
  </si>
  <si>
    <t>Automated: OrderReturnTest::test_each_case_gets_its_own_email_rows</t>
  </si>
  <si>
    <t>L-03</t>
  </si>
  <si>
    <t>Email language</t>
  </si>
  <si>
    <t>A-04 with Email language = French</t>
  </si>
  <si>
    <t>Subject and labels in French; product names translated where the product has a French name</t>
  </si>
  <si>
    <t>Automated: OrderReturnTest::test_return_emails_go_out_in_the_language_staff_chose</t>
  </si>
  <si>
    <t>L-04</t>
  </si>
  <si>
    <t>Storefront in French</t>
  </si>
  <si>
    <t>Switch the site to French; open My Orders, the form, the Returns box and a pay link</t>
  </si>
  <si>
    <t>All tab names, badges, messages and buttons in French</t>
  </si>
  <si>
    <t>FIXED 2026-10-22. Was failing: refusals on the request form (unit already asked for, no item, order not returnable) came back in English on every storefront language. Now translated (8 new keys x 5 languages). ReturnsWorkbookCasesTest::test_L_04_a_refused_request_answers_in_the_customers_language; every $t key on My Orders, the order page, the form and the pay page exists in fr/ar/hi/tr.</t>
  </si>
  <si>
    <t>L-05</t>
  </si>
  <si>
    <t>Arabic (right to left)</t>
  </si>
  <si>
    <t>Repeat L-04 in Arabic</t>
  </si>
  <si>
    <t>Text in Arabic, layout readable right to left, badges not overlapping</t>
  </si>
  <si>
    <t>Defect found and FIXED 2026-10-22: in Arabic the order progress bar was drawn the wrong way (line off the edge, completed segment grey, last gap empty). Verified by render. The rest of the RTL pages still need a visual pass.</t>
  </si>
  <si>
    <t>L-06</t>
  </si>
  <si>
    <t>Hindi and Turkish</t>
  </si>
  <si>
    <t>Spot-check My Orders and the pay page</t>
  </si>
  <si>
    <t>Translated; no raw keys such as myOrders.tabs.all on screen</t>
  </si>
  <si>
    <t>Every translation key used on My Orders, the order page, the return form and the pay page (literal and built keys) exists in hi and tr: no raw keys can show.</t>
  </si>
  <si>
    <t>S-01</t>
  </si>
  <si>
    <t>Security &amp; edge cases</t>
  </si>
  <si>
    <t>Other customers' orders</t>
  </si>
  <si>
    <t>Signed in as customer A, open /user/order/&lt;id of customer B's order&gt;</t>
  </si>
  <si>
    <t>Refused; nothing of B's order, returns or refunds shown</t>
  </si>
  <si>
    <t>Automated: MyOrdersTabsTest::test_a_customer_never_sees_another_customers_orders; ReturnRequestAndPayLinkTest::test_a_customer_cannot_ask_about_someone_elses_order</t>
  </si>
  <si>
    <t>S-02</t>
  </si>
  <si>
    <t>Guest without the order</t>
  </si>
  <si>
    <t>In a fresh browser with no guest session, open the guest order's page</t>
  </si>
  <si>
    <t>Refused; no Return or exchange form</t>
  </si>
  <si>
    <t>Automated: ReturnRequestAndPayLinkTest::test_a_guest_asks_with_the_order_token (a wrong or missing token is refused).</t>
  </si>
  <si>
    <t>S-03</t>
  </si>
  <si>
    <t>Vendor admin</t>
  </si>
  <si>
    <t>Sign in as a vendor admin; open Orders &gt; Returns</t>
  </si>
  <si>
    <t>No access to returns; cannot refund</t>
  </si>
  <si>
    <t>Automated: OrderReturnTest::test_vendors_cannot_see_or_run_returns</t>
  </si>
  <si>
    <t>S-04</t>
  </si>
  <si>
    <t>Pay link shows nothing private</t>
  </si>
  <si>
    <t>Open a pay link signed out</t>
  </si>
  <si>
    <t>Only RMA, order number, items and amount: no name, email, address or keys</t>
  </si>
  <si>
    <t>Automated: ReturnRequestAndPayLinkTest::test_the_pay_page_api_shows_the_link_and_nothing_private</t>
  </si>
  <si>
    <t>S-05</t>
  </si>
  <si>
    <t>Admin status change keeps the return</t>
  </si>
  <si>
    <t>On an order with an open return, change the order status from the dropdown</t>
  </si>
  <si>
    <t>The return case and its refund status are unchanged</t>
  </si>
  <si>
    <t>Automated: MyOrdersTabsTest::test_an_admin_status_change_does_not_touch_the_return_or_its_refund</t>
  </si>
  <si>
    <t>S-06</t>
  </si>
  <si>
    <t>Stock never doubles</t>
  </si>
  <si>
    <t>Return and restock units, then set the whole order to Returned from the dropdown</t>
  </si>
  <si>
    <t>Each unit is added back to stock once; damaged (unticked) units stay out</t>
  </si>
  <si>
    <t>Automated: OrderReturnTest::test_an_admin_returning_the_whole_order_later_skips_units_already_restocked; OrderReturnTest::test_stock_comes_back_only_for_restocked_units_and_never_twice</t>
  </si>
  <si>
    <t>S-07</t>
  </si>
  <si>
    <t>Total never exceeded</t>
  </si>
  <si>
    <t>Refund every unit of an order across several cases, with delivery</t>
  </si>
  <si>
    <t>Refunds add up to the order total and stop there; no refund beyond it is offered</t>
  </si>
  <si>
    <t>Automated: OrderReturnTest::test_every_return_together_refunds_exactly_what_the_order_took; OrderReturnTest::test_delivery_is_refunded_only_when_asked_and_only_once</t>
  </si>
  <si>
    <t>Results by area</t>
  </si>
  <si>
    <t>Counts update from the Result column on the Test cases sheet.</t>
  </si>
  <si>
    <t>Cases</t>
  </si>
  <si>
    <t>% done</t>
  </si>
  <si>
    <t>% passed</t>
  </si>
  <si>
    <t>Total</t>
  </si>
  <si>
    <t>% done = cases with any result other than Not run. % passed = Pass / (Pass + Fail); Blocked cases are left out of it.</t>
  </si>
</sst>
</file>

<file path=xl/styles.xml><?xml version="1.0" encoding="utf-8"?>
<styleSheet xmlns="http://schemas.openxmlformats.org/spreadsheetml/2006/main" xml:space="preserve">
  <numFmts count="2">
    <numFmt numFmtId="164" formatCode="dd mmm yyyy"/>
    <numFmt numFmtId="165" formatCode="0;-0;-"/>
  </numFmts>
  <fonts count="12">
    <font>
      <b val="0"/>
      <i val="0"/>
      <strike val="0"/>
      <u val="none"/>
      <sz val="10"/>
      <color rgb="FF000000"/>
      <name val="Arial"/>
    </font>
    <font>
      <b val="1"/>
      <i val="0"/>
      <strike val="0"/>
      <u val="none"/>
      <sz val="10"/>
      <color rgb="FFFFFFFF"/>
      <name val="Arial"/>
    </font>
    <font>
      <b val="1"/>
      <i val="0"/>
      <strike val="0"/>
      <u val="none"/>
      <sz val="10"/>
      <color rgb="FF000000"/>
      <name val="Arial"/>
    </font>
    <font>
      <b val="1"/>
      <i val="0"/>
      <strike val="0"/>
      <u val="none"/>
      <sz val="13"/>
      <color rgb="FF000000"/>
      <name val="Arial"/>
    </font>
    <font>
      <b val="0"/>
      <i val="1"/>
      <strike val="0"/>
      <u val="none"/>
      <sz val="10"/>
      <color rgb="FF6B7280"/>
      <name val="Arial"/>
    </font>
    <font>
      <b val="1"/>
      <i val="0"/>
      <strike val="0"/>
      <u val="none"/>
      <sz val="15"/>
      <color rgb="FF33319A"/>
      <name val="Arial"/>
    </font>
    <font>
      <b val="0"/>
      <i val="0"/>
      <strike val="0"/>
      <u val="none"/>
      <sz val="10"/>
      <color rgb="FF6B7280"/>
      <name val="Arial"/>
    </font>
    <font>
      <b val="1"/>
      <i val="0"/>
      <strike val="0"/>
      <u val="none"/>
      <sz val="12"/>
      <color rgb="FF000000"/>
      <name val="Arial"/>
    </font>
    <font>
      <b val="1"/>
      <i val="0"/>
      <strike val="0"/>
      <u val="none"/>
      <sz val="10"/>
      <color rgb="FFB42318"/>
      <name val="Arial"/>
    </font>
    <font>
      <b val="1"/>
      <i val="0"/>
      <strike val="0"/>
      <u val="none"/>
      <sz val="10"/>
      <color rgb="FF1E7E34"/>
      <name val="Arial"/>
    </font>
    <font>
      <b val="1"/>
      <i val="0"/>
      <strike val="0"/>
      <u val="none"/>
      <sz val="10"/>
      <color rgb="FFC82333"/>
      <name val="Arial"/>
    </font>
    <font>
      <b val="1"/>
      <i val="0"/>
      <strike val="0"/>
      <u val="none"/>
      <sz val="10"/>
      <color rgb="FFB45309"/>
      <name val="Arial"/>
    </font>
  </fonts>
  <fills count="7">
    <fill>
      <patternFill patternType="none"/>
    </fill>
    <fill>
      <patternFill patternType="gray125"/>
    </fill>
    <fill>
      <patternFill patternType="solid">
        <fgColor rgb="FF33319A"/>
        <bgColor rgb="FF000000"/>
      </patternFill>
    </fill>
    <fill>
      <patternFill patternType="solid">
        <fgColor rgb="FFFFFBEA"/>
        <bgColor rgb="FF000000"/>
      </patternFill>
    </fill>
    <fill>
      <patternFill patternType="solid">
        <fgColor rgb="FFE6F6EC"/>
        <bgColor rgb="FF000000"/>
      </patternFill>
    </fill>
    <fill>
      <patternFill patternType="solid">
        <fgColor rgb="FFFDECEA"/>
        <bgColor rgb="FF000000"/>
      </patternFill>
    </fill>
    <fill>
      <patternFill patternType="solid">
        <fgColor rgb="FFFFF4DB"/>
        <bgColor rgb="FF000000"/>
      </patternFill>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24">
    <xf xfId="0" fontId="0" numFmtId="0" fillId="0" borderId="0" applyFont="0" applyNumberFormat="0" applyFill="0" applyBorder="0" applyAlignment="0"/>
    <xf xfId="0" fontId="1" numFmtId="0" fillId="2" borderId="1" applyFont="1" applyNumberFormat="0" applyFill="1" applyBorder="1" applyAlignment="1">
      <alignment vertical="center" textRotation="0" wrapText="true" shrinkToFit="false"/>
    </xf>
    <xf xfId="0" fontId="2" numFmtId="0" fillId="0" borderId="1" applyFont="1" applyNumberFormat="0" applyFill="0" applyBorder="1" applyAlignment="1">
      <alignment vertical="top" textRotation="0" wrapText="true" shrinkToFit="false"/>
    </xf>
    <xf xfId="0" fontId="0" numFmtId="0" fillId="0" borderId="1" applyFont="0" applyNumberFormat="0" applyFill="0" applyBorder="1" applyAlignment="1">
      <alignment vertical="top" textRotation="0" wrapText="true" shrinkToFit="false"/>
    </xf>
    <xf xfId="0" fontId="0" numFmtId="0" fillId="3" borderId="1" applyFont="0" applyNumberFormat="0" applyFill="1" applyBorder="1" applyAlignment="1">
      <alignment vertical="top" textRotation="0" wrapText="true" shrinkToFit="false"/>
    </xf>
    <xf xfId="0" fontId="0" numFmtId="164" fillId="3" borderId="1" applyFont="0" applyNumberFormat="1" applyFill="1" applyBorder="1" applyAlignment="1">
      <alignment vertical="top" textRotation="0" wrapText="true" shrinkToFit="false"/>
    </xf>
    <xf xfId="0" fontId="3" numFmtId="0" fillId="0" borderId="0" applyFont="1" applyNumberFormat="0" applyFill="0" applyBorder="0" applyAlignment="0"/>
    <xf xfId="0" fontId="4" numFmtId="0" fillId="0" borderId="0" applyFont="1" applyNumberFormat="0" applyFill="0" applyBorder="0" applyAlignment="0"/>
    <xf xfId="0" fontId="0" numFmtId="0" fillId="0" borderId="1" applyFont="0" applyNumberFormat="0" applyFill="0" applyBorder="1" applyAlignment="0"/>
    <xf xfId="0" fontId="2" numFmtId="0" fillId="0" borderId="1" applyFont="1" applyNumberFormat="0" applyFill="0" applyBorder="1" applyAlignment="0"/>
    <xf xfId="0" fontId="0" numFmtId="165" fillId="0" borderId="1" applyFont="0" applyNumberFormat="1" applyFill="0" applyBorder="1" applyAlignment="0"/>
    <xf xfId="0" fontId="0" numFmtId="9" fillId="0" borderId="1" applyFont="0" applyNumberFormat="1" applyFill="0" applyBorder="1" applyAlignment="0"/>
    <xf xfId="0" fontId="2" numFmtId="165" fillId="0" borderId="1" applyFont="1" applyNumberFormat="1" applyFill="0" applyBorder="1" applyAlignment="0"/>
    <xf xfId="0" fontId="2" numFmtId="9" fillId="0" borderId="1" applyFont="1" applyNumberFormat="1" applyFill="0" applyBorder="1" applyAlignment="0"/>
    <xf xfId="0" fontId="5" numFmtId="0" fillId="0" borderId="0" applyFont="1" applyNumberFormat="0" applyFill="0" applyBorder="0" applyAlignment="0"/>
    <xf xfId="0" fontId="6" numFmtId="0" fillId="0" borderId="0" applyFont="1" applyNumberFormat="0" applyFill="0" applyBorder="0" applyAlignment="0"/>
    <xf xfId="0" fontId="7" numFmtId="0" fillId="0" borderId="0" applyFont="1" applyNumberFormat="0" applyFill="0" applyBorder="0" applyAlignment="0"/>
    <xf xfId="0" fontId="8" numFmtId="0" fillId="0" borderId="0" applyFont="1" applyNumberFormat="0" applyFill="0" applyBorder="0" applyAlignment="0"/>
    <xf xfId="0" fontId="9" numFmtId="0" fillId="4" borderId="1" applyFont="1" applyNumberFormat="0" applyFill="1" applyBorder="1" applyAlignment="0"/>
    <xf xfId="0" fontId="10" numFmtId="0" fillId="5" borderId="1" applyFont="1" applyNumberFormat="0" applyFill="1" applyBorder="1" applyAlignment="0"/>
    <xf xfId="0" fontId="11" numFmtId="0" fillId="6" borderId="1" applyFont="1" applyNumberFormat="0" applyFill="1" applyBorder="1" applyAlignment="0"/>
    <xf xfId="0" fontId="0" numFmtId="0" fillId="3" borderId="1" applyFont="0" applyNumberFormat="0" applyFill="1" applyBorder="1" applyAlignment="0"/>
    <xf xfId="0" fontId="10" numFmtId="0" fillId="3" borderId="1" applyFont="1" applyNumberFormat="0" applyFill="1" applyBorder="1" applyAlignment="0"/>
    <xf xfId="0" fontId="1" numFmtId="0" fillId="2" borderId="1" applyFont="1" applyNumberFormat="0" applyFill="1" applyBorder="1" applyAlignment="1">
      <alignment vertical="top" textRotation="0" wrapText="true" shrinkToFit="false"/>
    </xf>
  </cellXfs>
  <cellStyles count="1">
    <cellStyle name="Normal" xfId="0" builtinId="0"/>
  </cellStyles>
  <dxfs count="3">
    <dxf>
      <font>
        <b val="1"/>
        <color rgb="FF1E7E34"/>
      </font>
      <fill>
        <patternFill patternType="solid">
          <bgColor rgb="FFE6F6EC"/>
        </patternFill>
      </fill>
      <border/>
    </dxf>
    <dxf>
      <font>
        <b val="1"/>
        <color rgb="FFC82333"/>
      </font>
      <fill>
        <patternFill patternType="solid">
          <bgColor rgb="FFFDECEA"/>
        </patternFill>
      </fill>
      <border/>
    </dxf>
    <dxf>
      <font>
        <b val="1"/>
        <color rgb="FFB45309"/>
      </font>
      <fill>
        <patternFill patternType="solid">
          <bgColor rgb="FFFFF4DB"/>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1"/>
  <sheetViews>
    <sheetView tabSelected="1" workbookViewId="0" showGridLines="true" showRowColHeaders="1">
      <selection activeCell="A41" sqref="A41"/>
    </sheetView>
  </sheetViews>
  <sheetFormatPr defaultRowHeight="14.4" outlineLevelRow="0" outlineLevelCol="0"/>
  <cols>
    <col min="1" max="1" width="26" customWidth="true" style="0"/>
    <col min="2" max="2" width="70" customWidth="true" style="0"/>
    <col min="3" max="3" width="22" customWidth="true" style="0"/>
    <col min="4" max="4" width="14" customWidth="true" style="0"/>
    <col min="5" max="5" width="60" customWidth="true" style="0"/>
  </cols>
  <sheetData>
    <row r="1" spans="1:5">
      <c r="A1" s="14" t="s">
        <v>0</v>
      </c>
    </row>
    <row r="2" spans="1:5">
      <c r="A2" s="15" t="s">
        <v>1</v>
      </c>
    </row>
    <row r="4" spans="1:5">
      <c r="A4" s="16" t="s">
        <v>2</v>
      </c>
    </row>
    <row r="5" spans="1:5">
      <c r="A5" t="s">
        <v>3</v>
      </c>
    </row>
    <row r="6" spans="1:5">
      <c r="A6" t="s">
        <v>4</v>
      </c>
    </row>
    <row r="7" spans="1:5">
      <c r="A7" t="s">
        <v>5</v>
      </c>
    </row>
    <row r="8" spans="1:5">
      <c r="A8" t="s">
        <v>6</v>
      </c>
    </row>
    <row r="9" spans="1:5">
      <c r="A9" s="17" t="s">
        <v>7</v>
      </c>
    </row>
    <row r="11" spans="1:5">
      <c r="A11" s="16" t="s">
        <v>8</v>
      </c>
    </row>
    <row r="12" spans="1:5">
      <c r="A12" s="8" t="s">
        <v>9</v>
      </c>
      <c r="B12" s="8" t="s">
        <v>10</v>
      </c>
    </row>
    <row r="13" spans="1:5">
      <c r="A13" s="18" t="s">
        <v>11</v>
      </c>
      <c r="B13" s="8" t="s">
        <v>12</v>
      </c>
    </row>
    <row r="14" spans="1:5">
      <c r="A14" s="19" t="s">
        <v>13</v>
      </c>
      <c r="B14" s="8" t="s">
        <v>14</v>
      </c>
    </row>
    <row r="15" spans="1:5">
      <c r="A15" s="20" t="s">
        <v>15</v>
      </c>
      <c r="B15" s="8" t="s">
        <v>16</v>
      </c>
    </row>
    <row r="17" spans="1:5">
      <c r="A17" s="16" t="s">
        <v>17</v>
      </c>
    </row>
    <row r="18" spans="1:5">
      <c r="A18" s="1" t="s">
        <v>18</v>
      </c>
      <c r="B18" s="1" t="s">
        <v>19</v>
      </c>
      <c r="C18" s="1" t="s">
        <v>20</v>
      </c>
      <c r="D18" s="1" t="s">
        <v>21</v>
      </c>
      <c r="E18" s="1" t="s">
        <v>22</v>
      </c>
    </row>
    <row r="19" spans="1:5">
      <c r="A19" s="21" t="s">
        <v>23</v>
      </c>
      <c r="B19" s="22" t="s">
        <v>13</v>
      </c>
      <c r="C19" s="21" t="s">
        <v>24</v>
      </c>
      <c r="D19" s="21" t="s">
        <v>25</v>
      </c>
      <c r="E19" s="21" t="s">
        <v>26</v>
      </c>
    </row>
    <row r="20" spans="1:5">
      <c r="A20" s="7" t="s">
        <v>27</v>
      </c>
    </row>
    <row r="22" spans="1:5">
      <c r="A22" s="16" t="s">
        <v>28</v>
      </c>
    </row>
    <row r="23" spans="1:5">
      <c r="A23" s="23" t="s">
        <v>29</v>
      </c>
      <c r="B23" s="23" t="s">
        <v>30</v>
      </c>
      <c r="C23" s="23" t="s">
        <v>31</v>
      </c>
    </row>
    <row r="24" spans="1:5">
      <c r="A24" s="3" t="s">
        <v>32</v>
      </c>
      <c r="B24" s="3" t="s">
        <v>33</v>
      </c>
      <c r="C24" s="3" t="s">
        <v>34</v>
      </c>
    </row>
    <row r="25" spans="1:5">
      <c r="A25" s="3" t="s">
        <v>35</v>
      </c>
      <c r="B25" s="3" t="s">
        <v>36</v>
      </c>
      <c r="C25" s="3" t="s">
        <v>37</v>
      </c>
    </row>
    <row r="26" spans="1:5">
      <c r="A26" s="3" t="s">
        <v>38</v>
      </c>
      <c r="B26" s="3" t="s">
        <v>39</v>
      </c>
      <c r="C26" s="3" t="s">
        <v>40</v>
      </c>
    </row>
    <row r="27" spans="1:5">
      <c r="A27" s="3" t="s">
        <v>41</v>
      </c>
      <c r="B27" s="3" t="s">
        <v>42</v>
      </c>
      <c r="C27" s="3" t="s">
        <v>43</v>
      </c>
    </row>
    <row r="28" spans="1:5">
      <c r="A28" s="3" t="s">
        <v>44</v>
      </c>
      <c r="B28" s="3" t="s">
        <v>45</v>
      </c>
      <c r="C28" s="3" t="s">
        <v>46</v>
      </c>
    </row>
    <row r="29" spans="1:5">
      <c r="A29" s="3" t="s">
        <v>47</v>
      </c>
      <c r="B29" s="3" t="s">
        <v>48</v>
      </c>
      <c r="C29" s="3" t="s">
        <v>49</v>
      </c>
    </row>
    <row r="30" spans="1:5">
      <c r="A30" s="3" t="s">
        <v>50</v>
      </c>
      <c r="B30" s="3" t="s">
        <v>51</v>
      </c>
      <c r="C30" s="3" t="s">
        <v>52</v>
      </c>
    </row>
    <row r="31" spans="1:5">
      <c r="A31" s="3" t="s">
        <v>53</v>
      </c>
      <c r="B31" s="3" t="s">
        <v>54</v>
      </c>
      <c r="C31" s="3" t="s">
        <v>55</v>
      </c>
    </row>
    <row r="32" spans="1:5">
      <c r="A32" s="3" t="s">
        <v>56</v>
      </c>
      <c r="B32" s="3" t="s">
        <v>57</v>
      </c>
      <c r="C32" s="3" t="s">
        <v>58</v>
      </c>
    </row>
    <row r="33" spans="1:5">
      <c r="A33" s="3" t="s">
        <v>59</v>
      </c>
      <c r="B33" s="3" t="s">
        <v>60</v>
      </c>
      <c r="C33" s="3" t="s">
        <v>61</v>
      </c>
    </row>
    <row r="34" spans="1:5">
      <c r="A34" s="3" t="s">
        <v>62</v>
      </c>
      <c r="B34" s="3" t="s">
        <v>63</v>
      </c>
      <c r="C34" s="3" t="s">
        <v>64</v>
      </c>
    </row>
    <row r="35" spans="1:5">
      <c r="A35" s="3" t="s">
        <v>65</v>
      </c>
      <c r="B35" s="3" t="s">
        <v>66</v>
      </c>
      <c r="C35" s="3" t="s">
        <v>67</v>
      </c>
    </row>
    <row r="36" spans="1:5">
      <c r="A36" s="3" t="s">
        <v>68</v>
      </c>
      <c r="B36" s="3" t="s">
        <v>69</v>
      </c>
      <c r="C36" s="3" t="s">
        <v>70</v>
      </c>
    </row>
    <row r="37" spans="1:5">
      <c r="A37" s="3" t="s">
        <v>71</v>
      </c>
      <c r="B37" s="3" t="s">
        <v>72</v>
      </c>
      <c r="C37" s="3" t="s">
        <v>73</v>
      </c>
    </row>
    <row r="38" spans="1:5">
      <c r="A38" s="3" t="s">
        <v>74</v>
      </c>
      <c r="B38" s="3" t="s">
        <v>75</v>
      </c>
      <c r="C38" s="3" t="s">
        <v>76</v>
      </c>
    </row>
    <row r="39" spans="1:5">
      <c r="A39" s="7" t="s">
        <v>77</v>
      </c>
    </row>
    <row r="41" spans="1:5">
      <c r="A41" s="15" t="s">
        <v>78</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I72"/>
  <sheetViews>
    <sheetView tabSelected="0" workbookViewId="0" showGridLines="true" showRowColHeaders="1">
      <pane xSplit="2" ySplit="1" topLeftCell="C2" activePane="bottomRight" state="frozen"/>
      <selection pane="topRight"/>
      <selection pane="bottomLeft"/>
      <selection pane="bottomRight" activeCell="A1" sqref="A1"/>
    </sheetView>
  </sheetViews>
  <sheetFormatPr defaultRowHeight="14.4" outlineLevelRow="0" outlineLevelCol="0"/>
  <cols>
    <col min="1" max="1" width="8" customWidth="true" style="0"/>
    <col min="2" max="2" width="22" customWidth="true" style="0"/>
    <col min="3" max="3" width="28" customWidth="true" style="0"/>
    <col min="4" max="4" width="46" customWidth="true" style="0"/>
    <col min="5" max="5" width="60" customWidth="true" style="0"/>
    <col min="6" max="6" width="11" customWidth="true" style="0"/>
    <col min="7" max="7" width="14" customWidth="true" style="0"/>
    <col min="8" max="8" width="13" customWidth="true" style="0"/>
    <col min="9" max="9" width="34" customWidth="true" style="0"/>
  </cols>
  <sheetData>
    <row r="1" spans="1:9" customHeight="1" ht="22">
      <c r="A1" s="1" t="s">
        <v>18</v>
      </c>
      <c r="B1" s="1" t="s">
        <v>79</v>
      </c>
      <c r="C1" s="1" t="s">
        <v>80</v>
      </c>
      <c r="D1" s="1" t="s">
        <v>81</v>
      </c>
      <c r="E1" s="1" t="s">
        <v>82</v>
      </c>
      <c r="F1" s="1" t="s">
        <v>19</v>
      </c>
      <c r="G1" s="1" t="s">
        <v>20</v>
      </c>
      <c r="H1" s="1" t="s">
        <v>21</v>
      </c>
      <c r="I1" s="1" t="s">
        <v>22</v>
      </c>
    </row>
    <row r="2" spans="1:9">
      <c r="A2" s="2" t="s">
        <v>83</v>
      </c>
      <c r="B2" s="3" t="s">
        <v>84</v>
      </c>
      <c r="C2" s="3" t="s">
        <v>85</v>
      </c>
      <c r="D2" s="3" t="s">
        <v>86</v>
      </c>
      <c r="E2" s="3" t="s">
        <v>87</v>
      </c>
      <c r="F2" s="4" t="s">
        <v>11</v>
      </c>
      <c r="G2" s="4" t="s">
        <v>88</v>
      </c>
      <c r="H2" s="5" t="s">
        <v>89</v>
      </c>
      <c r="I2" s="4" t="s">
        <v>90</v>
      </c>
    </row>
    <row r="3" spans="1:9">
      <c r="A3" s="2" t="s">
        <v>91</v>
      </c>
      <c r="B3" s="3" t="s">
        <v>84</v>
      </c>
      <c r="C3" s="3" t="s">
        <v>92</v>
      </c>
      <c r="D3" s="3" t="s">
        <v>93</v>
      </c>
      <c r="E3" s="3" t="s">
        <v>94</v>
      </c>
      <c r="F3" s="4" t="s">
        <v>11</v>
      </c>
      <c r="G3" s="4" t="s">
        <v>88</v>
      </c>
      <c r="H3" s="5" t="s">
        <v>89</v>
      </c>
      <c r="I3" s="4" t="s">
        <v>95</v>
      </c>
    </row>
    <row r="4" spans="1:9">
      <c r="A4" s="2" t="s">
        <v>73</v>
      </c>
      <c r="B4" s="3" t="s">
        <v>84</v>
      </c>
      <c r="C4" s="3" t="s">
        <v>96</v>
      </c>
      <c r="D4" s="3" t="s">
        <v>97</v>
      </c>
      <c r="E4" s="3" t="s">
        <v>98</v>
      </c>
      <c r="F4" s="4" t="s">
        <v>11</v>
      </c>
      <c r="G4" s="4" t="s">
        <v>88</v>
      </c>
      <c r="H4" s="5" t="s">
        <v>89</v>
      </c>
      <c r="I4" s="4" t="s">
        <v>99</v>
      </c>
    </row>
    <row r="5" spans="1:9">
      <c r="A5" s="2" t="s">
        <v>100</v>
      </c>
      <c r="B5" s="3" t="s">
        <v>84</v>
      </c>
      <c r="C5" s="3" t="s">
        <v>101</v>
      </c>
      <c r="D5" s="3" t="s">
        <v>102</v>
      </c>
      <c r="E5" s="3" t="s">
        <v>103</v>
      </c>
      <c r="F5" s="4" t="s">
        <v>11</v>
      </c>
      <c r="G5" s="4" t="s">
        <v>88</v>
      </c>
      <c r="H5" s="5" t="s">
        <v>89</v>
      </c>
      <c r="I5" s="4" t="s">
        <v>104</v>
      </c>
    </row>
    <row r="6" spans="1:9">
      <c r="A6" s="2" t="s">
        <v>105</v>
      </c>
      <c r="B6" s="3" t="s">
        <v>84</v>
      </c>
      <c r="C6" s="3" t="s">
        <v>106</v>
      </c>
      <c r="D6" s="3" t="s">
        <v>107</v>
      </c>
      <c r="E6" s="3" t="s">
        <v>108</v>
      </c>
      <c r="F6" s="4" t="s">
        <v>11</v>
      </c>
      <c r="G6" s="4" t="s">
        <v>88</v>
      </c>
      <c r="H6" s="5" t="s">
        <v>89</v>
      </c>
      <c r="I6" s="4" t="s">
        <v>109</v>
      </c>
    </row>
    <row r="7" spans="1:9">
      <c r="A7" s="2" t="s">
        <v>67</v>
      </c>
      <c r="B7" s="3" t="s">
        <v>84</v>
      </c>
      <c r="C7" s="3" t="s">
        <v>65</v>
      </c>
      <c r="D7" s="3" t="s">
        <v>110</v>
      </c>
      <c r="E7" s="3" t="s">
        <v>111</v>
      </c>
      <c r="F7" s="4" t="s">
        <v>11</v>
      </c>
      <c r="G7" s="4" t="s">
        <v>88</v>
      </c>
      <c r="H7" s="5" t="s">
        <v>89</v>
      </c>
      <c r="I7" s="4" t="s">
        <v>112</v>
      </c>
    </row>
    <row r="8" spans="1:9">
      <c r="A8" s="2" t="s">
        <v>113</v>
      </c>
      <c r="B8" s="3" t="s">
        <v>84</v>
      </c>
      <c r="C8" s="3" t="s">
        <v>114</v>
      </c>
      <c r="D8" s="3" t="s">
        <v>115</v>
      </c>
      <c r="E8" s="3" t="s">
        <v>116</v>
      </c>
      <c r="F8" s="4" t="s">
        <v>11</v>
      </c>
      <c r="G8" s="4" t="s">
        <v>88</v>
      </c>
      <c r="H8" s="5" t="s">
        <v>89</v>
      </c>
      <c r="I8" s="4" t="s">
        <v>117</v>
      </c>
    </row>
    <row r="9" spans="1:9">
      <c r="A9" s="2" t="s">
        <v>118</v>
      </c>
      <c r="B9" s="3" t="s">
        <v>84</v>
      </c>
      <c r="C9" s="3" t="s">
        <v>119</v>
      </c>
      <c r="D9" s="3" t="s">
        <v>120</v>
      </c>
      <c r="E9" s="3" t="s">
        <v>121</v>
      </c>
      <c r="F9" s="4" t="s">
        <v>9</v>
      </c>
      <c r="G9" s="4"/>
      <c r="H9" s="5"/>
      <c r="I9" s="4" t="s">
        <v>122</v>
      </c>
    </row>
    <row r="10" spans="1:9">
      <c r="A10" s="2" t="s">
        <v>123</v>
      </c>
      <c r="B10" s="3" t="s">
        <v>84</v>
      </c>
      <c r="C10" s="3" t="s">
        <v>124</v>
      </c>
      <c r="D10" s="3" t="s">
        <v>125</v>
      </c>
      <c r="E10" s="3" t="s">
        <v>126</v>
      </c>
      <c r="F10" s="4" t="s">
        <v>11</v>
      </c>
      <c r="G10" s="4" t="s">
        <v>88</v>
      </c>
      <c r="H10" s="5" t="s">
        <v>89</v>
      </c>
      <c r="I10" s="4" t="s">
        <v>127</v>
      </c>
    </row>
    <row r="11" spans="1:9">
      <c r="A11" s="2" t="s">
        <v>128</v>
      </c>
      <c r="B11" s="3" t="s">
        <v>84</v>
      </c>
      <c r="C11" s="3" t="s">
        <v>129</v>
      </c>
      <c r="D11" s="3" t="s">
        <v>130</v>
      </c>
      <c r="E11" s="3" t="s">
        <v>131</v>
      </c>
      <c r="F11" s="4" t="s">
        <v>11</v>
      </c>
      <c r="G11" s="4" t="s">
        <v>88</v>
      </c>
      <c r="H11" s="5" t="s">
        <v>89</v>
      </c>
      <c r="I11" s="4" t="s">
        <v>132</v>
      </c>
    </row>
    <row r="12" spans="1:9">
      <c r="A12" s="2" t="s">
        <v>133</v>
      </c>
      <c r="B12" s="3" t="s">
        <v>84</v>
      </c>
      <c r="C12" s="3" t="s">
        <v>38</v>
      </c>
      <c r="D12" s="3" t="s">
        <v>134</v>
      </c>
      <c r="E12" s="3" t="s">
        <v>135</v>
      </c>
      <c r="F12" s="4" t="s">
        <v>11</v>
      </c>
      <c r="G12" s="4" t="s">
        <v>88</v>
      </c>
      <c r="H12" s="5" t="s">
        <v>89</v>
      </c>
      <c r="I12" s="4" t="s">
        <v>136</v>
      </c>
    </row>
    <row r="13" spans="1:9">
      <c r="A13" s="2" t="s">
        <v>137</v>
      </c>
      <c r="B13" s="3" t="s">
        <v>138</v>
      </c>
      <c r="C13" s="3" t="s">
        <v>139</v>
      </c>
      <c r="D13" s="3" t="s">
        <v>140</v>
      </c>
      <c r="E13" s="3" t="s">
        <v>141</v>
      </c>
      <c r="F13" s="4" t="s">
        <v>11</v>
      </c>
      <c r="G13" s="4" t="s">
        <v>88</v>
      </c>
      <c r="H13" s="5" t="s">
        <v>89</v>
      </c>
      <c r="I13" s="4" t="s">
        <v>142</v>
      </c>
    </row>
    <row r="14" spans="1:9">
      <c r="A14" s="2" t="s">
        <v>143</v>
      </c>
      <c r="B14" s="3" t="s">
        <v>138</v>
      </c>
      <c r="C14" s="3" t="s">
        <v>144</v>
      </c>
      <c r="D14" s="3" t="s">
        <v>145</v>
      </c>
      <c r="E14" s="3" t="s">
        <v>146</v>
      </c>
      <c r="F14" s="4" t="s">
        <v>11</v>
      </c>
      <c r="G14" s="4" t="s">
        <v>88</v>
      </c>
      <c r="H14" s="5" t="s">
        <v>89</v>
      </c>
      <c r="I14" s="4" t="s">
        <v>147</v>
      </c>
    </row>
    <row r="15" spans="1:9">
      <c r="A15" s="2" t="s">
        <v>148</v>
      </c>
      <c r="B15" s="3" t="s">
        <v>138</v>
      </c>
      <c r="C15" s="3" t="s">
        <v>149</v>
      </c>
      <c r="D15" s="3" t="s">
        <v>150</v>
      </c>
      <c r="E15" s="3" t="s">
        <v>151</v>
      </c>
      <c r="F15" s="4" t="s">
        <v>11</v>
      </c>
      <c r="G15" s="4" t="s">
        <v>88</v>
      </c>
      <c r="H15" s="5" t="s">
        <v>89</v>
      </c>
      <c r="I15" s="4" t="s">
        <v>152</v>
      </c>
    </row>
    <row r="16" spans="1:9">
      <c r="A16" s="2" t="s">
        <v>153</v>
      </c>
      <c r="B16" s="3" t="s">
        <v>138</v>
      </c>
      <c r="C16" s="3" t="s">
        <v>154</v>
      </c>
      <c r="D16" s="3" t="s">
        <v>155</v>
      </c>
      <c r="E16" s="3" t="s">
        <v>156</v>
      </c>
      <c r="F16" s="4" t="s">
        <v>11</v>
      </c>
      <c r="G16" s="4" t="s">
        <v>88</v>
      </c>
      <c r="H16" s="5" t="s">
        <v>89</v>
      </c>
      <c r="I16" s="4" t="s">
        <v>157</v>
      </c>
    </row>
    <row r="17" spans="1:9">
      <c r="A17" s="2" t="s">
        <v>158</v>
      </c>
      <c r="B17" s="3" t="s">
        <v>138</v>
      </c>
      <c r="C17" s="3" t="s">
        <v>159</v>
      </c>
      <c r="D17" s="3" t="s">
        <v>160</v>
      </c>
      <c r="E17" s="3" t="s">
        <v>161</v>
      </c>
      <c r="F17" s="4" t="s">
        <v>11</v>
      </c>
      <c r="G17" s="4" t="s">
        <v>88</v>
      </c>
      <c r="H17" s="5" t="s">
        <v>89</v>
      </c>
      <c r="I17" s="4" t="s">
        <v>162</v>
      </c>
    </row>
    <row r="18" spans="1:9">
      <c r="A18" s="2" t="s">
        <v>163</v>
      </c>
      <c r="B18" s="3" t="s">
        <v>138</v>
      </c>
      <c r="C18" s="3" t="s">
        <v>164</v>
      </c>
      <c r="D18" s="3" t="s">
        <v>165</v>
      </c>
      <c r="E18" s="3" t="s">
        <v>166</v>
      </c>
      <c r="F18" s="4" t="s">
        <v>11</v>
      </c>
      <c r="G18" s="4" t="s">
        <v>88</v>
      </c>
      <c r="H18" s="5" t="s">
        <v>89</v>
      </c>
      <c r="I18" s="4" t="s">
        <v>167</v>
      </c>
    </row>
    <row r="19" spans="1:9">
      <c r="A19" s="2" t="s">
        <v>23</v>
      </c>
      <c r="B19" s="3" t="s">
        <v>138</v>
      </c>
      <c r="C19" s="3" t="s">
        <v>168</v>
      </c>
      <c r="D19" s="3" t="s">
        <v>169</v>
      </c>
      <c r="E19" s="3" t="s">
        <v>170</v>
      </c>
      <c r="F19" s="4" t="s">
        <v>11</v>
      </c>
      <c r="G19" s="4" t="s">
        <v>88</v>
      </c>
      <c r="H19" s="5" t="s">
        <v>89</v>
      </c>
      <c r="I19" s="4" t="s">
        <v>171</v>
      </c>
    </row>
    <row r="20" spans="1:9">
      <c r="A20" s="2" t="s">
        <v>172</v>
      </c>
      <c r="B20" s="3" t="s">
        <v>138</v>
      </c>
      <c r="C20" s="3" t="s">
        <v>173</v>
      </c>
      <c r="D20" s="3" t="s">
        <v>174</v>
      </c>
      <c r="E20" s="3" t="s">
        <v>175</v>
      </c>
      <c r="F20" s="4" t="s">
        <v>11</v>
      </c>
      <c r="G20" s="4" t="s">
        <v>88</v>
      </c>
      <c r="H20" s="5" t="s">
        <v>89</v>
      </c>
      <c r="I20" s="4" t="s">
        <v>176</v>
      </c>
    </row>
    <row r="21" spans="1:9">
      <c r="A21" s="2" t="s">
        <v>177</v>
      </c>
      <c r="B21" s="3" t="s">
        <v>138</v>
      </c>
      <c r="C21" s="3" t="s">
        <v>178</v>
      </c>
      <c r="D21" s="3" t="s">
        <v>179</v>
      </c>
      <c r="E21" s="3" t="s">
        <v>180</v>
      </c>
      <c r="F21" s="4" t="s">
        <v>11</v>
      </c>
      <c r="G21" s="4" t="s">
        <v>88</v>
      </c>
      <c r="H21" s="5" t="s">
        <v>89</v>
      </c>
      <c r="I21" s="4" t="s">
        <v>181</v>
      </c>
    </row>
    <row r="22" spans="1:9">
      <c r="A22" s="2" t="s">
        <v>182</v>
      </c>
      <c r="B22" s="3" t="s">
        <v>138</v>
      </c>
      <c r="C22" s="3" t="s">
        <v>183</v>
      </c>
      <c r="D22" s="3" t="s">
        <v>184</v>
      </c>
      <c r="E22" s="3" t="s">
        <v>185</v>
      </c>
      <c r="F22" s="4" t="s">
        <v>11</v>
      </c>
      <c r="G22" s="4" t="s">
        <v>88</v>
      </c>
      <c r="H22" s="5" t="s">
        <v>89</v>
      </c>
      <c r="I22" s="4" t="s">
        <v>186</v>
      </c>
    </row>
    <row r="23" spans="1:9">
      <c r="A23" s="2" t="s">
        <v>61</v>
      </c>
      <c r="B23" s="3" t="s">
        <v>138</v>
      </c>
      <c r="C23" s="3" t="s">
        <v>187</v>
      </c>
      <c r="D23" s="3" t="s">
        <v>188</v>
      </c>
      <c r="E23" s="3" t="s">
        <v>189</v>
      </c>
      <c r="F23" s="4" t="s">
        <v>11</v>
      </c>
      <c r="G23" s="4" t="s">
        <v>88</v>
      </c>
      <c r="H23" s="5" t="s">
        <v>89</v>
      </c>
      <c r="I23" s="4" t="s">
        <v>190</v>
      </c>
    </row>
    <row r="24" spans="1:9">
      <c r="A24" s="2" t="s">
        <v>46</v>
      </c>
      <c r="B24" s="3" t="s">
        <v>138</v>
      </c>
      <c r="C24" s="3" t="s">
        <v>191</v>
      </c>
      <c r="D24" s="3" t="s">
        <v>192</v>
      </c>
      <c r="E24" s="3" t="s">
        <v>193</v>
      </c>
      <c r="F24" s="4" t="s">
        <v>11</v>
      </c>
      <c r="G24" s="4" t="s">
        <v>88</v>
      </c>
      <c r="H24" s="5" t="s">
        <v>89</v>
      </c>
      <c r="I24" s="4" t="s">
        <v>194</v>
      </c>
    </row>
    <row r="25" spans="1:9">
      <c r="A25" s="2" t="s">
        <v>49</v>
      </c>
      <c r="B25" s="3" t="s">
        <v>138</v>
      </c>
      <c r="C25" s="3" t="s">
        <v>195</v>
      </c>
      <c r="D25" s="3" t="s">
        <v>196</v>
      </c>
      <c r="E25" s="3" t="s">
        <v>197</v>
      </c>
      <c r="F25" s="4" t="s">
        <v>11</v>
      </c>
      <c r="G25" s="4" t="s">
        <v>88</v>
      </c>
      <c r="H25" s="5" t="s">
        <v>89</v>
      </c>
      <c r="I25" s="4" t="s">
        <v>198</v>
      </c>
    </row>
    <row r="26" spans="1:9">
      <c r="A26" s="2" t="s">
        <v>52</v>
      </c>
      <c r="B26" s="3" t="s">
        <v>138</v>
      </c>
      <c r="C26" s="3" t="s">
        <v>199</v>
      </c>
      <c r="D26" s="3" t="s">
        <v>200</v>
      </c>
      <c r="E26" s="3" t="s">
        <v>201</v>
      </c>
      <c r="F26" s="4" t="s">
        <v>11</v>
      </c>
      <c r="G26" s="4" t="s">
        <v>88</v>
      </c>
      <c r="H26" s="5" t="s">
        <v>89</v>
      </c>
      <c r="I26" s="4" t="s">
        <v>202</v>
      </c>
    </row>
    <row r="27" spans="1:9">
      <c r="A27" s="2" t="s">
        <v>55</v>
      </c>
      <c r="B27" s="3" t="s">
        <v>138</v>
      </c>
      <c r="C27" s="3" t="s">
        <v>203</v>
      </c>
      <c r="D27" s="3" t="s">
        <v>204</v>
      </c>
      <c r="E27" s="3" t="s">
        <v>205</v>
      </c>
      <c r="F27" s="4" t="s">
        <v>11</v>
      </c>
      <c r="G27" s="4" t="s">
        <v>88</v>
      </c>
      <c r="H27" s="5" t="s">
        <v>89</v>
      </c>
      <c r="I27" s="4" t="s">
        <v>206</v>
      </c>
    </row>
    <row r="28" spans="1:9">
      <c r="A28" s="2" t="s">
        <v>207</v>
      </c>
      <c r="B28" s="3" t="s">
        <v>138</v>
      </c>
      <c r="C28" s="3" t="s">
        <v>208</v>
      </c>
      <c r="D28" s="3" t="s">
        <v>209</v>
      </c>
      <c r="E28" s="3" t="s">
        <v>210</v>
      </c>
      <c r="F28" s="4" t="s">
        <v>11</v>
      </c>
      <c r="G28" s="4" t="s">
        <v>88</v>
      </c>
      <c r="H28" s="5" t="s">
        <v>89</v>
      </c>
      <c r="I28" s="4" t="s">
        <v>211</v>
      </c>
    </row>
    <row r="29" spans="1:9">
      <c r="A29" s="2" t="s">
        <v>212</v>
      </c>
      <c r="B29" s="3" t="s">
        <v>138</v>
      </c>
      <c r="C29" s="3" t="s">
        <v>213</v>
      </c>
      <c r="D29" s="3" t="s">
        <v>214</v>
      </c>
      <c r="E29" s="3" t="s">
        <v>215</v>
      </c>
      <c r="F29" s="4" t="s">
        <v>11</v>
      </c>
      <c r="G29" s="4" t="s">
        <v>88</v>
      </c>
      <c r="H29" s="5" t="s">
        <v>89</v>
      </c>
      <c r="I29" s="4" t="s">
        <v>216</v>
      </c>
    </row>
    <row r="30" spans="1:9">
      <c r="A30" s="2" t="s">
        <v>217</v>
      </c>
      <c r="B30" s="3" t="s">
        <v>138</v>
      </c>
      <c r="C30" s="3" t="s">
        <v>218</v>
      </c>
      <c r="D30" s="3" t="s">
        <v>219</v>
      </c>
      <c r="E30" s="3" t="s">
        <v>220</v>
      </c>
      <c r="F30" s="4" t="s">
        <v>11</v>
      </c>
      <c r="G30" s="4" t="s">
        <v>88</v>
      </c>
      <c r="H30" s="5" t="s">
        <v>89</v>
      </c>
      <c r="I30" s="4" t="s">
        <v>221</v>
      </c>
    </row>
    <row r="31" spans="1:9">
      <c r="A31" s="2" t="s">
        <v>222</v>
      </c>
      <c r="B31" s="3" t="s">
        <v>138</v>
      </c>
      <c r="C31" s="3" t="s">
        <v>223</v>
      </c>
      <c r="D31" s="3" t="s">
        <v>224</v>
      </c>
      <c r="E31" s="3" t="s">
        <v>225</v>
      </c>
      <c r="F31" s="4" t="s">
        <v>11</v>
      </c>
      <c r="G31" s="4" t="s">
        <v>88</v>
      </c>
      <c r="H31" s="5" t="s">
        <v>89</v>
      </c>
      <c r="I31" s="4" t="s">
        <v>226</v>
      </c>
    </row>
    <row r="32" spans="1:9">
      <c r="A32" s="2" t="s">
        <v>227</v>
      </c>
      <c r="B32" s="3" t="s">
        <v>228</v>
      </c>
      <c r="C32" s="3" t="s">
        <v>229</v>
      </c>
      <c r="D32" s="3" t="s">
        <v>230</v>
      </c>
      <c r="E32" s="3" t="s">
        <v>231</v>
      </c>
      <c r="F32" s="4" t="s">
        <v>11</v>
      </c>
      <c r="G32" s="4" t="s">
        <v>88</v>
      </c>
      <c r="H32" s="5" t="s">
        <v>89</v>
      </c>
      <c r="I32" s="4" t="s">
        <v>232</v>
      </c>
    </row>
    <row r="33" spans="1:9">
      <c r="A33" s="2" t="s">
        <v>233</v>
      </c>
      <c r="B33" s="3" t="s">
        <v>228</v>
      </c>
      <c r="C33" s="3" t="s">
        <v>234</v>
      </c>
      <c r="D33" s="3" t="s">
        <v>235</v>
      </c>
      <c r="E33" s="3" t="s">
        <v>236</v>
      </c>
      <c r="F33" s="4" t="s">
        <v>11</v>
      </c>
      <c r="G33" s="4" t="s">
        <v>88</v>
      </c>
      <c r="H33" s="5" t="s">
        <v>89</v>
      </c>
      <c r="I33" s="4" t="s">
        <v>237</v>
      </c>
    </row>
    <row r="34" spans="1:9">
      <c r="A34" s="2" t="s">
        <v>238</v>
      </c>
      <c r="B34" s="3" t="s">
        <v>228</v>
      </c>
      <c r="C34" s="3" t="s">
        <v>239</v>
      </c>
      <c r="D34" s="3" t="s">
        <v>240</v>
      </c>
      <c r="E34" s="3" t="s">
        <v>241</v>
      </c>
      <c r="F34" s="4" t="s">
        <v>11</v>
      </c>
      <c r="G34" s="4" t="s">
        <v>88</v>
      </c>
      <c r="H34" s="5" t="s">
        <v>89</v>
      </c>
      <c r="I34" s="4" t="s">
        <v>242</v>
      </c>
    </row>
    <row r="35" spans="1:9">
      <c r="A35" s="2" t="s">
        <v>243</v>
      </c>
      <c r="B35" s="3" t="s">
        <v>228</v>
      </c>
      <c r="C35" s="3" t="s">
        <v>244</v>
      </c>
      <c r="D35" s="3" t="s">
        <v>245</v>
      </c>
      <c r="E35" s="3" t="s">
        <v>246</v>
      </c>
      <c r="F35" s="4" t="s">
        <v>11</v>
      </c>
      <c r="G35" s="4" t="s">
        <v>88</v>
      </c>
      <c r="H35" s="5" t="s">
        <v>89</v>
      </c>
      <c r="I35" s="4" t="s">
        <v>247</v>
      </c>
    </row>
    <row r="36" spans="1:9">
      <c r="A36" s="2" t="s">
        <v>248</v>
      </c>
      <c r="B36" s="3" t="s">
        <v>228</v>
      </c>
      <c r="C36" s="3" t="s">
        <v>249</v>
      </c>
      <c r="D36" s="3" t="s">
        <v>250</v>
      </c>
      <c r="E36" s="3" t="s">
        <v>251</v>
      </c>
      <c r="F36" s="4" t="s">
        <v>11</v>
      </c>
      <c r="G36" s="4" t="s">
        <v>88</v>
      </c>
      <c r="H36" s="5" t="s">
        <v>89</v>
      </c>
      <c r="I36" s="4" t="s">
        <v>252</v>
      </c>
    </row>
    <row r="37" spans="1:9">
      <c r="A37" s="2" t="s">
        <v>253</v>
      </c>
      <c r="B37" s="3" t="s">
        <v>228</v>
      </c>
      <c r="C37" s="3" t="s">
        <v>254</v>
      </c>
      <c r="D37" s="3" t="s">
        <v>255</v>
      </c>
      <c r="E37" s="3" t="s">
        <v>256</v>
      </c>
      <c r="F37" s="4" t="s">
        <v>11</v>
      </c>
      <c r="G37" s="4" t="s">
        <v>88</v>
      </c>
      <c r="H37" s="5" t="s">
        <v>89</v>
      </c>
      <c r="I37" s="4" t="s">
        <v>257</v>
      </c>
    </row>
    <row r="38" spans="1:9">
      <c r="A38" s="2" t="s">
        <v>258</v>
      </c>
      <c r="B38" s="3" t="s">
        <v>228</v>
      </c>
      <c r="C38" s="3" t="s">
        <v>259</v>
      </c>
      <c r="D38" s="3" t="s">
        <v>260</v>
      </c>
      <c r="E38" s="3" t="s">
        <v>261</v>
      </c>
      <c r="F38" s="4" t="s">
        <v>11</v>
      </c>
      <c r="G38" s="4" t="s">
        <v>88</v>
      </c>
      <c r="H38" s="5" t="s">
        <v>89</v>
      </c>
      <c r="I38" s="4" t="s">
        <v>262</v>
      </c>
    </row>
    <row r="39" spans="1:9">
      <c r="A39" s="2" t="s">
        <v>263</v>
      </c>
      <c r="B39" s="3" t="s">
        <v>228</v>
      </c>
      <c r="C39" s="3" t="s">
        <v>264</v>
      </c>
      <c r="D39" s="3" t="s">
        <v>265</v>
      </c>
      <c r="E39" s="3" t="s">
        <v>266</v>
      </c>
      <c r="F39" s="4" t="s">
        <v>11</v>
      </c>
      <c r="G39" s="4" t="s">
        <v>88</v>
      </c>
      <c r="H39" s="5" t="s">
        <v>89</v>
      </c>
      <c r="I39" s="4" t="s">
        <v>267</v>
      </c>
    </row>
    <row r="40" spans="1:9">
      <c r="A40" s="2" t="s">
        <v>268</v>
      </c>
      <c r="B40" s="3" t="s">
        <v>228</v>
      </c>
      <c r="C40" s="3" t="s">
        <v>269</v>
      </c>
      <c r="D40" s="3" t="s">
        <v>270</v>
      </c>
      <c r="E40" s="3" t="s">
        <v>271</v>
      </c>
      <c r="F40" s="4" t="s">
        <v>11</v>
      </c>
      <c r="G40" s="4" t="s">
        <v>88</v>
      </c>
      <c r="H40" s="5" t="s">
        <v>89</v>
      </c>
      <c r="I40" s="4" t="s">
        <v>272</v>
      </c>
    </row>
    <row r="41" spans="1:9">
      <c r="A41" s="2" t="s">
        <v>273</v>
      </c>
      <c r="B41" s="3" t="s">
        <v>228</v>
      </c>
      <c r="C41" s="3" t="s">
        <v>274</v>
      </c>
      <c r="D41" s="3" t="s">
        <v>275</v>
      </c>
      <c r="E41" s="3" t="s">
        <v>276</v>
      </c>
      <c r="F41" s="4" t="s">
        <v>11</v>
      </c>
      <c r="G41" s="4" t="s">
        <v>88</v>
      </c>
      <c r="H41" s="5" t="s">
        <v>89</v>
      </c>
      <c r="I41" s="4" t="s">
        <v>277</v>
      </c>
    </row>
    <row r="42" spans="1:9">
      <c r="A42" s="2" t="s">
        <v>278</v>
      </c>
      <c r="B42" s="3" t="s">
        <v>228</v>
      </c>
      <c r="C42" s="3" t="s">
        <v>279</v>
      </c>
      <c r="D42" s="3" t="s">
        <v>280</v>
      </c>
      <c r="E42" s="3" t="s">
        <v>281</v>
      </c>
      <c r="F42" s="4" t="s">
        <v>11</v>
      </c>
      <c r="G42" s="4" t="s">
        <v>88</v>
      </c>
      <c r="H42" s="5" t="s">
        <v>89</v>
      </c>
      <c r="I42" s="4" t="s">
        <v>282</v>
      </c>
    </row>
    <row r="43" spans="1:9">
      <c r="A43" s="2" t="s">
        <v>283</v>
      </c>
      <c r="B43" s="3" t="s">
        <v>228</v>
      </c>
      <c r="C43" s="3" t="s">
        <v>284</v>
      </c>
      <c r="D43" s="3" t="s">
        <v>285</v>
      </c>
      <c r="E43" s="3" t="s">
        <v>286</v>
      </c>
      <c r="F43" s="4" t="s">
        <v>11</v>
      </c>
      <c r="G43" s="4" t="s">
        <v>88</v>
      </c>
      <c r="H43" s="5" t="s">
        <v>89</v>
      </c>
      <c r="I43" s="4" t="s">
        <v>287</v>
      </c>
    </row>
    <row r="44" spans="1:9">
      <c r="A44" s="2" t="s">
        <v>288</v>
      </c>
      <c r="B44" s="3" t="s">
        <v>228</v>
      </c>
      <c r="C44" s="3" t="s">
        <v>289</v>
      </c>
      <c r="D44" s="3" t="s">
        <v>290</v>
      </c>
      <c r="E44" s="3" t="s">
        <v>291</v>
      </c>
      <c r="F44" s="4" t="s">
        <v>11</v>
      </c>
      <c r="G44" s="4" t="s">
        <v>88</v>
      </c>
      <c r="H44" s="5" t="s">
        <v>89</v>
      </c>
      <c r="I44" s="4" t="s">
        <v>292</v>
      </c>
    </row>
    <row r="45" spans="1:9">
      <c r="A45" s="2" t="s">
        <v>293</v>
      </c>
      <c r="B45" s="3" t="s">
        <v>228</v>
      </c>
      <c r="C45" s="3" t="s">
        <v>294</v>
      </c>
      <c r="D45" s="3" t="s">
        <v>295</v>
      </c>
      <c r="E45" s="3" t="s">
        <v>296</v>
      </c>
      <c r="F45" s="4" t="s">
        <v>11</v>
      </c>
      <c r="G45" s="4" t="s">
        <v>88</v>
      </c>
      <c r="H45" s="5" t="s">
        <v>89</v>
      </c>
      <c r="I45" s="4" t="s">
        <v>297</v>
      </c>
    </row>
    <row r="46" spans="1:9">
      <c r="A46" s="2" t="s">
        <v>298</v>
      </c>
      <c r="B46" s="3" t="s">
        <v>299</v>
      </c>
      <c r="C46" s="3" t="s">
        <v>300</v>
      </c>
      <c r="D46" s="3" t="s">
        <v>301</v>
      </c>
      <c r="E46" s="3" t="s">
        <v>302</v>
      </c>
      <c r="F46" s="4" t="s">
        <v>11</v>
      </c>
      <c r="G46" s="4" t="s">
        <v>88</v>
      </c>
      <c r="H46" s="5" t="s">
        <v>89</v>
      </c>
      <c r="I46" s="4" t="s">
        <v>303</v>
      </c>
    </row>
    <row r="47" spans="1:9">
      <c r="A47" s="2" t="s">
        <v>304</v>
      </c>
      <c r="B47" s="3" t="s">
        <v>299</v>
      </c>
      <c r="C47" s="3" t="s">
        <v>305</v>
      </c>
      <c r="D47" s="3" t="s">
        <v>306</v>
      </c>
      <c r="E47" s="3" t="s">
        <v>307</v>
      </c>
      <c r="F47" s="4" t="s">
        <v>11</v>
      </c>
      <c r="G47" s="4" t="s">
        <v>88</v>
      </c>
      <c r="H47" s="5" t="s">
        <v>89</v>
      </c>
      <c r="I47" s="4" t="s">
        <v>308</v>
      </c>
    </row>
    <row r="48" spans="1:9">
      <c r="A48" s="2" t="s">
        <v>309</v>
      </c>
      <c r="B48" s="3" t="s">
        <v>299</v>
      </c>
      <c r="C48" s="3" t="s">
        <v>310</v>
      </c>
      <c r="D48" s="3" t="s">
        <v>311</v>
      </c>
      <c r="E48" s="3" t="s">
        <v>312</v>
      </c>
      <c r="F48" s="4" t="s">
        <v>11</v>
      </c>
      <c r="G48" s="4" t="s">
        <v>88</v>
      </c>
      <c r="H48" s="5" t="s">
        <v>89</v>
      </c>
      <c r="I48" s="4" t="s">
        <v>313</v>
      </c>
    </row>
    <row r="49" spans="1:9">
      <c r="A49" s="2" t="s">
        <v>314</v>
      </c>
      <c r="B49" s="3" t="s">
        <v>299</v>
      </c>
      <c r="C49" s="3" t="s">
        <v>315</v>
      </c>
      <c r="D49" s="3" t="s">
        <v>316</v>
      </c>
      <c r="E49" s="3" t="s">
        <v>317</v>
      </c>
      <c r="F49" s="4" t="s">
        <v>11</v>
      </c>
      <c r="G49" s="4" t="s">
        <v>88</v>
      </c>
      <c r="H49" s="5" t="s">
        <v>89</v>
      </c>
      <c r="I49" s="4" t="s">
        <v>318</v>
      </c>
    </row>
    <row r="50" spans="1:9">
      <c r="A50" s="2" t="s">
        <v>319</v>
      </c>
      <c r="B50" s="3" t="s">
        <v>299</v>
      </c>
      <c r="C50" s="3" t="s">
        <v>320</v>
      </c>
      <c r="D50" s="3" t="s">
        <v>321</v>
      </c>
      <c r="E50" s="3" t="s">
        <v>322</v>
      </c>
      <c r="F50" s="4" t="s">
        <v>11</v>
      </c>
      <c r="G50" s="4" t="s">
        <v>88</v>
      </c>
      <c r="H50" s="5" t="s">
        <v>89</v>
      </c>
      <c r="I50" s="4" t="s">
        <v>323</v>
      </c>
    </row>
    <row r="51" spans="1:9">
      <c r="A51" s="2" t="s">
        <v>324</v>
      </c>
      <c r="B51" s="3" t="s">
        <v>299</v>
      </c>
      <c r="C51" s="3" t="s">
        <v>325</v>
      </c>
      <c r="D51" s="3" t="s">
        <v>326</v>
      </c>
      <c r="E51" s="3" t="s">
        <v>327</v>
      </c>
      <c r="F51" s="4" t="s">
        <v>11</v>
      </c>
      <c r="G51" s="4" t="s">
        <v>88</v>
      </c>
      <c r="H51" s="5" t="s">
        <v>89</v>
      </c>
      <c r="I51" s="4" t="s">
        <v>328</v>
      </c>
    </row>
    <row r="52" spans="1:9">
      <c r="A52" s="2" t="s">
        <v>329</v>
      </c>
      <c r="B52" s="3" t="s">
        <v>299</v>
      </c>
      <c r="C52" s="3" t="s">
        <v>330</v>
      </c>
      <c r="D52" s="3" t="s">
        <v>331</v>
      </c>
      <c r="E52" s="3" t="s">
        <v>332</v>
      </c>
      <c r="F52" s="4" t="s">
        <v>11</v>
      </c>
      <c r="G52" s="4" t="s">
        <v>88</v>
      </c>
      <c r="H52" s="5" t="s">
        <v>89</v>
      </c>
      <c r="I52" s="4" t="s">
        <v>333</v>
      </c>
    </row>
    <row r="53" spans="1:9">
      <c r="A53" s="2" t="s">
        <v>334</v>
      </c>
      <c r="B53" s="3" t="s">
        <v>299</v>
      </c>
      <c r="C53" s="3" t="s">
        <v>335</v>
      </c>
      <c r="D53" s="3" t="s">
        <v>336</v>
      </c>
      <c r="E53" s="3" t="s">
        <v>337</v>
      </c>
      <c r="F53" s="4" t="s">
        <v>11</v>
      </c>
      <c r="G53" s="4" t="s">
        <v>88</v>
      </c>
      <c r="H53" s="5" t="s">
        <v>89</v>
      </c>
      <c r="I53" s="4" t="s">
        <v>338</v>
      </c>
    </row>
    <row r="54" spans="1:9">
      <c r="A54" s="2" t="s">
        <v>339</v>
      </c>
      <c r="B54" s="3" t="s">
        <v>299</v>
      </c>
      <c r="C54" s="3" t="s">
        <v>340</v>
      </c>
      <c r="D54" s="3" t="s">
        <v>341</v>
      </c>
      <c r="E54" s="3" t="s">
        <v>342</v>
      </c>
      <c r="F54" s="4" t="s">
        <v>11</v>
      </c>
      <c r="G54" s="4" t="s">
        <v>88</v>
      </c>
      <c r="H54" s="5" t="s">
        <v>89</v>
      </c>
      <c r="I54" s="4" t="s">
        <v>343</v>
      </c>
    </row>
    <row r="55" spans="1:9">
      <c r="A55" s="2" t="s">
        <v>344</v>
      </c>
      <c r="B55" s="3" t="s">
        <v>299</v>
      </c>
      <c r="C55" s="3" t="s">
        <v>345</v>
      </c>
      <c r="D55" s="3" t="s">
        <v>346</v>
      </c>
      <c r="E55" s="3" t="s">
        <v>347</v>
      </c>
      <c r="F55" s="4" t="s">
        <v>11</v>
      </c>
      <c r="G55" s="4" t="s">
        <v>88</v>
      </c>
      <c r="H55" s="5" t="s">
        <v>89</v>
      </c>
      <c r="I55" s="4" t="s">
        <v>348</v>
      </c>
    </row>
    <row r="56" spans="1:9">
      <c r="A56" s="2" t="s">
        <v>349</v>
      </c>
      <c r="B56" s="3" t="s">
        <v>299</v>
      </c>
      <c r="C56" s="3" t="s">
        <v>350</v>
      </c>
      <c r="D56" s="3" t="s">
        <v>351</v>
      </c>
      <c r="E56" s="3" t="s">
        <v>352</v>
      </c>
      <c r="F56" s="4" t="s">
        <v>11</v>
      </c>
      <c r="G56" s="4" t="s">
        <v>88</v>
      </c>
      <c r="H56" s="5" t="s">
        <v>89</v>
      </c>
      <c r="I56" s="4" t="s">
        <v>353</v>
      </c>
    </row>
    <row r="57" spans="1:9">
      <c r="A57" s="2" t="s">
        <v>354</v>
      </c>
      <c r="B57" s="3" t="s">
        <v>299</v>
      </c>
      <c r="C57" s="3" t="s">
        <v>355</v>
      </c>
      <c r="D57" s="3" t="s">
        <v>356</v>
      </c>
      <c r="E57" s="3" t="s">
        <v>357</v>
      </c>
      <c r="F57" s="4" t="s">
        <v>11</v>
      </c>
      <c r="G57" s="4" t="s">
        <v>88</v>
      </c>
      <c r="H57" s="5" t="s">
        <v>89</v>
      </c>
      <c r="I57" s="4" t="s">
        <v>358</v>
      </c>
    </row>
    <row r="58" spans="1:9">
      <c r="A58" s="2" t="s">
        <v>359</v>
      </c>
      <c r="B58" s="3" t="s">
        <v>299</v>
      </c>
      <c r="C58" s="3" t="s">
        <v>360</v>
      </c>
      <c r="D58" s="3" t="s">
        <v>361</v>
      </c>
      <c r="E58" s="3" t="s">
        <v>362</v>
      </c>
      <c r="F58" s="4" t="s">
        <v>11</v>
      </c>
      <c r="G58" s="4" t="s">
        <v>88</v>
      </c>
      <c r="H58" s="5" t="s">
        <v>89</v>
      </c>
      <c r="I58" s="4" t="s">
        <v>363</v>
      </c>
    </row>
    <row r="59" spans="1:9">
      <c r="A59" s="2" t="s">
        <v>364</v>
      </c>
      <c r="B59" s="3" t="s">
        <v>299</v>
      </c>
      <c r="C59" s="3" t="s">
        <v>365</v>
      </c>
      <c r="D59" s="3" t="s">
        <v>366</v>
      </c>
      <c r="E59" s="3" t="s">
        <v>367</v>
      </c>
      <c r="F59" s="4" t="s">
        <v>9</v>
      </c>
      <c r="G59" s="4"/>
      <c r="H59" s="5"/>
      <c r="I59" s="4" t="s">
        <v>368</v>
      </c>
    </row>
    <row r="60" spans="1:9">
      <c r="A60" s="2" t="s">
        <v>369</v>
      </c>
      <c r="B60" s="3" t="s">
        <v>370</v>
      </c>
      <c r="C60" s="3" t="s">
        <v>371</v>
      </c>
      <c r="D60" s="3" t="s">
        <v>372</v>
      </c>
      <c r="E60" s="3" t="s">
        <v>373</v>
      </c>
      <c r="F60" s="4" t="s">
        <v>11</v>
      </c>
      <c r="G60" s="4" t="s">
        <v>88</v>
      </c>
      <c r="H60" s="5" t="s">
        <v>89</v>
      </c>
      <c r="I60" s="4" t="s">
        <v>374</v>
      </c>
    </row>
    <row r="61" spans="1:9">
      <c r="A61" s="2" t="s">
        <v>375</v>
      </c>
      <c r="B61" s="3" t="s">
        <v>370</v>
      </c>
      <c r="C61" s="3" t="s">
        <v>376</v>
      </c>
      <c r="D61" s="3" t="s">
        <v>377</v>
      </c>
      <c r="E61" s="3" t="s">
        <v>378</v>
      </c>
      <c r="F61" s="4" t="s">
        <v>11</v>
      </c>
      <c r="G61" s="4" t="s">
        <v>88</v>
      </c>
      <c r="H61" s="5" t="s">
        <v>89</v>
      </c>
      <c r="I61" s="4" t="s">
        <v>379</v>
      </c>
    </row>
    <row r="62" spans="1:9">
      <c r="A62" s="2" t="s">
        <v>380</v>
      </c>
      <c r="B62" s="3" t="s">
        <v>370</v>
      </c>
      <c r="C62" s="3" t="s">
        <v>381</v>
      </c>
      <c r="D62" s="3" t="s">
        <v>382</v>
      </c>
      <c r="E62" s="3" t="s">
        <v>383</v>
      </c>
      <c r="F62" s="4" t="s">
        <v>11</v>
      </c>
      <c r="G62" s="4" t="s">
        <v>88</v>
      </c>
      <c r="H62" s="5" t="s">
        <v>89</v>
      </c>
      <c r="I62" s="4" t="s">
        <v>384</v>
      </c>
    </row>
    <row r="63" spans="1:9">
      <c r="A63" s="2" t="s">
        <v>385</v>
      </c>
      <c r="B63" s="3" t="s">
        <v>370</v>
      </c>
      <c r="C63" s="3" t="s">
        <v>386</v>
      </c>
      <c r="D63" s="3" t="s">
        <v>387</v>
      </c>
      <c r="E63" s="3" t="s">
        <v>388</v>
      </c>
      <c r="F63" s="4" t="s">
        <v>11</v>
      </c>
      <c r="G63" s="4" t="s">
        <v>88</v>
      </c>
      <c r="H63" s="5" t="s">
        <v>89</v>
      </c>
      <c r="I63" s="4" t="s">
        <v>389</v>
      </c>
    </row>
    <row r="64" spans="1:9">
      <c r="A64" s="2" t="s">
        <v>390</v>
      </c>
      <c r="B64" s="3" t="s">
        <v>370</v>
      </c>
      <c r="C64" s="3" t="s">
        <v>391</v>
      </c>
      <c r="D64" s="3" t="s">
        <v>392</v>
      </c>
      <c r="E64" s="3" t="s">
        <v>393</v>
      </c>
      <c r="F64" s="4" t="s">
        <v>9</v>
      </c>
      <c r="G64" s="4"/>
      <c r="H64" s="5"/>
      <c r="I64" s="4" t="s">
        <v>394</v>
      </c>
    </row>
    <row r="65" spans="1:9">
      <c r="A65" s="2" t="s">
        <v>395</v>
      </c>
      <c r="B65" s="3" t="s">
        <v>370</v>
      </c>
      <c r="C65" s="3" t="s">
        <v>396</v>
      </c>
      <c r="D65" s="3" t="s">
        <v>397</v>
      </c>
      <c r="E65" s="3" t="s">
        <v>398</v>
      </c>
      <c r="F65" s="4" t="s">
        <v>11</v>
      </c>
      <c r="G65" s="4" t="s">
        <v>88</v>
      </c>
      <c r="H65" s="5" t="s">
        <v>89</v>
      </c>
      <c r="I65" s="4" t="s">
        <v>399</v>
      </c>
    </row>
    <row r="66" spans="1:9">
      <c r="A66" s="2" t="s">
        <v>400</v>
      </c>
      <c r="B66" s="3" t="s">
        <v>401</v>
      </c>
      <c r="C66" s="3" t="s">
        <v>402</v>
      </c>
      <c r="D66" s="3" t="s">
        <v>403</v>
      </c>
      <c r="E66" s="3" t="s">
        <v>404</v>
      </c>
      <c r="F66" s="4" t="s">
        <v>11</v>
      </c>
      <c r="G66" s="4" t="s">
        <v>88</v>
      </c>
      <c r="H66" s="5" t="s">
        <v>89</v>
      </c>
      <c r="I66" s="4" t="s">
        <v>405</v>
      </c>
    </row>
    <row r="67" spans="1:9">
      <c r="A67" s="2" t="s">
        <v>406</v>
      </c>
      <c r="B67" s="3" t="s">
        <v>401</v>
      </c>
      <c r="C67" s="3" t="s">
        <v>407</v>
      </c>
      <c r="D67" s="3" t="s">
        <v>408</v>
      </c>
      <c r="E67" s="3" t="s">
        <v>409</v>
      </c>
      <c r="F67" s="4" t="s">
        <v>11</v>
      </c>
      <c r="G67" s="4" t="s">
        <v>88</v>
      </c>
      <c r="H67" s="5" t="s">
        <v>89</v>
      </c>
      <c r="I67" s="4" t="s">
        <v>410</v>
      </c>
    </row>
    <row r="68" spans="1:9">
      <c r="A68" s="2" t="s">
        <v>411</v>
      </c>
      <c r="B68" s="3" t="s">
        <v>401</v>
      </c>
      <c r="C68" s="3" t="s">
        <v>412</v>
      </c>
      <c r="D68" s="3" t="s">
        <v>413</v>
      </c>
      <c r="E68" s="3" t="s">
        <v>414</v>
      </c>
      <c r="F68" s="4" t="s">
        <v>11</v>
      </c>
      <c r="G68" s="4" t="s">
        <v>88</v>
      </c>
      <c r="H68" s="5" t="s">
        <v>89</v>
      </c>
      <c r="I68" s="4" t="s">
        <v>415</v>
      </c>
    </row>
    <row r="69" spans="1:9">
      <c r="A69" s="2" t="s">
        <v>416</v>
      </c>
      <c r="B69" s="3" t="s">
        <v>401</v>
      </c>
      <c r="C69" s="3" t="s">
        <v>417</v>
      </c>
      <c r="D69" s="3" t="s">
        <v>418</v>
      </c>
      <c r="E69" s="3" t="s">
        <v>419</v>
      </c>
      <c r="F69" s="4" t="s">
        <v>11</v>
      </c>
      <c r="G69" s="4" t="s">
        <v>88</v>
      </c>
      <c r="H69" s="5" t="s">
        <v>89</v>
      </c>
      <c r="I69" s="4" t="s">
        <v>420</v>
      </c>
    </row>
    <row r="70" spans="1:9">
      <c r="A70" s="2" t="s">
        <v>421</v>
      </c>
      <c r="B70" s="3" t="s">
        <v>401</v>
      </c>
      <c r="C70" s="3" t="s">
        <v>422</v>
      </c>
      <c r="D70" s="3" t="s">
        <v>423</v>
      </c>
      <c r="E70" s="3" t="s">
        <v>424</v>
      </c>
      <c r="F70" s="4" t="s">
        <v>11</v>
      </c>
      <c r="G70" s="4" t="s">
        <v>88</v>
      </c>
      <c r="H70" s="5" t="s">
        <v>89</v>
      </c>
      <c r="I70" s="4" t="s">
        <v>425</v>
      </c>
    </row>
    <row r="71" spans="1:9">
      <c r="A71" s="2" t="s">
        <v>426</v>
      </c>
      <c r="B71" s="3" t="s">
        <v>401</v>
      </c>
      <c r="C71" s="3" t="s">
        <v>427</v>
      </c>
      <c r="D71" s="3" t="s">
        <v>428</v>
      </c>
      <c r="E71" s="3" t="s">
        <v>429</v>
      </c>
      <c r="F71" s="4" t="s">
        <v>11</v>
      </c>
      <c r="G71" s="4" t="s">
        <v>88</v>
      </c>
      <c r="H71" s="5" t="s">
        <v>89</v>
      </c>
      <c r="I71" s="4" t="s">
        <v>430</v>
      </c>
    </row>
    <row r="72" spans="1:9">
      <c r="A72" s="2" t="s">
        <v>431</v>
      </c>
      <c r="B72" s="3" t="s">
        <v>401</v>
      </c>
      <c r="C72" s="3" t="s">
        <v>432</v>
      </c>
      <c r="D72" s="3" t="s">
        <v>433</v>
      </c>
      <c r="E72" s="3" t="s">
        <v>434</v>
      </c>
      <c r="F72" s="4" t="s">
        <v>11</v>
      </c>
      <c r="G72" s="4" t="s">
        <v>88</v>
      </c>
      <c r="H72" s="5" t="s">
        <v>89</v>
      </c>
      <c r="I72" s="4" t="s">
        <v>435</v>
      </c>
    </row>
  </sheetData>
  <autoFilter ref="A1:I72"/>
  <conditionalFormatting sqref="F2:F72">
    <cfRule type="cellIs" dxfId="0" priority="1" operator="equal">
      <formula>"Pass"</formula>
    </cfRule>
    <cfRule type="cellIs" dxfId="1" priority="2" operator="equal">
      <formula>"Fail"</formula>
    </cfRule>
    <cfRule type="cellIs" dxfId="2" priority="3" operator="equal">
      <formula>"Blocked"</formula>
    </cfRule>
  </conditionalFormatting>
  <dataValidations count="1">
    <dataValidation type="list" errorStyle="stop" operator="between" allowBlank="0" showDropDown="0" showInputMessage="0" showErrorMessage="1" errorTitle="Result" error="Pick Not run, Pass, Fail or Blocked." sqref="F2:F72">
      <formula1>"Not run,Pass,Fail,Blocked"</formula1>
    </dataValidation>
  </dataValidation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3"/>
  <sheetViews>
    <sheetView tabSelected="0" workbookViewId="0" showGridLines="true" showRowColHeaders="1">
      <selection activeCell="H11" sqref="H11"/>
    </sheetView>
  </sheetViews>
  <sheetFormatPr defaultRowHeight="14.4" outlineLevelRow="0" outlineLevelCol="0"/>
  <cols>
    <col min="1" max="1" width="28" customWidth="true" style="0"/>
    <col min="2" max="2" width="11" customWidth="true" style="0"/>
    <col min="3" max="3" width="11" customWidth="true" style="0"/>
    <col min="4" max="4" width="11" customWidth="true" style="0"/>
    <col min="5" max="5" width="11" customWidth="true" style="0"/>
    <col min="6" max="6" width="11" customWidth="true" style="0"/>
    <col min="7" max="7" width="11" customWidth="true" style="0"/>
    <col min="8" max="8" width="11" customWidth="true" style="0"/>
  </cols>
  <sheetData>
    <row r="1" spans="1:8">
      <c r="A1" s="6" t="s">
        <v>436</v>
      </c>
    </row>
    <row r="2" spans="1:8">
      <c r="A2" s="7" t="s">
        <v>437</v>
      </c>
    </row>
    <row r="4" spans="1:8">
      <c r="A4" s="1" t="s">
        <v>79</v>
      </c>
      <c r="B4" s="1" t="s">
        <v>438</v>
      </c>
      <c r="C4" s="1" t="s">
        <v>11</v>
      </c>
      <c r="D4" s="1" t="s">
        <v>13</v>
      </c>
      <c r="E4" s="1" t="s">
        <v>15</v>
      </c>
      <c r="F4" s="1" t="s">
        <v>9</v>
      </c>
      <c r="G4" s="1" t="s">
        <v>439</v>
      </c>
      <c r="H4" s="1" t="s">
        <v>440</v>
      </c>
    </row>
    <row r="5" spans="1:8">
      <c r="A5" s="8" t="s">
        <v>84</v>
      </c>
      <c r="B5" s="10">
        <f>COUNTIF('Test cases'!$B$2:$B$72,A5)</f>
        <v>11</v>
      </c>
      <c r="C5" s="10">
        <f>_xlfn.COUNTIFS('Test cases'!$B$2:$B$72,A5,'Test cases'!$F$2:$F$72,"Pass")</f>
        <v>10</v>
      </c>
      <c r="D5" s="10">
        <f>_xlfn.COUNTIFS('Test cases'!$B$2:$B$72,A5,'Test cases'!$F$2:$F$72,"Fail")</f>
        <v>0</v>
      </c>
      <c r="E5" s="10">
        <f>_xlfn.COUNTIFS('Test cases'!$B$2:$B$72,A5,'Test cases'!$F$2:$F$72,"Blocked")</f>
        <v>0</v>
      </c>
      <c r="F5" s="10">
        <f>B5-C5-D5-E5</f>
        <v>1</v>
      </c>
      <c r="G5" s="11">
        <f>IF(B5=0,0,(C5+D5+E5)/B5)</f>
        <v>0.90909090909091</v>
      </c>
      <c r="H5" s="11">
        <f>IF(C5+D5=0,0,C5/(C5+D5))</f>
        <v>1</v>
      </c>
    </row>
    <row r="6" spans="1:8">
      <c r="A6" s="8" t="s">
        <v>138</v>
      </c>
      <c r="B6" s="10">
        <f>COUNTIF('Test cases'!$B$2:$B$72,A6)</f>
        <v>19</v>
      </c>
      <c r="C6" s="10">
        <f>_xlfn.COUNTIFS('Test cases'!$B$2:$B$72,A6,'Test cases'!$F$2:$F$72,"Pass")</f>
        <v>19</v>
      </c>
      <c r="D6" s="10">
        <f>_xlfn.COUNTIFS('Test cases'!$B$2:$B$72,A6,'Test cases'!$F$2:$F$72,"Fail")</f>
        <v>0</v>
      </c>
      <c r="E6" s="10">
        <f>_xlfn.COUNTIFS('Test cases'!$B$2:$B$72,A6,'Test cases'!$F$2:$F$72,"Blocked")</f>
        <v>0</v>
      </c>
      <c r="F6" s="10">
        <f>B6-C6-D6-E6</f>
        <v>0</v>
      </c>
      <c r="G6" s="11">
        <f>IF(B6=0,0,(C6+D6+E6)/B6)</f>
        <v>1</v>
      </c>
      <c r="H6" s="11">
        <f>IF(C6+D6=0,0,C6/(C6+D6))</f>
        <v>1</v>
      </c>
    </row>
    <row r="7" spans="1:8">
      <c r="A7" s="8" t="s">
        <v>228</v>
      </c>
      <c r="B7" s="10">
        <f>COUNTIF('Test cases'!$B$2:$B$72,A7)</f>
        <v>14</v>
      </c>
      <c r="C7" s="10">
        <f>_xlfn.COUNTIFS('Test cases'!$B$2:$B$72,A7,'Test cases'!$F$2:$F$72,"Pass")</f>
        <v>14</v>
      </c>
      <c r="D7" s="10">
        <f>_xlfn.COUNTIFS('Test cases'!$B$2:$B$72,A7,'Test cases'!$F$2:$F$72,"Fail")</f>
        <v>0</v>
      </c>
      <c r="E7" s="10">
        <f>_xlfn.COUNTIFS('Test cases'!$B$2:$B$72,A7,'Test cases'!$F$2:$F$72,"Blocked")</f>
        <v>0</v>
      </c>
      <c r="F7" s="10">
        <f>B7-C7-D7-E7</f>
        <v>0</v>
      </c>
      <c r="G7" s="11">
        <f>IF(B7=0,0,(C7+D7+E7)/B7)</f>
        <v>1</v>
      </c>
      <c r="H7" s="11">
        <f>IF(C7+D7=0,0,C7/(C7+D7))</f>
        <v>1</v>
      </c>
    </row>
    <row r="8" spans="1:8">
      <c r="A8" s="8" t="s">
        <v>299</v>
      </c>
      <c r="B8" s="10">
        <f>COUNTIF('Test cases'!$B$2:$B$72,A8)</f>
        <v>14</v>
      </c>
      <c r="C8" s="10">
        <f>_xlfn.COUNTIFS('Test cases'!$B$2:$B$72,A8,'Test cases'!$F$2:$F$72,"Pass")</f>
        <v>13</v>
      </c>
      <c r="D8" s="10">
        <f>_xlfn.COUNTIFS('Test cases'!$B$2:$B$72,A8,'Test cases'!$F$2:$F$72,"Fail")</f>
        <v>0</v>
      </c>
      <c r="E8" s="10">
        <f>_xlfn.COUNTIFS('Test cases'!$B$2:$B$72,A8,'Test cases'!$F$2:$F$72,"Blocked")</f>
        <v>0</v>
      </c>
      <c r="F8" s="10">
        <f>B8-C8-D8-E8</f>
        <v>1</v>
      </c>
      <c r="G8" s="11">
        <f>IF(B8=0,0,(C8+D8+E8)/B8)</f>
        <v>0.92857142857143</v>
      </c>
      <c r="H8" s="11">
        <f>IF(C8+D8=0,0,C8/(C8+D8))</f>
        <v>1</v>
      </c>
    </row>
    <row r="9" spans="1:8">
      <c r="A9" s="8" t="s">
        <v>370</v>
      </c>
      <c r="B9" s="10">
        <f>COUNTIF('Test cases'!$B$2:$B$72,A9)</f>
        <v>6</v>
      </c>
      <c r="C9" s="10">
        <f>_xlfn.COUNTIFS('Test cases'!$B$2:$B$72,A9,'Test cases'!$F$2:$F$72,"Pass")</f>
        <v>5</v>
      </c>
      <c r="D9" s="10">
        <f>_xlfn.COUNTIFS('Test cases'!$B$2:$B$72,A9,'Test cases'!$F$2:$F$72,"Fail")</f>
        <v>0</v>
      </c>
      <c r="E9" s="10">
        <f>_xlfn.COUNTIFS('Test cases'!$B$2:$B$72,A9,'Test cases'!$F$2:$F$72,"Blocked")</f>
        <v>0</v>
      </c>
      <c r="F9" s="10">
        <f>B9-C9-D9-E9</f>
        <v>1</v>
      </c>
      <c r="G9" s="11">
        <f>IF(B9=0,0,(C9+D9+E9)/B9)</f>
        <v>0.83333333333333</v>
      </c>
      <c r="H9" s="11">
        <f>IF(C9+D9=0,0,C9/(C9+D9))</f>
        <v>1</v>
      </c>
    </row>
    <row r="10" spans="1:8">
      <c r="A10" s="8" t="s">
        <v>401</v>
      </c>
      <c r="B10" s="10">
        <f>COUNTIF('Test cases'!$B$2:$B$72,A10)</f>
        <v>7</v>
      </c>
      <c r="C10" s="10">
        <f>_xlfn.COUNTIFS('Test cases'!$B$2:$B$72,A10,'Test cases'!$F$2:$F$72,"Pass")</f>
        <v>7</v>
      </c>
      <c r="D10" s="10">
        <f>_xlfn.COUNTIFS('Test cases'!$B$2:$B$72,A10,'Test cases'!$F$2:$F$72,"Fail")</f>
        <v>0</v>
      </c>
      <c r="E10" s="10">
        <f>_xlfn.COUNTIFS('Test cases'!$B$2:$B$72,A10,'Test cases'!$F$2:$F$72,"Blocked")</f>
        <v>0</v>
      </c>
      <c r="F10" s="10">
        <f>B10-C10-D10-E10</f>
        <v>0</v>
      </c>
      <c r="G10" s="11">
        <f>IF(B10=0,0,(C10+D10+E10)/B10)</f>
        <v>1</v>
      </c>
      <c r="H10" s="11">
        <f>IF(C10+D10=0,0,C10/(C10+D10))</f>
        <v>1</v>
      </c>
    </row>
    <row r="11" spans="1:8">
      <c r="A11" s="9" t="s">
        <v>441</v>
      </c>
      <c r="B11" s="12">
        <f>SUM(B5:B10)</f>
        <v>71</v>
      </c>
      <c r="C11" s="12">
        <f>SUM(C5:C10)</f>
        <v>68</v>
      </c>
      <c r="D11" s="12">
        <f>SUM(D5:D10)</f>
        <v>0</v>
      </c>
      <c r="E11" s="12">
        <f>SUM(E5:E10)</f>
        <v>0</v>
      </c>
      <c r="F11" s="12">
        <f>SUM(F5:F10)</f>
        <v>3</v>
      </c>
      <c r="G11" s="13">
        <f>IF(B11=0,0,(C11+D11+E11)/B11)</f>
        <v>0.95774647887324</v>
      </c>
      <c r="H11" s="13">
        <f>IF(C11+D11=0,0,C11/(C11+D11))</f>
        <v>1</v>
      </c>
    </row>
    <row r="13" spans="1:8">
      <c r="A13" s="7" t="s">
        <v>442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Test cases</vt:lpstr>
      <vt:lpstr>Summary</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FixMyPC QA</dc:creator>
  <cp:lastModifiedBy>Unknown Creator</cp:lastModifiedBy>
  <dcterms:created xsi:type="dcterms:W3CDTF">2026-10-21T08:21:45+02:00</dcterms:created>
  <dcterms:modified xsi:type="dcterms:W3CDTF">2026-10-21T08:21:45+02:00</dcterms:modified>
  <dc:title>Returns &amp; Exchanges - QA Test Cases</dc:title>
  <dc:description/>
  <dc:subject/>
  <cp:keywords/>
  <cp:category/>
</cp:coreProperties>
</file>