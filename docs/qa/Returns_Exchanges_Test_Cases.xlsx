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ad me" sheetId="1" r:id="rId4"/>
    <sheet name="Test cases" sheetId="2" r:id="rId5"/>
    <sheet name="Summary" sheetId="3" r:id="rId6"/>
  </sheets>
  <definedNames>
    <definedName name="_xlnm._FilterDatabase" localSheetId="1" hidden="1">'Test cases'!$A$1:$I$72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<sst xmlns="http://schemas.openxmlformats.org/spreadsheetml/2006/main" uniqueCount="370">
  <si>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Returns &amp; Exchanges - QA Test Cases</t>
  </si>
  <si>
    <t>For the live site after the deploy (git commit dc2ab10). Prepared 21 Oct 2026.</t>
  </si>
  <si>
    <t>How to use this workbook</t>
  </si>
  <si>
    <t>1. Prepare the data in "Before you start" below.</t>
  </si>
  <si>
    <t>2. Work through the Test cases sheet. Fill in only the pale yellow columns: Result (dropdown), Tester, Date tested, Notes / defect link.</t>
  </si>
  <si>
    <t>3. For a Fail or Blocked case, write what you saw in Notes, with a screenshot or ticket link.</t>
  </si>
  <si>
    <t>4. The Summary sheet counts the results by area as you go.</t>
  </si>
  <si>
    <t>Card refunds and payment links move real money on the live site: use small amounts (EUR 1-5) and refund them afterwards.</t>
  </si>
  <si>
    <t>Result values</t>
  </si>
  <si>
    <t>Not run</t>
  </si>
  <si>
    <t>Not tested yet (the starting value)</t>
  </si>
  <si>
    <t>Pass</t>
  </si>
  <si>
    <t>Everything in Expected result happened</t>
  </si>
  <si>
    <t>Fail</t>
  </si>
  <si>
    <t>Something differed: describe it in Notes</t>
  </si>
  <si>
    <t>Blocked</t>
  </si>
  <si>
    <t>Could not be tested (missing data, another bug): say why in Notes</t>
  </si>
  <si>
    <t>Example of a filled-in row</t>
  </si>
  <si>
    <t>ID</t>
  </si>
  <si>
    <t>Result</t>
  </si>
  <si>
    <t>Tester</t>
  </si>
  <si>
    <t>Date tested</t>
  </si>
  <si>
    <t>Notes / defect link</t>
  </si>
  <si>
    <t>A-07</t>
  </si>
  <si>
    <t>Priya</t>
  </si>
  <si>
    <t>22 Oct 2026</t>
  </si>
  <si>
    <t>EUR 470 was accepted on a EUR 461.54 quote; screenshot in ticket QA-112</t>
  </si>
  <si>
    <t>Example only: the real cases are on the Test cases sheet.</t>
  </si>
  <si>
    <t>Before you start</t>
  </si>
  <si>
    <t>What</t>
  </si>
  <si>
    <t>How to set it up</t>
  </si>
  <si>
    <t>Used by</t>
  </si>
  <si>
    <t>Deploy done</t>
  </si>
  <si>
    <t>Migrations 2026_10_19_000200 to 000500 run with --path; admin panel and storefront rebuilt with API_BASE empty</t>
  </si>
  <si>
    <t>All</t>
  </si>
  <si>
    <t>Test customer</t>
  </si>
  <si>
    <t>A signed-in customer account whose email you can read</t>
  </si>
  <si>
    <t>C, E, M, L</t>
  </si>
  <si>
    <t>Guest order</t>
  </si>
  <si>
    <t>One order placed at guest checkout in a separate browser</t>
  </si>
  <si>
    <t>C-11, S-02</t>
  </si>
  <si>
    <t>Delivered card order</t>
  </si>
  <si>
    <t>Small card order (1 item); admin moves it to Delivered</t>
  </si>
  <si>
    <t>C-01 to C-03, A-06</t>
  </si>
  <si>
    <t>Two-unit order</t>
  </si>
  <si>
    <t>One product, quantity 2, delivered</t>
  </si>
  <si>
    <t>A-12</t>
  </si>
  <si>
    <t>Order with a voucher</t>
  </si>
  <si>
    <t>A voucher applied at checkout, delivered</t>
  </si>
  <si>
    <t>A-13</t>
  </si>
  <si>
    <t>Gift card order</t>
  </si>
  <si>
    <t>Part paid with a gift card, delivered</t>
  </si>
  <si>
    <t>A-14</t>
  </si>
  <si>
    <t>Points order</t>
  </si>
  <si>
    <t>Points spent at checkout, delivered (points earned on delivery)</t>
  </si>
  <si>
    <t>A-15</t>
  </si>
  <si>
    <t>Variant product</t>
  </si>
  <si>
    <t>A product with 3 in-stock variants: one dearer, one same price, one cheaper than the one ordered</t>
  </si>
  <si>
    <t>E-01 to E-14</t>
  </si>
  <si>
    <t>Cash on delivery order</t>
  </si>
  <si>
    <t>COD order, delivered</t>
  </si>
  <si>
    <t>A-11</t>
  </si>
  <si>
    <t>Old order</t>
  </si>
  <si>
    <t>Delivered more than 30 days ago</t>
  </si>
  <si>
    <t>C-05, A-04</t>
  </si>
  <si>
    <t>Non-refundable product</t>
  </si>
  <si>
    <t>Product with Refundable = No, ordered and delivered</t>
  </si>
  <si>
    <t>C-06</t>
  </si>
  <si>
    <t>Orders in other states</t>
  </si>
  <si>
    <t>One Pending, one On the way, one Cancelled</t>
  </si>
  <si>
    <t>C-01, M-01 to M-08</t>
  </si>
  <si>
    <t>Staff email</t>
  </si>
  <si>
    <t>Settings &gt; store email is an inbox you can read</t>
  </si>
  <si>
    <t>C-03</t>
  </si>
  <si>
    <t>Card gateway</t>
  </si>
  <si>
    <t>Payment Setting: SumUp or Stripe switched on as the card gateway</t>
  </si>
  <si>
    <t>A-06, E-06 to E-09</t>
  </si>
  <si>
    <t>To make an order Delivered, use the status dropdown on the admin order page: the 30-day return window counts from that change.</t>
  </si>
  <si>
    <t>Automated tests behind these cases: tests/Isolated/OrderReturnTest, OrderExchangeTest, ReturnRequestAndPayLinkTest, MyOrdersTabsTest (77 tests).</t>
  </si>
  <si>
    <t>Area</t>
  </si>
  <si>
    <t>Test case</t>
  </si>
  <si>
    <t>Steps</t>
  </si>
  <si>
    <t>Expected result</t>
  </si>
  <si>
    <t>C-01</t>
  </si>
  <si>
    <t>Customer request</t>
  </si>
  <si>
    <t>Button only where allowed</t>
  </si>
  <si>
    <t>Open a Delivered paid order, then a Pending, an On the way and a Cancelled one</t>
  </si>
  <si>
    <t>The "Return or exchange" box appears only on the Delivered paid order</t>
  </si>
  <si>
    <t>C-02</t>
  </si>
  <si>
    <t>Form contents</t>
  </si>
  <si>
    <t>Delivered order &gt; Return or exchange</t>
  </si>
  <si>
    <t>Days left in the 30-day window, each item with a quantity stepper, reason list, optional note</t>
  </si>
  <si>
    <t>Send a return request</t>
  </si>
  <si>
    <t>Return for a refund, 1 unit, reason Faulty, a note, Send</t>
  </si>
  <si>
    <t>Toast "Thanks - we have your request"; Returns box shows RMA number, Return badge, "Request received", Cancel request; customer email "Return request received"; staff email "Return request RMA..."</t>
  </si>
  <si>
    <t>C-04</t>
  </si>
  <si>
    <t>Units cannot be asked twice</t>
  </si>
  <si>
    <t>After C-03, open the form again on the same order</t>
  </si>
  <si>
    <t>That unit shows "Already being returned"; no stepper for it</t>
  </si>
  <si>
    <t>C-05</t>
  </si>
  <si>
    <t>Return window</t>
  </si>
  <si>
    <t>Old order (delivered 31+ days ago) &gt; Return or exchange</t>
  </si>
  <si>
    <t>Message "Returns can be requested within 30 days of delivery..."; no form</t>
  </si>
  <si>
    <t>Non-refundable item: Return for a refund + Changed my mind; then Faulty; then Exchange</t>
  </si>
  <si>
    <t>Changed my mind refused with a message; Faulty accepted; Exchange accepted</t>
  </si>
  <si>
    <t>C-07</t>
  </si>
  <si>
    <t>Exchange choices</t>
  </si>
  <si>
    <t>Variant product &gt; Exchange, 1 unit, open Swap for</t>
  </si>
  <si>
    <t>Only in-stock (or backorder) variants; each shows "EUR X more", "EUR X less" or "same price"; the dearer one shows the payment-link note</t>
  </si>
  <si>
    <t>C-08</t>
  </si>
  <si>
    <t>Exchange needs a variant</t>
  </si>
  <si>
    <t>Exchange, unit chosen, no variant picked</t>
  </si>
  <si>
    <t>Send button stays disabled</t>
  </si>
  <si>
    <t>C-09</t>
  </si>
  <si>
    <t>Withdraw a request</t>
  </si>
  <si>
    <t>After C-03, Cancel request &gt; confirm</t>
  </si>
  <si>
    <t>Status "Cancelled"; the unit can be requested again</t>
  </si>
  <si>
    <t>C-10</t>
  </si>
  <si>
    <t>No withdraw after receipt</t>
  </si>
  <si>
    <t>Staff mark a request received (A-05), customer reloads</t>
  </si>
  <si>
    <t>Cancel request button is gone</t>
  </si>
  <si>
    <t>C-11</t>
  </si>
  <si>
    <t>In the guest browser, open the guest order and send a request</t>
  </si>
  <si>
    <t>Request accepted exactly as for an account</t>
  </si>
  <si>
    <t>A-01</t>
  </si>
  <si>
    <t>Admin review &amp; refund</t>
  </si>
  <si>
    <t>Returns list</t>
  </si>
  <si>
    <t>Open Orders &gt; Returns after C-03</t>
  </si>
  <si>
    <t>"To review" tile counts the request; list shows RMA, Type, order, customer, status; status filter and search by RMA, order number or email work</t>
  </si>
  <si>
    <t>A-02</t>
  </si>
  <si>
    <t>Approve a request</t>
  </si>
  <si>
    <t>Open the request &gt; Approve with "Email the customer" ticked</t>
  </si>
  <si>
    <t>Status "Awaiting return"; customer email has the RMA number and the store address</t>
  </si>
  <si>
    <t>A-03</t>
  </si>
  <si>
    <t>Reject a request</t>
  </si>
  <si>
    <t>New request &gt; Reject with a reason</t>
  </si>
  <si>
    <t>Status "Rejected"; customer email "Return not accepted"; units can be requested again</t>
  </si>
  <si>
    <t>A-04</t>
  </si>
  <si>
    <t>Staff start a return</t>
  </si>
  <si>
    <t>Old order page &gt; Start a return</t>
  </si>
  <si>
    <t>Warning that it is past the 30-day window, but the return can still be opened; Email language picker offers the 5 languages</t>
  </si>
  <si>
    <t>A-05</t>
  </si>
  <si>
    <t>Receive and restock</t>
  </si>
  <si>
    <t>Awaiting return case &gt; tick Put back in stock on one item, untick another &gt; Mark as received</t>
  </si>
  <si>
    <t>Status "Received"; ticked units back in the product's stock, unticked ones not; history says how many</t>
  </si>
  <si>
    <t>A-06</t>
  </si>
  <si>
    <t>Refund to the card</t>
  </si>
  <si>
    <t>Received case &gt; To the original payment &gt; Refund &gt; confirm</t>
  </si>
  <si>
    <t>Status "Refunded"; amount equals the quote; refund visible in the SumUp or Stripe dashboard; customer email with amount and reference</t>
  </si>
  <si>
    <t>Lower or higher amount</t>
  </si>
  <si>
    <t>Enter less than the quote; then try more than the quote</t>
  </si>
  <si>
    <t>Lower amount accepted; more is refused "can be at most EUR X"</t>
  </si>
  <si>
    <t>A-08</t>
  </si>
  <si>
    <t>Delivery refunded once</t>
  </si>
  <si>
    <t>Tick Refund delivery too on one case; open a second case on the same order</t>
  </si>
  <si>
    <t>Delivery added on the first; the second case offers no delivery</t>
  </si>
  <si>
    <t>A-09</t>
  </si>
  <si>
    <t>Manual refund</t>
  </si>
  <si>
    <t>Already refunded another way, no reference; then with a reference</t>
  </si>
  <si>
    <t>Refused without a reference; with it, Refunded and no gateway call</t>
  </si>
  <si>
    <t>A-10</t>
  </si>
  <si>
    <t>Close without refund</t>
  </si>
  <si>
    <t>No refund (close the return) &gt; confirm</t>
  </si>
  <si>
    <t>Status "Closed", nothing paid</t>
  </si>
  <si>
    <t>Cash on delivery</t>
  </si>
  <si>
    <t>COD order case &gt; Refund</t>
  </si>
  <si>
    <t>"To the original payment" is disabled; manual refund only</t>
  </si>
  <si>
    <t>Partial return</t>
  </si>
  <si>
    <t>Two-unit order: return 1 unit and refund; then the second</t>
  </si>
  <si>
    <t>Order stays Delivered after the first; Returned after the second; the two refunds add up to the order total</t>
  </si>
  <si>
    <t>Voucher share</t>
  </si>
  <si>
    <t>Voucher order: return one item</t>
  </si>
  <si>
    <t>Refund = item price minus its share of the voucher (e.g. EUR 1,300 order with EUR 100 off: one EUR 500 item refunds EUR 461.54)</t>
  </si>
  <si>
    <t>Gift card share</t>
  </si>
  <si>
    <t>Gift card order: return an item</t>
  </si>
  <si>
    <t>Gift card share goes back on the card (its balance rises); the money refund excludes it</t>
  </si>
  <si>
    <t>Points</t>
  </si>
  <si>
    <t>Points order: return an item</t>
  </si>
  <si>
    <t>Spent points come back; points earned on the order are taken back in proportion</t>
  </si>
  <si>
    <t>A-16</t>
  </si>
  <si>
    <t>Failed card refund</t>
  </si>
  <si>
    <t>Refund an order whose gateway refuses (e.g. already fully refunded in the gateway)</t>
  </si>
  <si>
    <t>Error shown; case stays Received with the error; can retry or record a manual refund</t>
  </si>
  <si>
    <t>A-17</t>
  </si>
  <si>
    <t>Double click</t>
  </si>
  <si>
    <t>Click Refund twice quickly</t>
  </si>
  <si>
    <t>Only one refund at the gateway and one history entry</t>
  </si>
  <si>
    <t>A-18</t>
  </si>
  <si>
    <t>Order page</t>
  </si>
  <si>
    <t>Open the order behind a case</t>
  </si>
  <si>
    <t>Returns card lists each case with type, status and refund; overview shows a Refund line</t>
  </si>
  <si>
    <t>A-19</t>
  </si>
  <si>
    <t>Dashboard</t>
  </si>
  <si>
    <t>Dashboard &gt; sales for the period of a refunded order</t>
  </si>
  <si>
    <t>Total and received drop by the refund; note "EUR X refunded on returns is taken off"</t>
  </si>
  <si>
    <t>E-01</t>
  </si>
  <si>
    <t>Exchanges &amp; payment links</t>
  </si>
  <si>
    <t>Same-price exchange</t>
  </si>
  <si>
    <t>Exchange to the same-price variant &gt; receive &gt; Complete exchange</t>
  </si>
  <si>
    <t>New replacement order, Confirmed and Paid, total EUR 0; new variant stock -1, old variant +1 if restocked; case "Exchanged" with a link to the new order; customer email "Replacement on its way" with the new order number</t>
  </si>
  <si>
    <t>E-02</t>
  </si>
  <si>
    <t>Dearer, staff take payment</t>
  </si>
  <si>
    <t>Dearer variant &gt; receive &gt; Complete with the reference empty, then with a reference</t>
  </si>
  <si>
    <t>Refused without "where the payment was taken"; with it, replacement order total = the difference; 0 waives it</t>
  </si>
  <si>
    <t>E-03</t>
  </si>
  <si>
    <t>Cheaper exchange</t>
  </si>
  <si>
    <t>Cheaper variant &gt; receive &gt; To the original payment &gt; Complete</t>
  </si>
  <si>
    <t>Difference refunded to the card; case shows the refund; replacement order total EUR 0</t>
  </si>
  <si>
    <t>E-04</t>
  </si>
  <si>
    <t>Variant sold out</t>
  </si>
  <si>
    <t>Set the chosen variant's stock to 0 (not backorder) before completing</t>
  </si>
  <si>
    <t>Complete exchange refused "out of stock"; nothing created</t>
  </si>
  <si>
    <t>E-05</t>
  </si>
  <si>
    <t>Refund instead</t>
  </si>
  <si>
    <t>On a received exchange &gt; Refund instead &gt; refund</t>
  </si>
  <si>
    <t>Case becomes a normal refund; no replacement order</t>
  </si>
  <si>
    <t>E-06</t>
  </si>
  <si>
    <t>Send a payment link</t>
  </si>
  <si>
    <t>Dearer exchange, received &gt; Send payment link &gt; confirm</t>
  </si>
  <si>
    <t>Status "Awaiting payment"; admin shows the link with Copy, amount, gateway and valid-until (7 days); new unit held (stock -1); customer email "Payment needed for your exchange" with a Pay now button</t>
  </si>
  <si>
    <t>E-07</t>
  </si>
  <si>
    <t>Customer pays the link</t>
  </si>
  <si>
    <t>Open the emailed link in a signed-out browser &gt; Pay &gt; card details &gt; pay</t>
  </si>
  <si>
    <t>Page shows RMA, order, the swap and amount; after paying "Payment received" and the new order number; admin case turns "Exchanged" by itself; replacement order paid by card with the gateway reference</t>
  </si>
  <si>
    <t>E-08</t>
  </si>
  <si>
    <t>Paid link reopened</t>
  </si>
  <si>
    <t>Open the same link again; refresh the page</t>
  </si>
  <si>
    <t>Shows "Payment received"; no new charge, no second replacement order</t>
  </si>
  <si>
    <t>E-09</t>
  </si>
  <si>
    <t>Declined card</t>
  </si>
  <si>
    <t>Pay the link with a card that is declined</t>
  </si>
  <si>
    <t>Error on the page; case still Awaiting payment; retrying with a good card works</t>
  </si>
  <si>
    <t>E-10</t>
  </si>
  <si>
    <t>Cancel a link</t>
  </si>
  <si>
    <t>Admin &gt; Cancel link on an unpaid link; then open the link</t>
  </si>
  <si>
    <t>Case back to Received; held unit back in stock; link page says it was withdrawn</t>
  </si>
  <si>
    <t>E-11</t>
  </si>
  <si>
    <t>Expired link</t>
  </si>
  <si>
    <t>A link older than 7 days</t>
  </si>
  <si>
    <t>Link page says it has expired; Pay is not offered</t>
  </si>
  <si>
    <t>E-12</t>
  </si>
  <si>
    <t>Wrong link</t>
  </si>
  <si>
    <t>Change one character of the link</t>
  </si>
  <si>
    <t>"This payment link is not valid"</t>
  </si>
  <si>
    <t>E-13</t>
  </si>
  <si>
    <t>No double settlement</t>
  </si>
  <si>
    <t>While a link is open, try Complete exchange with a manual reference</t>
  </si>
  <si>
    <t>Refused "A pay link is open on this exchange"</t>
  </si>
  <si>
    <t>E-14</t>
  </si>
  <si>
    <t>Customer sees the link</t>
  </si>
  <si>
    <t>Customer order page while Awaiting payment</t>
  </si>
  <si>
    <t>Returns box shows "Waiting for your payment" and a Pay the difference button</t>
  </si>
  <si>
    <t>M-01</t>
  </si>
  <si>
    <t>My Orders tabs</t>
  </si>
  <si>
    <t>A: cancelled, nothing to refund</t>
  </si>
  <si>
    <t>Cancel a Pending unpaid order</t>
  </si>
  <si>
    <t>Only in All and Cancelled; badge Cancelled; "This order was cancelled."</t>
  </si>
  <si>
    <t>M-02</t>
  </si>
  <si>
    <t>A: cancelled, paid</t>
  </si>
  <si>
    <t>Cancel a paid order before it is refunded</t>
  </si>
  <si>
    <t>Cancelled + "Refund pending"; also listed under Returns &amp; Refunds</t>
  </si>
  <si>
    <t>M-03</t>
  </si>
  <si>
    <t>B: cancelled and refunded</t>
  </si>
  <si>
    <t>Admin refunds the M-02 order from its cancellation</t>
  </si>
  <si>
    <t>Still Cancelled (not moved to Refunded); badges Cancelled + Refunded; message names the amount</t>
  </si>
  <si>
    <t>M-04</t>
  </si>
  <si>
    <t>C: return requested</t>
  </si>
  <si>
    <t>Delivered order with a request (C-03)</t>
  </si>
  <si>
    <t>Delivered + "Return: Requested"; no refund badge; in Delivered and Returns &amp; Refunds, not Cancelled</t>
  </si>
  <si>
    <t>M-05</t>
  </si>
  <si>
    <t>D: return approved</t>
  </si>
  <si>
    <t>After A-02</t>
  </si>
  <si>
    <t>Delivered + "Return: Approved" + "Refund pending"; never "Refunded"</t>
  </si>
  <si>
    <t>M-06</t>
  </si>
  <si>
    <t>E: return refunded</t>
  </si>
  <si>
    <t>After the last unit is refunded (A-12)</t>
  </si>
  <si>
    <t>Returned + "Return: Completed" + Refunded; only in All and Returns &amp; Refunds</t>
  </si>
  <si>
    <t>M-07</t>
  </si>
  <si>
    <t>F: refund failed</t>
  </si>
  <si>
    <t>After A-16</t>
  </si>
  <si>
    <t>Delivered + "Return: Item received" + "Refund failed"; message says we will be in touch</t>
  </si>
  <si>
    <t>M-08</t>
  </si>
  <si>
    <t>G and H</t>
  </si>
  <si>
    <t>An On the way order; a Delivered order with no return</t>
  </si>
  <si>
    <t>Shipped tab only (badge = the step, e.g. On the way); Delivered tab only</t>
  </si>
  <si>
    <t>M-09</t>
  </si>
  <si>
    <t>Partly refunded</t>
  </si>
  <si>
    <t>Return 1 of 2 units and refund it</t>
  </si>
  <si>
    <t>Delivered + "Partially refunded"</t>
  </si>
  <si>
    <t>M-10</t>
  </si>
  <si>
    <t>Counts</t>
  </si>
  <si>
    <t>Compare each tab's number with the cards it lists</t>
  </si>
  <si>
    <t>Every count equals its list, across all pages</t>
  </si>
  <si>
    <t>M-11</t>
  </si>
  <si>
    <t>Search</t>
  </si>
  <si>
    <t>Type part of an order number (with or without #)</t>
  </si>
  <si>
    <t>Results and counts narrow to matches; clearing it brings all back; search kept in the URL</t>
  </si>
  <si>
    <t>M-12</t>
  </si>
  <si>
    <t>Pagination</t>
  </si>
  <si>
    <t>Customer with more than 25 orders: page 2 of a tab</t>
  </si>
  <si>
    <t>Next page of the same tab; counts unchanged</t>
  </si>
  <si>
    <t>M-13</t>
  </si>
  <si>
    <t>Fast tab switching</t>
  </si>
  <si>
    <t>Click several tabs quickly</t>
  </si>
  <si>
    <t>Ends on the last tab clicked with its own orders, never another tab's</t>
  </si>
  <si>
    <t>M-14</t>
  </si>
  <si>
    <t>Phone and tablet</t>
  </si>
  <si>
    <t>Repeat M-03 and M-05 at phone and tablet width</t>
  </si>
  <si>
    <t>Badges wrap under the order number; tabs scroll sideways; nothing cut off</t>
  </si>
  <si>
    <t>L-01</t>
  </si>
  <si>
    <t>Emails &amp; languages</t>
  </si>
  <si>
    <t>Every return email arrives</t>
  </si>
  <si>
    <t>Collect the emails from C-03, A-02, A-03, A-06, E-01 and E-06</t>
  </si>
  <si>
    <t>Request received, Return started (with store address), Return not accepted, Return refunded (amount + reference), Replacement on its way (new order number), Payment needed (Pay now button)</t>
  </si>
  <si>
    <t>L-02</t>
  </si>
  <si>
    <t>One email per case</t>
  </si>
  <si>
    <t>Open two returns on the same order</t>
  </si>
  <si>
    <t>Each case sends its own emails; the second is not skipped</t>
  </si>
  <si>
    <t>L-03</t>
  </si>
  <si>
    <t>Email language</t>
  </si>
  <si>
    <t>A-04 with Email language = French</t>
  </si>
  <si>
    <t>Subject and labels in French; product names translated where the product has a French name</t>
  </si>
  <si>
    <t>L-04</t>
  </si>
  <si>
    <t>Storefront in French</t>
  </si>
  <si>
    <t>Switch the site to French; open My Orders, the form, the Returns box and a pay link</t>
  </si>
  <si>
    <t>All tab names, badges, messages and buttons in French</t>
  </si>
  <si>
    <t>L-05</t>
  </si>
  <si>
    <t>Arabic (right to left)</t>
  </si>
  <si>
    <t>Repeat L-04 in Arabic</t>
  </si>
  <si>
    <t>Text in Arabic, layout readable right to left, badges not overlapping</t>
  </si>
  <si>
    <t>L-06</t>
  </si>
  <si>
    <t>Hindi and Turkish</t>
  </si>
  <si>
    <t>Spot-check My Orders and the pay page</t>
  </si>
  <si>
    <t>Translated; no raw keys such as myOrders.tabs.all on screen</t>
  </si>
  <si>
    <t>S-01</t>
  </si>
  <si>
    <t>Security &amp; edge cases</t>
  </si>
  <si>
    <t>Other customers' orders</t>
  </si>
  <si>
    <t>Signed in as customer A, open /user/order/&lt;id of customer B's order&gt;</t>
  </si>
  <si>
    <t>Refused; nothing of B's order, returns or refunds shown</t>
  </si>
  <si>
    <t>S-02</t>
  </si>
  <si>
    <t>Guest without the order</t>
  </si>
  <si>
    <t>In a fresh browser with no guest session, open the guest order's page</t>
  </si>
  <si>
    <t>Refused; no Return or exchange form</t>
  </si>
  <si>
    <t>S-03</t>
  </si>
  <si>
    <t>Vendor admin</t>
  </si>
  <si>
    <t>Sign in as a vendor admin; open Orders &gt; Returns</t>
  </si>
  <si>
    <t>No access to returns; cannot refund</t>
  </si>
  <si>
    <t>S-04</t>
  </si>
  <si>
    <t>Pay link shows nothing private</t>
  </si>
  <si>
    <t>Open a pay link signed out</t>
  </si>
  <si>
    <t>Only RMA, order number, items and amount: no name, email, address or keys</t>
  </si>
  <si>
    <t>S-05</t>
  </si>
  <si>
    <t>Admin status change keeps the return</t>
  </si>
  <si>
    <t>On an order with an open return, change the order status from the dropdown</t>
  </si>
  <si>
    <t>The return case and its refund status are unchanged</t>
  </si>
  <si>
    <t>S-06</t>
  </si>
  <si>
    <t>Stock never doubles</t>
  </si>
  <si>
    <t>Return and restock units, then set the whole order to Returned from the dropdown</t>
  </si>
  <si>
    <t>Each unit is added back to stock once; damaged (unticked) units stay out</t>
  </si>
  <si>
    <t>S-07</t>
  </si>
  <si>
    <t>Total never exceeded</t>
  </si>
  <si>
    <t>Refund every unit of an order across several cases, with delivery</t>
  </si>
  <si>
    <t>Refunds add up to the order total and stop there; no refund beyond it is offered</t>
  </si>
  <si>
    <t>Results by area</t>
  </si>
  <si>
    <t>Counts update from the Result column on the Test cases sheet.</t>
  </si>
  <si>
    <t>Cases</t>
  </si>
  <si>
    <t>% done</t>
  </si>
  <si>
    <t>% passed</t>
  </si>
  <si>
    <t>Total</t>
  </si>
  <si>
    <t>% done = cases with any result other than Not run. % passed = Pass / (Pass + Fail); Blocked cases are left out of it.</t>
  </si>
</sst>
</file>

<file path=xl/styles.xml><?xml version="1.0" encoding="utf-8"?>
<styleSheet xmlns="http://schemas.openxmlformats.org/spreadsheetml/2006/main" xml:space="preserve">
  <numFmts count="2">
    <numFmt numFmtId="164" formatCode="dd mmm yyyy"/>
    <numFmt numFmtId="165" formatCode="0;-0;-"/>
  </numFmts>
  <fonts count="1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3"/>
      <color rgb="FF000000"/>
      <name val="Arial"/>
    </font>
    <font>
      <b val="0"/>
      <i val="1"/>
      <strike val="0"/>
      <u val="none"/>
      <sz val="10"/>
      <color rgb="FF6B7280"/>
      <name val="Arial"/>
    </font>
    <font>
      <b val="1"/>
      <i val="0"/>
      <strike val="0"/>
      <u val="none"/>
      <sz val="15"/>
      <color rgb="FF33319A"/>
      <name val="Arial"/>
    </font>
    <font>
      <b val="0"/>
      <i val="0"/>
      <strike val="0"/>
      <u val="none"/>
      <sz val="10"/>
      <color rgb="FF6B728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0"/>
      <color rgb="FFB42318"/>
      <name val="Arial"/>
    </font>
    <font>
      <b val="1"/>
      <i val="0"/>
      <strike val="0"/>
      <u val="none"/>
      <sz val="10"/>
      <color rgb="FF1E7E34"/>
      <name val="Arial"/>
    </font>
    <font>
      <b val="1"/>
      <i val="0"/>
      <strike val="0"/>
      <u val="none"/>
      <sz val="10"/>
      <color rgb="FFC82333"/>
      <name val="Arial"/>
    </font>
    <font>
      <b val="1"/>
      <i val="0"/>
      <strike val="0"/>
      <u val="none"/>
      <sz val="10"/>
      <color rgb="FFB45309"/>
      <name val="Arial"/>
    </font>
  </fonts>
  <fills count="7">
    <fill>
      <patternFill patternType="none"/>
    </fill>
    <fill>
      <patternFill patternType="gray125"/>
    </fill>
    <fill>
      <patternFill patternType="solid">
        <fgColor rgb="FF33319A"/>
        <bgColor rgb="FF000000"/>
      </patternFill>
    </fill>
    <fill>
      <patternFill patternType="solid">
        <fgColor rgb="FFFFFBEA"/>
        <bgColor rgb="FF000000"/>
      </patternFill>
    </fill>
    <fill>
      <patternFill patternType="solid">
        <fgColor rgb="FFE6F6EC"/>
        <bgColor rgb="FF000000"/>
      </patternFill>
    </fill>
    <fill>
      <patternFill patternType="solid">
        <fgColor rgb="FFFDECEA"/>
        <bgColor rgb="FF000000"/>
      </patternFill>
    </fill>
    <fill>
      <patternFill patternType="solid">
        <fgColor rgb="FFFFF4DB"/>
        <bgColor rgb="FF000000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vertical="center" textRotation="0" wrapText="true" shrinkToFit="false"/>
    </xf>
    <xf xfId="0" fontId="2" numFmtId="0" fillId="0" borderId="1" applyFont="1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3" borderId="1" applyFont="0" applyNumberFormat="0" applyFill="1" applyBorder="1" applyAlignment="1">
      <alignment vertical="top" textRotation="0" wrapText="true" shrinkToFit="false"/>
    </xf>
    <xf xfId="0" fontId="0" numFmtId="164" fillId="3" borderId="1" applyFont="0" applyNumberFormat="1" applyFill="1" applyBorder="1" applyAlignment="1">
      <alignment vertical="top" textRotation="0" wrapText="tru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0" numFmtId="165" fillId="0" borderId="1" applyFont="0" applyNumberFormat="1" applyFill="0" applyBorder="1" applyAlignment="0"/>
    <xf xfId="0" fontId="0" numFmtId="9" fillId="0" borderId="1" applyFont="0" applyNumberFormat="1" applyFill="0" applyBorder="1" applyAlignment="0"/>
    <xf xfId="0" fontId="2" numFmtId="165" fillId="0" borderId="1" applyFont="1" applyNumberFormat="1" applyFill="0" applyBorder="1" applyAlignment="0"/>
    <xf xfId="0" fontId="2" numFmtId="9" fillId="0" borderId="1" applyFont="1" applyNumberFormat="1" applyFill="0" applyBorder="1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0"/>
    <xf xfId="0" fontId="9" numFmtId="0" fillId="4" borderId="1" applyFont="1" applyNumberFormat="0" applyFill="1" applyBorder="1" applyAlignment="0"/>
    <xf xfId="0" fontId="10" numFmtId="0" fillId="5" borderId="1" applyFont="1" applyNumberFormat="0" applyFill="1" applyBorder="1" applyAlignment="0"/>
    <xf xfId="0" fontId="11" numFmtId="0" fillId="6" borderId="1" applyFont="1" applyNumberFormat="0" applyFill="1" applyBorder="1" applyAlignment="0"/>
    <xf xfId="0" fontId="0" numFmtId="0" fillId="3" borderId="1" applyFont="0" applyNumberFormat="0" applyFill="1" applyBorder="1" applyAlignment="0"/>
    <xf xfId="0" fontId="10" numFmtId="0" fillId="3" borderId="1" applyFont="1" applyNumberFormat="0" applyFill="1" applyBorder="1" applyAlignment="0"/>
    <xf xfId="0" fontId="1" numFmtId="0" fillId="2" borderId="1" applyFont="1" applyNumberFormat="0" applyFill="1" applyBorder="1" applyAlignment="1">
      <alignment vertical="top" textRotation="0" wrapText="true" shrinkToFit="false"/>
    </xf>
  </cellXfs>
  <cellStyles count="1">
    <cellStyle name="Normal" xfId="0" builtinId="0"/>
  </cellStyles>
  <dxfs count="3">
    <dxf>
      <font>
        <b val="1"/>
        <color rgb="FF1E7E34"/>
      </font>
      <fill>
        <patternFill patternType="solid">
          <bgColor rgb="FFE6F6EC"/>
        </patternFill>
      </fill>
      <border/>
    </dxf>
    <dxf>
      <font>
        <b val="1"/>
        <color rgb="FFC82333"/>
      </font>
      <fill>
        <patternFill patternType="solid">
          <bgColor rgb="FFFDECEA"/>
        </patternFill>
      </fill>
      <border/>
    </dxf>
    <dxf>
      <font>
        <b val="1"/>
        <color rgb="FFB45309"/>
      </font>
      <fill>
        <patternFill patternType="solid">
          <bgColor rgb="FFFFF4DB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26" customWidth="true" style="0"/>
    <col min="2" max="2" width="70" customWidth="true" style="0"/>
    <col min="3" max="3" width="22" customWidth="true" style="0"/>
    <col min="4" max="4" width="14" customWidth="true" style="0"/>
    <col min="5" max="5" width="60" customWidth="true" style="0"/>
  </cols>
  <sheetData>
    <row r="1" spans="1:5">
      <c r="A1" s="14" t="s">
        <v>0</v>
      </c>
    </row>
    <row r="2" spans="1:5">
      <c r="A2" s="15" t="s">
        <v>1</v>
      </c>
    </row>
    <row r="4" spans="1:5">
      <c r="A4" s="16" t="s">
        <v>2</v>
      </c>
    </row>
    <row r="5" spans="1:5">
      <c r="A5" t="s">
        <v>3</v>
      </c>
    </row>
    <row r="6" spans="1:5">
      <c r="A6" t="s">
        <v>4</v>
      </c>
    </row>
    <row r="7" spans="1:5">
      <c r="A7" t="s">
        <v>5</v>
      </c>
    </row>
    <row r="8" spans="1:5">
      <c r="A8" t="s">
        <v>6</v>
      </c>
    </row>
    <row r="9" spans="1:5">
      <c r="A9" s="17" t="s">
        <v>7</v>
      </c>
    </row>
    <row r="11" spans="1:5">
      <c r="A11" s="16" t="s">
        <v>8</v>
      </c>
    </row>
    <row r="12" spans="1:5">
      <c r="A12" s="8" t="s">
        <v>9</v>
      </c>
      <c r="B12" s="8" t="s">
        <v>10</v>
      </c>
    </row>
    <row r="13" spans="1:5">
      <c r="A13" s="18" t="s">
        <v>11</v>
      </c>
      <c r="B13" s="8" t="s">
        <v>12</v>
      </c>
    </row>
    <row r="14" spans="1:5">
      <c r="A14" s="19" t="s">
        <v>13</v>
      </c>
      <c r="B14" s="8" t="s">
        <v>14</v>
      </c>
    </row>
    <row r="15" spans="1:5">
      <c r="A15" s="20" t="s">
        <v>15</v>
      </c>
      <c r="B15" s="8" t="s">
        <v>16</v>
      </c>
    </row>
    <row r="17" spans="1:5">
      <c r="A17" s="16" t="s">
        <v>17</v>
      </c>
    </row>
    <row r="18" spans="1:5">
      <c r="A18" s="1" t="s">
        <v>18</v>
      </c>
      <c r="B18" s="1" t="s">
        <v>19</v>
      </c>
      <c r="C18" s="1" t="s">
        <v>20</v>
      </c>
      <c r="D18" s="1" t="s">
        <v>21</v>
      </c>
      <c r="E18" s="1" t="s">
        <v>22</v>
      </c>
    </row>
    <row r="19" spans="1:5">
      <c r="A19" s="21" t="s">
        <v>23</v>
      </c>
      <c r="B19" s="22" t="s">
        <v>13</v>
      </c>
      <c r="C19" s="21" t="s">
        <v>24</v>
      </c>
      <c r="D19" s="21" t="s">
        <v>25</v>
      </c>
      <c r="E19" s="21" t="s">
        <v>26</v>
      </c>
    </row>
    <row r="20" spans="1:5">
      <c r="A20" s="7" t="s">
        <v>27</v>
      </c>
    </row>
    <row r="22" spans="1:5">
      <c r="A22" s="16" t="s">
        <v>28</v>
      </c>
    </row>
    <row r="23" spans="1:5">
      <c r="A23" s="23" t="s">
        <v>29</v>
      </c>
      <c r="B23" s="23" t="s">
        <v>30</v>
      </c>
      <c r="C23" s="23" t="s">
        <v>31</v>
      </c>
    </row>
    <row r="24" spans="1:5">
      <c r="A24" s="3" t="s">
        <v>32</v>
      </c>
      <c r="B24" s="3" t="s">
        <v>33</v>
      </c>
      <c r="C24" s="3" t="s">
        <v>34</v>
      </c>
    </row>
    <row r="25" spans="1:5">
      <c r="A25" s="3" t="s">
        <v>35</v>
      </c>
      <c r="B25" s="3" t="s">
        <v>36</v>
      </c>
      <c r="C25" s="3" t="s">
        <v>37</v>
      </c>
    </row>
    <row r="26" spans="1:5">
      <c r="A26" s="3" t="s">
        <v>38</v>
      </c>
      <c r="B26" s="3" t="s">
        <v>39</v>
      </c>
      <c r="C26" s="3" t="s">
        <v>40</v>
      </c>
    </row>
    <row r="27" spans="1:5">
      <c r="A27" s="3" t="s">
        <v>41</v>
      </c>
      <c r="B27" s="3" t="s">
        <v>42</v>
      </c>
      <c r="C27" s="3" t="s">
        <v>43</v>
      </c>
    </row>
    <row r="28" spans="1:5">
      <c r="A28" s="3" t="s">
        <v>44</v>
      </c>
      <c r="B28" s="3" t="s">
        <v>45</v>
      </c>
      <c r="C28" s="3" t="s">
        <v>46</v>
      </c>
    </row>
    <row r="29" spans="1:5">
      <c r="A29" s="3" t="s">
        <v>47</v>
      </c>
      <c r="B29" s="3" t="s">
        <v>48</v>
      </c>
      <c r="C29" s="3" t="s">
        <v>49</v>
      </c>
    </row>
    <row r="30" spans="1:5">
      <c r="A30" s="3" t="s">
        <v>50</v>
      </c>
      <c r="B30" s="3" t="s">
        <v>51</v>
      </c>
      <c r="C30" s="3" t="s">
        <v>52</v>
      </c>
    </row>
    <row r="31" spans="1:5">
      <c r="A31" s="3" t="s">
        <v>53</v>
      </c>
      <c r="B31" s="3" t="s">
        <v>54</v>
      </c>
      <c r="C31" s="3" t="s">
        <v>55</v>
      </c>
    </row>
    <row r="32" spans="1:5">
      <c r="A32" s="3" t="s">
        <v>56</v>
      </c>
      <c r="B32" s="3" t="s">
        <v>57</v>
      </c>
      <c r="C32" s="3" t="s">
        <v>58</v>
      </c>
    </row>
    <row r="33" spans="1:5">
      <c r="A33" s="3" t="s">
        <v>59</v>
      </c>
      <c r="B33" s="3" t="s">
        <v>60</v>
      </c>
      <c r="C33" s="3" t="s">
        <v>61</v>
      </c>
    </row>
    <row r="34" spans="1:5">
      <c r="A34" s="3" t="s">
        <v>62</v>
      </c>
      <c r="B34" s="3" t="s">
        <v>63</v>
      </c>
      <c r="C34" s="3" t="s">
        <v>64</v>
      </c>
    </row>
    <row r="35" spans="1:5">
      <c r="A35" s="3" t="s">
        <v>65</v>
      </c>
      <c r="B35" s="3" t="s">
        <v>66</v>
      </c>
      <c r="C35" s="3" t="s">
        <v>67</v>
      </c>
    </row>
    <row r="36" spans="1:5">
      <c r="A36" s="3" t="s">
        <v>68</v>
      </c>
      <c r="B36" s="3" t="s">
        <v>69</v>
      </c>
      <c r="C36" s="3" t="s">
        <v>70</v>
      </c>
    </row>
    <row r="37" spans="1:5">
      <c r="A37" s="3" t="s">
        <v>71</v>
      </c>
      <c r="B37" s="3" t="s">
        <v>72</v>
      </c>
      <c r="C37" s="3" t="s">
        <v>73</v>
      </c>
    </row>
    <row r="38" spans="1:5">
      <c r="A38" s="3" t="s">
        <v>74</v>
      </c>
      <c r="B38" s="3" t="s">
        <v>75</v>
      </c>
      <c r="C38" s="3" t="s">
        <v>76</v>
      </c>
    </row>
    <row r="39" spans="1:5">
      <c r="A39" s="7" t="s">
        <v>77</v>
      </c>
    </row>
    <row r="41" spans="1:5">
      <c r="A41" s="15" t="s"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72"/>
  <sheetViews>
    <sheetView tabSelected="0" workbookViewId="0" showGridLines="true" showRowColHeaders="1">
      <pane xSplit="2" ySplit="1" topLeftCell="C2" activePane="bottomRight" state="frozen"/>
      <selection pane="topRight"/>
      <selection pane="bottomLeft"/>
      <selection pane="bottomRight" activeCell="F2" sqref="F2:F72"/>
    </sheetView>
  </sheetViews>
  <sheetFormatPr defaultRowHeight="14.4" outlineLevelRow="0" outlineLevelCol="0"/>
  <cols>
    <col min="1" max="1" width="8" customWidth="true" style="0"/>
    <col min="2" max="2" width="22" customWidth="true" style="0"/>
    <col min="3" max="3" width="28" customWidth="true" style="0"/>
    <col min="4" max="4" width="46" customWidth="true" style="0"/>
    <col min="5" max="5" width="60" customWidth="true" style="0"/>
    <col min="6" max="6" width="11" customWidth="true" style="0"/>
    <col min="7" max="7" width="14" customWidth="true" style="0"/>
    <col min="8" max="8" width="13" customWidth="true" style="0"/>
    <col min="9" max="9" width="34" customWidth="true" style="0"/>
  </cols>
  <sheetData>
    <row r="1" spans="1:9" customHeight="1" ht="22">
      <c r="A1" s="1" t="s">
        <v>18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 s="2" t="s">
        <v>83</v>
      </c>
      <c r="B2" s="3" t="s">
        <v>84</v>
      </c>
      <c r="C2" s="3" t="s">
        <v>85</v>
      </c>
      <c r="D2" s="3" t="s">
        <v>86</v>
      </c>
      <c r="E2" s="3" t="s">
        <v>87</v>
      </c>
      <c r="F2" s="4" t="s">
        <v>9</v>
      </c>
      <c r="G2" s="4"/>
      <c r="H2" s="5"/>
      <c r="I2" s="4"/>
    </row>
    <row r="3" spans="1:9">
      <c r="A3" s="2" t="s">
        <v>88</v>
      </c>
      <c r="B3" s="3" t="s">
        <v>84</v>
      </c>
      <c r="C3" s="3" t="s">
        <v>89</v>
      </c>
      <c r="D3" s="3" t="s">
        <v>90</v>
      </c>
      <c r="E3" s="3" t="s">
        <v>91</v>
      </c>
      <c r="F3" s="4" t="s">
        <v>9</v>
      </c>
      <c r="G3" s="4"/>
      <c r="H3" s="5"/>
      <c r="I3" s="4"/>
    </row>
    <row r="4" spans="1:9">
      <c r="A4" s="2" t="s">
        <v>73</v>
      </c>
      <c r="B4" s="3" t="s">
        <v>84</v>
      </c>
      <c r="C4" s="3" t="s">
        <v>92</v>
      </c>
      <c r="D4" s="3" t="s">
        <v>93</v>
      </c>
      <c r="E4" s="3" t="s">
        <v>94</v>
      </c>
      <c r="F4" s="4" t="s">
        <v>9</v>
      </c>
      <c r="G4" s="4"/>
      <c r="H4" s="5"/>
      <c r="I4" s="4"/>
    </row>
    <row r="5" spans="1:9">
      <c r="A5" s="2" t="s">
        <v>95</v>
      </c>
      <c r="B5" s="3" t="s">
        <v>84</v>
      </c>
      <c r="C5" s="3" t="s">
        <v>96</v>
      </c>
      <c r="D5" s="3" t="s">
        <v>97</v>
      </c>
      <c r="E5" s="3" t="s">
        <v>98</v>
      </c>
      <c r="F5" s="4" t="s">
        <v>9</v>
      </c>
      <c r="G5" s="4"/>
      <c r="H5" s="5"/>
      <c r="I5" s="4"/>
    </row>
    <row r="6" spans="1:9">
      <c r="A6" s="2" t="s">
        <v>99</v>
      </c>
      <c r="B6" s="3" t="s">
        <v>84</v>
      </c>
      <c r="C6" s="3" t="s">
        <v>100</v>
      </c>
      <c r="D6" s="3" t="s">
        <v>101</v>
      </c>
      <c r="E6" s="3" t="s">
        <v>102</v>
      </c>
      <c r="F6" s="4" t="s">
        <v>9</v>
      </c>
      <c r="G6" s="4"/>
      <c r="H6" s="5"/>
      <c r="I6" s="4"/>
    </row>
    <row r="7" spans="1:9">
      <c r="A7" s="2" t="s">
        <v>67</v>
      </c>
      <c r="B7" s="3" t="s">
        <v>84</v>
      </c>
      <c r="C7" s="3" t="s">
        <v>65</v>
      </c>
      <c r="D7" s="3" t="s">
        <v>103</v>
      </c>
      <c r="E7" s="3" t="s">
        <v>104</v>
      </c>
      <c r="F7" s="4" t="s">
        <v>9</v>
      </c>
      <c r="G7" s="4"/>
      <c r="H7" s="5"/>
      <c r="I7" s="4"/>
    </row>
    <row r="8" spans="1:9">
      <c r="A8" s="2" t="s">
        <v>105</v>
      </c>
      <c r="B8" s="3" t="s">
        <v>84</v>
      </c>
      <c r="C8" s="3" t="s">
        <v>106</v>
      </c>
      <c r="D8" s="3" t="s">
        <v>107</v>
      </c>
      <c r="E8" s="3" t="s">
        <v>108</v>
      </c>
      <c r="F8" s="4" t="s">
        <v>9</v>
      </c>
      <c r="G8" s="4"/>
      <c r="H8" s="5"/>
      <c r="I8" s="4"/>
    </row>
    <row r="9" spans="1:9">
      <c r="A9" s="2" t="s">
        <v>109</v>
      </c>
      <c r="B9" s="3" t="s">
        <v>84</v>
      </c>
      <c r="C9" s="3" t="s">
        <v>110</v>
      </c>
      <c r="D9" s="3" t="s">
        <v>111</v>
      </c>
      <c r="E9" s="3" t="s">
        <v>112</v>
      </c>
      <c r="F9" s="4" t="s">
        <v>9</v>
      </c>
      <c r="G9" s="4"/>
      <c r="H9" s="5"/>
      <c r="I9" s="4"/>
    </row>
    <row r="10" spans="1:9">
      <c r="A10" s="2" t="s">
        <v>113</v>
      </c>
      <c r="B10" s="3" t="s">
        <v>84</v>
      </c>
      <c r="C10" s="3" t="s">
        <v>114</v>
      </c>
      <c r="D10" s="3" t="s">
        <v>115</v>
      </c>
      <c r="E10" s="3" t="s">
        <v>116</v>
      </c>
      <c r="F10" s="4" t="s">
        <v>9</v>
      </c>
      <c r="G10" s="4"/>
      <c r="H10" s="5"/>
      <c r="I10" s="4"/>
    </row>
    <row r="11" spans="1:9">
      <c r="A11" s="2" t="s">
        <v>117</v>
      </c>
      <c r="B11" s="3" t="s">
        <v>84</v>
      </c>
      <c r="C11" s="3" t="s">
        <v>118</v>
      </c>
      <c r="D11" s="3" t="s">
        <v>119</v>
      </c>
      <c r="E11" s="3" t="s">
        <v>120</v>
      </c>
      <c r="F11" s="4" t="s">
        <v>9</v>
      </c>
      <c r="G11" s="4"/>
      <c r="H11" s="5"/>
      <c r="I11" s="4"/>
    </row>
    <row r="12" spans="1:9">
      <c r="A12" s="2" t="s">
        <v>121</v>
      </c>
      <c r="B12" s="3" t="s">
        <v>84</v>
      </c>
      <c r="C12" s="3" t="s">
        <v>38</v>
      </c>
      <c r="D12" s="3" t="s">
        <v>122</v>
      </c>
      <c r="E12" s="3" t="s">
        <v>123</v>
      </c>
      <c r="F12" s="4" t="s">
        <v>9</v>
      </c>
      <c r="G12" s="4"/>
      <c r="H12" s="5"/>
      <c r="I12" s="4"/>
    </row>
    <row r="13" spans="1:9">
      <c r="A13" s="2" t="s">
        <v>124</v>
      </c>
      <c r="B13" s="3" t="s">
        <v>125</v>
      </c>
      <c r="C13" s="3" t="s">
        <v>126</v>
      </c>
      <c r="D13" s="3" t="s">
        <v>127</v>
      </c>
      <c r="E13" s="3" t="s">
        <v>128</v>
      </c>
      <c r="F13" s="4" t="s">
        <v>9</v>
      </c>
      <c r="G13" s="4"/>
      <c r="H13" s="5"/>
      <c r="I13" s="4"/>
    </row>
    <row r="14" spans="1:9">
      <c r="A14" s="2" t="s">
        <v>129</v>
      </c>
      <c r="B14" s="3" t="s">
        <v>125</v>
      </c>
      <c r="C14" s="3" t="s">
        <v>130</v>
      </c>
      <c r="D14" s="3" t="s">
        <v>131</v>
      </c>
      <c r="E14" s="3" t="s">
        <v>132</v>
      </c>
      <c r="F14" s="4" t="s">
        <v>9</v>
      </c>
      <c r="G14" s="4"/>
      <c r="H14" s="5"/>
      <c r="I14" s="4"/>
    </row>
    <row r="15" spans="1:9">
      <c r="A15" s="2" t="s">
        <v>133</v>
      </c>
      <c r="B15" s="3" t="s">
        <v>125</v>
      </c>
      <c r="C15" s="3" t="s">
        <v>134</v>
      </c>
      <c r="D15" s="3" t="s">
        <v>135</v>
      </c>
      <c r="E15" s="3" t="s">
        <v>136</v>
      </c>
      <c r="F15" s="4" t="s">
        <v>9</v>
      </c>
      <c r="G15" s="4"/>
      <c r="H15" s="5"/>
      <c r="I15" s="4"/>
    </row>
    <row r="16" spans="1:9">
      <c r="A16" s="2" t="s">
        <v>137</v>
      </c>
      <c r="B16" s="3" t="s">
        <v>125</v>
      </c>
      <c r="C16" s="3" t="s">
        <v>138</v>
      </c>
      <c r="D16" s="3" t="s">
        <v>139</v>
      </c>
      <c r="E16" s="3" t="s">
        <v>140</v>
      </c>
      <c r="F16" s="4" t="s">
        <v>9</v>
      </c>
      <c r="G16" s="4"/>
      <c r="H16" s="5"/>
      <c r="I16" s="4"/>
    </row>
    <row r="17" spans="1:9">
      <c r="A17" s="2" t="s">
        <v>141</v>
      </c>
      <c r="B17" s="3" t="s">
        <v>125</v>
      </c>
      <c r="C17" s="3" t="s">
        <v>142</v>
      </c>
      <c r="D17" s="3" t="s">
        <v>143</v>
      </c>
      <c r="E17" s="3" t="s">
        <v>144</v>
      </c>
      <c r="F17" s="4" t="s">
        <v>9</v>
      </c>
      <c r="G17" s="4"/>
      <c r="H17" s="5"/>
      <c r="I17" s="4"/>
    </row>
    <row r="18" spans="1:9">
      <c r="A18" s="2" t="s">
        <v>145</v>
      </c>
      <c r="B18" s="3" t="s">
        <v>125</v>
      </c>
      <c r="C18" s="3" t="s">
        <v>146</v>
      </c>
      <c r="D18" s="3" t="s">
        <v>147</v>
      </c>
      <c r="E18" s="3" t="s">
        <v>148</v>
      </c>
      <c r="F18" s="4" t="s">
        <v>9</v>
      </c>
      <c r="G18" s="4"/>
      <c r="H18" s="5"/>
      <c r="I18" s="4"/>
    </row>
    <row r="19" spans="1:9">
      <c r="A19" s="2" t="s">
        <v>23</v>
      </c>
      <c r="B19" s="3" t="s">
        <v>125</v>
      </c>
      <c r="C19" s="3" t="s">
        <v>149</v>
      </c>
      <c r="D19" s="3" t="s">
        <v>150</v>
      </c>
      <c r="E19" s="3" t="s">
        <v>151</v>
      </c>
      <c r="F19" s="4" t="s">
        <v>9</v>
      </c>
      <c r="G19" s="4"/>
      <c r="H19" s="5"/>
      <c r="I19" s="4"/>
    </row>
    <row r="20" spans="1:9">
      <c r="A20" s="2" t="s">
        <v>152</v>
      </c>
      <c r="B20" s="3" t="s">
        <v>125</v>
      </c>
      <c r="C20" s="3" t="s">
        <v>153</v>
      </c>
      <c r="D20" s="3" t="s">
        <v>154</v>
      </c>
      <c r="E20" s="3" t="s">
        <v>155</v>
      </c>
      <c r="F20" s="4" t="s">
        <v>9</v>
      </c>
      <c r="G20" s="4"/>
      <c r="H20" s="5"/>
      <c r="I20" s="4"/>
    </row>
    <row r="21" spans="1:9">
      <c r="A21" s="2" t="s">
        <v>156</v>
      </c>
      <c r="B21" s="3" t="s">
        <v>125</v>
      </c>
      <c r="C21" s="3" t="s">
        <v>157</v>
      </c>
      <c r="D21" s="3" t="s">
        <v>158</v>
      </c>
      <c r="E21" s="3" t="s">
        <v>159</v>
      </c>
      <c r="F21" s="4" t="s">
        <v>9</v>
      </c>
      <c r="G21" s="4"/>
      <c r="H21" s="5"/>
      <c r="I21" s="4"/>
    </row>
    <row r="22" spans="1:9">
      <c r="A22" s="2" t="s">
        <v>160</v>
      </c>
      <c r="B22" s="3" t="s">
        <v>125</v>
      </c>
      <c r="C22" s="3" t="s">
        <v>161</v>
      </c>
      <c r="D22" s="3" t="s">
        <v>162</v>
      </c>
      <c r="E22" s="3" t="s">
        <v>163</v>
      </c>
      <c r="F22" s="4" t="s">
        <v>9</v>
      </c>
      <c r="G22" s="4"/>
      <c r="H22" s="5"/>
      <c r="I22" s="4"/>
    </row>
    <row r="23" spans="1:9">
      <c r="A23" s="2" t="s">
        <v>61</v>
      </c>
      <c r="B23" s="3" t="s">
        <v>125</v>
      </c>
      <c r="C23" s="3" t="s">
        <v>164</v>
      </c>
      <c r="D23" s="3" t="s">
        <v>165</v>
      </c>
      <c r="E23" s="3" t="s">
        <v>166</v>
      </c>
      <c r="F23" s="4" t="s">
        <v>9</v>
      </c>
      <c r="G23" s="4"/>
      <c r="H23" s="5"/>
      <c r="I23" s="4"/>
    </row>
    <row r="24" spans="1:9">
      <c r="A24" s="2" t="s">
        <v>46</v>
      </c>
      <c r="B24" s="3" t="s">
        <v>125</v>
      </c>
      <c r="C24" s="3" t="s">
        <v>167</v>
      </c>
      <c r="D24" s="3" t="s">
        <v>168</v>
      </c>
      <c r="E24" s="3" t="s">
        <v>169</v>
      </c>
      <c r="F24" s="4" t="s">
        <v>9</v>
      </c>
      <c r="G24" s="4"/>
      <c r="H24" s="5"/>
      <c r="I24" s="4"/>
    </row>
    <row r="25" spans="1:9">
      <c r="A25" s="2" t="s">
        <v>49</v>
      </c>
      <c r="B25" s="3" t="s">
        <v>125</v>
      </c>
      <c r="C25" s="3" t="s">
        <v>170</v>
      </c>
      <c r="D25" s="3" t="s">
        <v>171</v>
      </c>
      <c r="E25" s="3" t="s">
        <v>172</v>
      </c>
      <c r="F25" s="4" t="s">
        <v>9</v>
      </c>
      <c r="G25" s="4"/>
      <c r="H25" s="5"/>
      <c r="I25" s="4"/>
    </row>
    <row r="26" spans="1:9">
      <c r="A26" s="2" t="s">
        <v>52</v>
      </c>
      <c r="B26" s="3" t="s">
        <v>125</v>
      </c>
      <c r="C26" s="3" t="s">
        <v>173</v>
      </c>
      <c r="D26" s="3" t="s">
        <v>174</v>
      </c>
      <c r="E26" s="3" t="s">
        <v>175</v>
      </c>
      <c r="F26" s="4" t="s">
        <v>9</v>
      </c>
      <c r="G26" s="4"/>
      <c r="H26" s="5"/>
      <c r="I26" s="4"/>
    </row>
    <row r="27" spans="1:9">
      <c r="A27" s="2" t="s">
        <v>55</v>
      </c>
      <c r="B27" s="3" t="s">
        <v>125</v>
      </c>
      <c r="C27" s="3" t="s">
        <v>176</v>
      </c>
      <c r="D27" s="3" t="s">
        <v>177</v>
      </c>
      <c r="E27" s="3" t="s">
        <v>178</v>
      </c>
      <c r="F27" s="4" t="s">
        <v>9</v>
      </c>
      <c r="G27" s="4"/>
      <c r="H27" s="5"/>
      <c r="I27" s="4"/>
    </row>
    <row r="28" spans="1:9">
      <c r="A28" s="2" t="s">
        <v>179</v>
      </c>
      <c r="B28" s="3" t="s">
        <v>125</v>
      </c>
      <c r="C28" s="3" t="s">
        <v>180</v>
      </c>
      <c r="D28" s="3" t="s">
        <v>181</v>
      </c>
      <c r="E28" s="3" t="s">
        <v>182</v>
      </c>
      <c r="F28" s="4" t="s">
        <v>9</v>
      </c>
      <c r="G28" s="4"/>
      <c r="H28" s="5"/>
      <c r="I28" s="4"/>
    </row>
    <row r="29" spans="1:9">
      <c r="A29" s="2" t="s">
        <v>183</v>
      </c>
      <c r="B29" s="3" t="s">
        <v>125</v>
      </c>
      <c r="C29" s="3" t="s">
        <v>184</v>
      </c>
      <c r="D29" s="3" t="s">
        <v>185</v>
      </c>
      <c r="E29" s="3" t="s">
        <v>186</v>
      </c>
      <c r="F29" s="4" t="s">
        <v>9</v>
      </c>
      <c r="G29" s="4"/>
      <c r="H29" s="5"/>
      <c r="I29" s="4"/>
    </row>
    <row r="30" spans="1:9">
      <c r="A30" s="2" t="s">
        <v>187</v>
      </c>
      <c r="B30" s="3" t="s">
        <v>125</v>
      </c>
      <c r="C30" s="3" t="s">
        <v>188</v>
      </c>
      <c r="D30" s="3" t="s">
        <v>189</v>
      </c>
      <c r="E30" s="3" t="s">
        <v>190</v>
      </c>
      <c r="F30" s="4" t="s">
        <v>9</v>
      </c>
      <c r="G30" s="4"/>
      <c r="H30" s="5"/>
      <c r="I30" s="4"/>
    </row>
    <row r="31" spans="1:9">
      <c r="A31" s="2" t="s">
        <v>191</v>
      </c>
      <c r="B31" s="3" t="s">
        <v>125</v>
      </c>
      <c r="C31" s="3" t="s">
        <v>192</v>
      </c>
      <c r="D31" s="3" t="s">
        <v>193</v>
      </c>
      <c r="E31" s="3" t="s">
        <v>194</v>
      </c>
      <c r="F31" s="4" t="s">
        <v>9</v>
      </c>
      <c r="G31" s="4"/>
      <c r="H31" s="5"/>
      <c r="I31" s="4"/>
    </row>
    <row r="32" spans="1:9">
      <c r="A32" s="2" t="s">
        <v>195</v>
      </c>
      <c r="B32" s="3" t="s">
        <v>196</v>
      </c>
      <c r="C32" s="3" t="s">
        <v>197</v>
      </c>
      <c r="D32" s="3" t="s">
        <v>198</v>
      </c>
      <c r="E32" s="3" t="s">
        <v>199</v>
      </c>
      <c r="F32" s="4" t="s">
        <v>9</v>
      </c>
      <c r="G32" s="4"/>
      <c r="H32" s="5"/>
      <c r="I32" s="4"/>
    </row>
    <row r="33" spans="1:9">
      <c r="A33" s="2" t="s">
        <v>200</v>
      </c>
      <c r="B33" s="3" t="s">
        <v>196</v>
      </c>
      <c r="C33" s="3" t="s">
        <v>201</v>
      </c>
      <c r="D33" s="3" t="s">
        <v>202</v>
      </c>
      <c r="E33" s="3" t="s">
        <v>203</v>
      </c>
      <c r="F33" s="4" t="s">
        <v>9</v>
      </c>
      <c r="G33" s="4"/>
      <c r="H33" s="5"/>
      <c r="I33" s="4"/>
    </row>
    <row r="34" spans="1:9">
      <c r="A34" s="2" t="s">
        <v>204</v>
      </c>
      <c r="B34" s="3" t="s">
        <v>196</v>
      </c>
      <c r="C34" s="3" t="s">
        <v>205</v>
      </c>
      <c r="D34" s="3" t="s">
        <v>206</v>
      </c>
      <c r="E34" s="3" t="s">
        <v>207</v>
      </c>
      <c r="F34" s="4" t="s">
        <v>9</v>
      </c>
      <c r="G34" s="4"/>
      <c r="H34" s="5"/>
      <c r="I34" s="4"/>
    </row>
    <row r="35" spans="1:9">
      <c r="A35" s="2" t="s">
        <v>208</v>
      </c>
      <c r="B35" s="3" t="s">
        <v>196</v>
      </c>
      <c r="C35" s="3" t="s">
        <v>209</v>
      </c>
      <c r="D35" s="3" t="s">
        <v>210</v>
      </c>
      <c r="E35" s="3" t="s">
        <v>211</v>
      </c>
      <c r="F35" s="4" t="s">
        <v>9</v>
      </c>
      <c r="G35" s="4"/>
      <c r="H35" s="5"/>
      <c r="I35" s="4"/>
    </row>
    <row r="36" spans="1:9">
      <c r="A36" s="2" t="s">
        <v>212</v>
      </c>
      <c r="B36" s="3" t="s">
        <v>196</v>
      </c>
      <c r="C36" s="3" t="s">
        <v>213</v>
      </c>
      <c r="D36" s="3" t="s">
        <v>214</v>
      </c>
      <c r="E36" s="3" t="s">
        <v>215</v>
      </c>
      <c r="F36" s="4" t="s">
        <v>9</v>
      </c>
      <c r="G36" s="4"/>
      <c r="H36" s="5"/>
      <c r="I36" s="4"/>
    </row>
    <row r="37" spans="1:9">
      <c r="A37" s="2" t="s">
        <v>216</v>
      </c>
      <c r="B37" s="3" t="s">
        <v>196</v>
      </c>
      <c r="C37" s="3" t="s">
        <v>217</v>
      </c>
      <c r="D37" s="3" t="s">
        <v>218</v>
      </c>
      <c r="E37" s="3" t="s">
        <v>219</v>
      </c>
      <c r="F37" s="4" t="s">
        <v>9</v>
      </c>
      <c r="G37" s="4"/>
      <c r="H37" s="5"/>
      <c r="I37" s="4"/>
    </row>
    <row r="38" spans="1:9">
      <c r="A38" s="2" t="s">
        <v>220</v>
      </c>
      <c r="B38" s="3" t="s">
        <v>196</v>
      </c>
      <c r="C38" s="3" t="s">
        <v>221</v>
      </c>
      <c r="D38" s="3" t="s">
        <v>222</v>
      </c>
      <c r="E38" s="3" t="s">
        <v>223</v>
      </c>
      <c r="F38" s="4" t="s">
        <v>9</v>
      </c>
      <c r="G38" s="4"/>
      <c r="H38" s="5"/>
      <c r="I38" s="4"/>
    </row>
    <row r="39" spans="1:9">
      <c r="A39" s="2" t="s">
        <v>224</v>
      </c>
      <c r="B39" s="3" t="s">
        <v>196</v>
      </c>
      <c r="C39" s="3" t="s">
        <v>225</v>
      </c>
      <c r="D39" s="3" t="s">
        <v>226</v>
      </c>
      <c r="E39" s="3" t="s">
        <v>227</v>
      </c>
      <c r="F39" s="4" t="s">
        <v>9</v>
      </c>
      <c r="G39" s="4"/>
      <c r="H39" s="5"/>
      <c r="I39" s="4"/>
    </row>
    <row r="40" spans="1:9">
      <c r="A40" s="2" t="s">
        <v>228</v>
      </c>
      <c r="B40" s="3" t="s">
        <v>196</v>
      </c>
      <c r="C40" s="3" t="s">
        <v>229</v>
      </c>
      <c r="D40" s="3" t="s">
        <v>230</v>
      </c>
      <c r="E40" s="3" t="s">
        <v>231</v>
      </c>
      <c r="F40" s="4" t="s">
        <v>9</v>
      </c>
      <c r="G40" s="4"/>
      <c r="H40" s="5"/>
      <c r="I40" s="4"/>
    </row>
    <row r="41" spans="1:9">
      <c r="A41" s="2" t="s">
        <v>232</v>
      </c>
      <c r="B41" s="3" t="s">
        <v>196</v>
      </c>
      <c r="C41" s="3" t="s">
        <v>233</v>
      </c>
      <c r="D41" s="3" t="s">
        <v>234</v>
      </c>
      <c r="E41" s="3" t="s">
        <v>235</v>
      </c>
      <c r="F41" s="4" t="s">
        <v>9</v>
      </c>
      <c r="G41" s="4"/>
      <c r="H41" s="5"/>
      <c r="I41" s="4"/>
    </row>
    <row r="42" spans="1:9">
      <c r="A42" s="2" t="s">
        <v>236</v>
      </c>
      <c r="B42" s="3" t="s">
        <v>196</v>
      </c>
      <c r="C42" s="3" t="s">
        <v>237</v>
      </c>
      <c r="D42" s="3" t="s">
        <v>238</v>
      </c>
      <c r="E42" s="3" t="s">
        <v>239</v>
      </c>
      <c r="F42" s="4" t="s">
        <v>9</v>
      </c>
      <c r="G42" s="4"/>
      <c r="H42" s="5"/>
      <c r="I42" s="4"/>
    </row>
    <row r="43" spans="1:9">
      <c r="A43" s="2" t="s">
        <v>240</v>
      </c>
      <c r="B43" s="3" t="s">
        <v>196</v>
      </c>
      <c r="C43" s="3" t="s">
        <v>241</v>
      </c>
      <c r="D43" s="3" t="s">
        <v>242</v>
      </c>
      <c r="E43" s="3" t="s">
        <v>243</v>
      </c>
      <c r="F43" s="4" t="s">
        <v>9</v>
      </c>
      <c r="G43" s="4"/>
      <c r="H43" s="5"/>
      <c r="I43" s="4"/>
    </row>
    <row r="44" spans="1:9">
      <c r="A44" s="2" t="s">
        <v>244</v>
      </c>
      <c r="B44" s="3" t="s">
        <v>196</v>
      </c>
      <c r="C44" s="3" t="s">
        <v>245</v>
      </c>
      <c r="D44" s="3" t="s">
        <v>246</v>
      </c>
      <c r="E44" s="3" t="s">
        <v>247</v>
      </c>
      <c r="F44" s="4" t="s">
        <v>9</v>
      </c>
      <c r="G44" s="4"/>
      <c r="H44" s="5"/>
      <c r="I44" s="4"/>
    </row>
    <row r="45" spans="1:9">
      <c r="A45" s="2" t="s">
        <v>248</v>
      </c>
      <c r="B45" s="3" t="s">
        <v>196</v>
      </c>
      <c r="C45" s="3" t="s">
        <v>249</v>
      </c>
      <c r="D45" s="3" t="s">
        <v>250</v>
      </c>
      <c r="E45" s="3" t="s">
        <v>251</v>
      </c>
      <c r="F45" s="4" t="s">
        <v>9</v>
      </c>
      <c r="G45" s="4"/>
      <c r="H45" s="5"/>
      <c r="I45" s="4"/>
    </row>
    <row r="46" spans="1:9">
      <c r="A46" s="2" t="s">
        <v>252</v>
      </c>
      <c r="B46" s="3" t="s">
        <v>253</v>
      </c>
      <c r="C46" s="3" t="s">
        <v>254</v>
      </c>
      <c r="D46" s="3" t="s">
        <v>255</v>
      </c>
      <c r="E46" s="3" t="s">
        <v>256</v>
      </c>
      <c r="F46" s="4" t="s">
        <v>9</v>
      </c>
      <c r="G46" s="4"/>
      <c r="H46" s="5"/>
      <c r="I46" s="4"/>
    </row>
    <row r="47" spans="1:9">
      <c r="A47" s="2" t="s">
        <v>257</v>
      </c>
      <c r="B47" s="3" t="s">
        <v>253</v>
      </c>
      <c r="C47" s="3" t="s">
        <v>258</v>
      </c>
      <c r="D47" s="3" t="s">
        <v>259</v>
      </c>
      <c r="E47" s="3" t="s">
        <v>260</v>
      </c>
      <c r="F47" s="4" t="s">
        <v>9</v>
      </c>
      <c r="G47" s="4"/>
      <c r="H47" s="5"/>
      <c r="I47" s="4"/>
    </row>
    <row r="48" spans="1:9">
      <c r="A48" s="2" t="s">
        <v>261</v>
      </c>
      <c r="B48" s="3" t="s">
        <v>253</v>
      </c>
      <c r="C48" s="3" t="s">
        <v>262</v>
      </c>
      <c r="D48" s="3" t="s">
        <v>263</v>
      </c>
      <c r="E48" s="3" t="s">
        <v>264</v>
      </c>
      <c r="F48" s="4" t="s">
        <v>9</v>
      </c>
      <c r="G48" s="4"/>
      <c r="H48" s="5"/>
      <c r="I48" s="4"/>
    </row>
    <row r="49" spans="1:9">
      <c r="A49" s="2" t="s">
        <v>265</v>
      </c>
      <c r="B49" s="3" t="s">
        <v>253</v>
      </c>
      <c r="C49" s="3" t="s">
        <v>266</v>
      </c>
      <c r="D49" s="3" t="s">
        <v>267</v>
      </c>
      <c r="E49" s="3" t="s">
        <v>268</v>
      </c>
      <c r="F49" s="4" t="s">
        <v>9</v>
      </c>
      <c r="G49" s="4"/>
      <c r="H49" s="5"/>
      <c r="I49" s="4"/>
    </row>
    <row r="50" spans="1:9">
      <c r="A50" s="2" t="s">
        <v>269</v>
      </c>
      <c r="B50" s="3" t="s">
        <v>253</v>
      </c>
      <c r="C50" s="3" t="s">
        <v>270</v>
      </c>
      <c r="D50" s="3" t="s">
        <v>271</v>
      </c>
      <c r="E50" s="3" t="s">
        <v>272</v>
      </c>
      <c r="F50" s="4" t="s">
        <v>9</v>
      </c>
      <c r="G50" s="4"/>
      <c r="H50" s="5"/>
      <c r="I50" s="4"/>
    </row>
    <row r="51" spans="1:9">
      <c r="A51" s="2" t="s">
        <v>273</v>
      </c>
      <c r="B51" s="3" t="s">
        <v>253</v>
      </c>
      <c r="C51" s="3" t="s">
        <v>274</v>
      </c>
      <c r="D51" s="3" t="s">
        <v>275</v>
      </c>
      <c r="E51" s="3" t="s">
        <v>276</v>
      </c>
      <c r="F51" s="4" t="s">
        <v>9</v>
      </c>
      <c r="G51" s="4"/>
      <c r="H51" s="5"/>
      <c r="I51" s="4"/>
    </row>
    <row r="52" spans="1:9">
      <c r="A52" s="2" t="s">
        <v>277</v>
      </c>
      <c r="B52" s="3" t="s">
        <v>253</v>
      </c>
      <c r="C52" s="3" t="s">
        <v>278</v>
      </c>
      <c r="D52" s="3" t="s">
        <v>279</v>
      </c>
      <c r="E52" s="3" t="s">
        <v>280</v>
      </c>
      <c r="F52" s="4" t="s">
        <v>9</v>
      </c>
      <c r="G52" s="4"/>
      <c r="H52" s="5"/>
      <c r="I52" s="4"/>
    </row>
    <row r="53" spans="1:9">
      <c r="A53" s="2" t="s">
        <v>281</v>
      </c>
      <c r="B53" s="3" t="s">
        <v>253</v>
      </c>
      <c r="C53" s="3" t="s">
        <v>282</v>
      </c>
      <c r="D53" s="3" t="s">
        <v>283</v>
      </c>
      <c r="E53" s="3" t="s">
        <v>284</v>
      </c>
      <c r="F53" s="4" t="s">
        <v>9</v>
      </c>
      <c r="G53" s="4"/>
      <c r="H53" s="5"/>
      <c r="I53" s="4"/>
    </row>
    <row r="54" spans="1:9">
      <c r="A54" s="2" t="s">
        <v>285</v>
      </c>
      <c r="B54" s="3" t="s">
        <v>253</v>
      </c>
      <c r="C54" s="3" t="s">
        <v>286</v>
      </c>
      <c r="D54" s="3" t="s">
        <v>287</v>
      </c>
      <c r="E54" s="3" t="s">
        <v>288</v>
      </c>
      <c r="F54" s="4" t="s">
        <v>9</v>
      </c>
      <c r="G54" s="4"/>
      <c r="H54" s="5"/>
      <c r="I54" s="4"/>
    </row>
    <row r="55" spans="1:9">
      <c r="A55" s="2" t="s">
        <v>289</v>
      </c>
      <c r="B55" s="3" t="s">
        <v>253</v>
      </c>
      <c r="C55" s="3" t="s">
        <v>290</v>
      </c>
      <c r="D55" s="3" t="s">
        <v>291</v>
      </c>
      <c r="E55" s="3" t="s">
        <v>292</v>
      </c>
      <c r="F55" s="4" t="s">
        <v>9</v>
      </c>
      <c r="G55" s="4"/>
      <c r="H55" s="5"/>
      <c r="I55" s="4"/>
    </row>
    <row r="56" spans="1:9">
      <c r="A56" s="2" t="s">
        <v>293</v>
      </c>
      <c r="B56" s="3" t="s">
        <v>253</v>
      </c>
      <c r="C56" s="3" t="s">
        <v>294</v>
      </c>
      <c r="D56" s="3" t="s">
        <v>295</v>
      </c>
      <c r="E56" s="3" t="s">
        <v>296</v>
      </c>
      <c r="F56" s="4" t="s">
        <v>9</v>
      </c>
      <c r="G56" s="4"/>
      <c r="H56" s="5"/>
      <c r="I56" s="4"/>
    </row>
    <row r="57" spans="1:9">
      <c r="A57" s="2" t="s">
        <v>297</v>
      </c>
      <c r="B57" s="3" t="s">
        <v>253</v>
      </c>
      <c r="C57" s="3" t="s">
        <v>298</v>
      </c>
      <c r="D57" s="3" t="s">
        <v>299</v>
      </c>
      <c r="E57" s="3" t="s">
        <v>300</v>
      </c>
      <c r="F57" s="4" t="s">
        <v>9</v>
      </c>
      <c r="G57" s="4"/>
      <c r="H57" s="5"/>
      <c r="I57" s="4"/>
    </row>
    <row r="58" spans="1:9">
      <c r="A58" s="2" t="s">
        <v>301</v>
      </c>
      <c r="B58" s="3" t="s">
        <v>253</v>
      </c>
      <c r="C58" s="3" t="s">
        <v>302</v>
      </c>
      <c r="D58" s="3" t="s">
        <v>303</v>
      </c>
      <c r="E58" s="3" t="s">
        <v>304</v>
      </c>
      <c r="F58" s="4" t="s">
        <v>9</v>
      </c>
      <c r="G58" s="4"/>
      <c r="H58" s="5"/>
      <c r="I58" s="4"/>
    </row>
    <row r="59" spans="1:9">
      <c r="A59" s="2" t="s">
        <v>305</v>
      </c>
      <c r="B59" s="3" t="s">
        <v>253</v>
      </c>
      <c r="C59" s="3" t="s">
        <v>306</v>
      </c>
      <c r="D59" s="3" t="s">
        <v>307</v>
      </c>
      <c r="E59" s="3" t="s">
        <v>308</v>
      </c>
      <c r="F59" s="4" t="s">
        <v>9</v>
      </c>
      <c r="G59" s="4"/>
      <c r="H59" s="5"/>
      <c r="I59" s="4"/>
    </row>
    <row r="60" spans="1:9">
      <c r="A60" s="2" t="s">
        <v>309</v>
      </c>
      <c r="B60" s="3" t="s">
        <v>310</v>
      </c>
      <c r="C60" s="3" t="s">
        <v>311</v>
      </c>
      <c r="D60" s="3" t="s">
        <v>312</v>
      </c>
      <c r="E60" s="3" t="s">
        <v>313</v>
      </c>
      <c r="F60" s="4" t="s">
        <v>9</v>
      </c>
      <c r="G60" s="4"/>
      <c r="H60" s="5"/>
      <c r="I60" s="4"/>
    </row>
    <row r="61" spans="1:9">
      <c r="A61" s="2" t="s">
        <v>314</v>
      </c>
      <c r="B61" s="3" t="s">
        <v>310</v>
      </c>
      <c r="C61" s="3" t="s">
        <v>315</v>
      </c>
      <c r="D61" s="3" t="s">
        <v>316</v>
      </c>
      <c r="E61" s="3" t="s">
        <v>317</v>
      </c>
      <c r="F61" s="4" t="s">
        <v>9</v>
      </c>
      <c r="G61" s="4"/>
      <c r="H61" s="5"/>
      <c r="I61" s="4"/>
    </row>
    <row r="62" spans="1:9">
      <c r="A62" s="2" t="s">
        <v>318</v>
      </c>
      <c r="B62" s="3" t="s">
        <v>310</v>
      </c>
      <c r="C62" s="3" t="s">
        <v>319</v>
      </c>
      <c r="D62" s="3" t="s">
        <v>320</v>
      </c>
      <c r="E62" s="3" t="s">
        <v>321</v>
      </c>
      <c r="F62" s="4" t="s">
        <v>9</v>
      </c>
      <c r="G62" s="4"/>
      <c r="H62" s="5"/>
      <c r="I62" s="4"/>
    </row>
    <row r="63" spans="1:9">
      <c r="A63" s="2" t="s">
        <v>322</v>
      </c>
      <c r="B63" s="3" t="s">
        <v>310</v>
      </c>
      <c r="C63" s="3" t="s">
        <v>323</v>
      </c>
      <c r="D63" s="3" t="s">
        <v>324</v>
      </c>
      <c r="E63" s="3" t="s">
        <v>325</v>
      </c>
      <c r="F63" s="4" t="s">
        <v>9</v>
      </c>
      <c r="G63" s="4"/>
      <c r="H63" s="5"/>
      <c r="I63" s="4"/>
    </row>
    <row r="64" spans="1:9">
      <c r="A64" s="2" t="s">
        <v>326</v>
      </c>
      <c r="B64" s="3" t="s">
        <v>310</v>
      </c>
      <c r="C64" s="3" t="s">
        <v>327</v>
      </c>
      <c r="D64" s="3" t="s">
        <v>328</v>
      </c>
      <c r="E64" s="3" t="s">
        <v>329</v>
      </c>
      <c r="F64" s="4" t="s">
        <v>9</v>
      </c>
      <c r="G64" s="4"/>
      <c r="H64" s="5"/>
      <c r="I64" s="4"/>
    </row>
    <row r="65" spans="1:9">
      <c r="A65" s="2" t="s">
        <v>330</v>
      </c>
      <c r="B65" s="3" t="s">
        <v>310</v>
      </c>
      <c r="C65" s="3" t="s">
        <v>331</v>
      </c>
      <c r="D65" s="3" t="s">
        <v>332</v>
      </c>
      <c r="E65" s="3" t="s">
        <v>333</v>
      </c>
      <c r="F65" s="4" t="s">
        <v>9</v>
      </c>
      <c r="G65" s="4"/>
      <c r="H65" s="5"/>
      <c r="I65" s="4"/>
    </row>
    <row r="66" spans="1:9">
      <c r="A66" s="2" t="s">
        <v>334</v>
      </c>
      <c r="B66" s="3" t="s">
        <v>335</v>
      </c>
      <c r="C66" s="3" t="s">
        <v>336</v>
      </c>
      <c r="D66" s="3" t="s">
        <v>337</v>
      </c>
      <c r="E66" s="3" t="s">
        <v>338</v>
      </c>
      <c r="F66" s="4" t="s">
        <v>9</v>
      </c>
      <c r="G66" s="4"/>
      <c r="H66" s="5"/>
      <c r="I66" s="4"/>
    </row>
    <row r="67" spans="1:9">
      <c r="A67" s="2" t="s">
        <v>339</v>
      </c>
      <c r="B67" s="3" t="s">
        <v>335</v>
      </c>
      <c r="C67" s="3" t="s">
        <v>340</v>
      </c>
      <c r="D67" s="3" t="s">
        <v>341</v>
      </c>
      <c r="E67" s="3" t="s">
        <v>342</v>
      </c>
      <c r="F67" s="4" t="s">
        <v>9</v>
      </c>
      <c r="G67" s="4"/>
      <c r="H67" s="5"/>
      <c r="I67" s="4"/>
    </row>
    <row r="68" spans="1:9">
      <c r="A68" s="2" t="s">
        <v>343</v>
      </c>
      <c r="B68" s="3" t="s">
        <v>335</v>
      </c>
      <c r="C68" s="3" t="s">
        <v>344</v>
      </c>
      <c r="D68" s="3" t="s">
        <v>345</v>
      </c>
      <c r="E68" s="3" t="s">
        <v>346</v>
      </c>
      <c r="F68" s="4" t="s">
        <v>9</v>
      </c>
      <c r="G68" s="4"/>
      <c r="H68" s="5"/>
      <c r="I68" s="4"/>
    </row>
    <row r="69" spans="1:9">
      <c r="A69" s="2" t="s">
        <v>347</v>
      </c>
      <c r="B69" s="3" t="s">
        <v>335</v>
      </c>
      <c r="C69" s="3" t="s">
        <v>348</v>
      </c>
      <c r="D69" s="3" t="s">
        <v>349</v>
      </c>
      <c r="E69" s="3" t="s">
        <v>350</v>
      </c>
      <c r="F69" s="4" t="s">
        <v>9</v>
      </c>
      <c r="G69" s="4"/>
      <c r="H69" s="5"/>
      <c r="I69" s="4"/>
    </row>
    <row r="70" spans="1:9">
      <c r="A70" s="2" t="s">
        <v>351</v>
      </c>
      <c r="B70" s="3" t="s">
        <v>335</v>
      </c>
      <c r="C70" s="3" t="s">
        <v>352</v>
      </c>
      <c r="D70" s="3" t="s">
        <v>353</v>
      </c>
      <c r="E70" s="3" t="s">
        <v>354</v>
      </c>
      <c r="F70" s="4" t="s">
        <v>9</v>
      </c>
      <c r="G70" s="4"/>
      <c r="H70" s="5"/>
      <c r="I70" s="4"/>
    </row>
    <row r="71" spans="1:9">
      <c r="A71" s="2" t="s">
        <v>355</v>
      </c>
      <c r="B71" s="3" t="s">
        <v>335</v>
      </c>
      <c r="C71" s="3" t="s">
        <v>356</v>
      </c>
      <c r="D71" s="3" t="s">
        <v>357</v>
      </c>
      <c r="E71" s="3" t="s">
        <v>358</v>
      </c>
      <c r="F71" s="4" t="s">
        <v>9</v>
      </c>
      <c r="G71" s="4"/>
      <c r="H71" s="5"/>
      <c r="I71" s="4"/>
    </row>
    <row r="72" spans="1:9">
      <c r="A72" s="2" t="s">
        <v>359</v>
      </c>
      <c r="B72" s="3" t="s">
        <v>335</v>
      </c>
      <c r="C72" s="3" t="s">
        <v>360</v>
      </c>
      <c r="D72" s="3" t="s">
        <v>361</v>
      </c>
      <c r="E72" s="3" t="s">
        <v>362</v>
      </c>
      <c r="F72" s="4" t="s">
        <v>9</v>
      </c>
      <c r="G72" s="4"/>
      <c r="H72" s="5"/>
      <c r="I72" s="4"/>
    </row>
  </sheetData>
  <autoFilter ref="A1:I72"/>
  <conditionalFormatting sqref="F2:F72">
    <cfRule type="cellIs" dxfId="0" priority="1" operator="equal">
      <formula>"Pass"</formula>
    </cfRule>
    <cfRule type="cellIs" dxfId="1" priority="2" operator="equal">
      <formula>"Fail"</formula>
    </cfRule>
    <cfRule type="cellIs" dxfId="2" priority="3" operator="equal">
      <formula>"Blocked"</formula>
    </cfRule>
  </conditionalFormatting>
  <dataValidations count="1">
    <dataValidation type="list" errorStyle="stop" operator="between" allowBlank="0" showDropDown="0" showInputMessage="0" showErrorMessage="1" errorTitle="Result" error="Pick Not run, Pass, Fail or Blocked." sqref="F2:F72">
      <formula1>"Not run,Pass,Fail,Blocked"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0" workbookViewId="0" showGridLines="true" showRowColHeaders="1">
      <selection activeCell="A13" sqref="A13"/>
    </sheetView>
  </sheetViews>
  <sheetFormatPr defaultRowHeight="14.4" outlineLevelRow="0" outlineLevelCol="0"/>
  <cols>
    <col min="1" max="1" width="28" customWidth="true" style="0"/>
    <col min="2" max="2" width="11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</cols>
  <sheetData>
    <row r="1" spans="1:8">
      <c r="A1" s="6" t="s">
        <v>363</v>
      </c>
    </row>
    <row r="2" spans="1:8">
      <c r="A2" s="7" t="s">
        <v>364</v>
      </c>
    </row>
    <row r="4" spans="1:8">
      <c r="A4" s="1" t="s">
        <v>79</v>
      </c>
      <c r="B4" s="1" t="s">
        <v>365</v>
      </c>
      <c r="C4" s="1" t="s">
        <v>11</v>
      </c>
      <c r="D4" s="1" t="s">
        <v>13</v>
      </c>
      <c r="E4" s="1" t="s">
        <v>15</v>
      </c>
      <c r="F4" s="1" t="s">
        <v>9</v>
      </c>
      <c r="G4" s="1" t="s">
        <v>366</v>
      </c>
      <c r="H4" s="1" t="s">
        <v>367</v>
      </c>
    </row>
    <row r="5" spans="1:8">
      <c r="A5" s="8" t="s">
        <v>84</v>
      </c>
      <c r="B5" s="10">
        <f>COUNTIF('Test cases'!$B$2:$B$72,A5)</f>
        <v>11</v>
      </c>
      <c r="C5" s="10">
        <f>_xlfn.COUNTIFS('Test cases'!$B$2:$B$72,A5,'Test cases'!$F$2:$F$72,"Pass")</f>
        <v>0</v>
      </c>
      <c r="D5" s="10">
        <f>_xlfn.COUNTIFS('Test cases'!$B$2:$B$72,A5,'Test cases'!$F$2:$F$72,"Fail")</f>
        <v>0</v>
      </c>
      <c r="E5" s="10">
        <f>_xlfn.COUNTIFS('Test cases'!$B$2:$B$72,A5,'Test cases'!$F$2:$F$72,"Blocked")</f>
        <v>0</v>
      </c>
      <c r="F5" s="10">
        <f>B5-C5-D5-E5</f>
        <v>11</v>
      </c>
      <c r="G5" s="11">
        <f>IF(B5=0,0,(C5+D5+E5)/B5)</f>
        <v>0</v>
      </c>
      <c r="H5" s="11">
        <f>IF(C5+D5=0,0,C5/(C5+D5))</f>
        <v>0</v>
      </c>
    </row>
    <row r="6" spans="1:8">
      <c r="A6" s="8" t="s">
        <v>125</v>
      </c>
      <c r="B6" s="10">
        <f>COUNTIF('Test cases'!$B$2:$B$72,A6)</f>
        <v>19</v>
      </c>
      <c r="C6" s="10">
        <f>_xlfn.COUNTIFS('Test cases'!$B$2:$B$72,A6,'Test cases'!$F$2:$F$72,"Pass")</f>
        <v>0</v>
      </c>
      <c r="D6" s="10">
        <f>_xlfn.COUNTIFS('Test cases'!$B$2:$B$72,A6,'Test cases'!$F$2:$F$72,"Fail")</f>
        <v>0</v>
      </c>
      <c r="E6" s="10">
        <f>_xlfn.COUNTIFS('Test cases'!$B$2:$B$72,A6,'Test cases'!$F$2:$F$72,"Blocked")</f>
        <v>0</v>
      </c>
      <c r="F6" s="10">
        <f>B6-C6-D6-E6</f>
        <v>19</v>
      </c>
      <c r="G6" s="11">
        <f>IF(B6=0,0,(C6+D6+E6)/B6)</f>
        <v>0</v>
      </c>
      <c r="H6" s="11">
        <f>IF(C6+D6=0,0,C6/(C6+D6))</f>
        <v>0</v>
      </c>
    </row>
    <row r="7" spans="1:8">
      <c r="A7" s="8" t="s">
        <v>196</v>
      </c>
      <c r="B7" s="10">
        <f>COUNTIF('Test cases'!$B$2:$B$72,A7)</f>
        <v>14</v>
      </c>
      <c r="C7" s="10">
        <f>_xlfn.COUNTIFS('Test cases'!$B$2:$B$72,A7,'Test cases'!$F$2:$F$72,"Pass")</f>
        <v>0</v>
      </c>
      <c r="D7" s="10">
        <f>_xlfn.COUNTIFS('Test cases'!$B$2:$B$72,A7,'Test cases'!$F$2:$F$72,"Fail")</f>
        <v>0</v>
      </c>
      <c r="E7" s="10">
        <f>_xlfn.COUNTIFS('Test cases'!$B$2:$B$72,A7,'Test cases'!$F$2:$F$72,"Blocked")</f>
        <v>0</v>
      </c>
      <c r="F7" s="10">
        <f>B7-C7-D7-E7</f>
        <v>14</v>
      </c>
      <c r="G7" s="11">
        <f>IF(B7=0,0,(C7+D7+E7)/B7)</f>
        <v>0</v>
      </c>
      <c r="H7" s="11">
        <f>IF(C7+D7=0,0,C7/(C7+D7))</f>
        <v>0</v>
      </c>
    </row>
    <row r="8" spans="1:8">
      <c r="A8" s="8" t="s">
        <v>253</v>
      </c>
      <c r="B8" s="10">
        <f>COUNTIF('Test cases'!$B$2:$B$72,A8)</f>
        <v>14</v>
      </c>
      <c r="C8" s="10">
        <f>_xlfn.COUNTIFS('Test cases'!$B$2:$B$72,A8,'Test cases'!$F$2:$F$72,"Pass")</f>
        <v>0</v>
      </c>
      <c r="D8" s="10">
        <f>_xlfn.COUNTIFS('Test cases'!$B$2:$B$72,A8,'Test cases'!$F$2:$F$72,"Fail")</f>
        <v>0</v>
      </c>
      <c r="E8" s="10">
        <f>_xlfn.COUNTIFS('Test cases'!$B$2:$B$72,A8,'Test cases'!$F$2:$F$72,"Blocked")</f>
        <v>0</v>
      </c>
      <c r="F8" s="10">
        <f>B8-C8-D8-E8</f>
        <v>14</v>
      </c>
      <c r="G8" s="11">
        <f>IF(B8=0,0,(C8+D8+E8)/B8)</f>
        <v>0</v>
      </c>
      <c r="H8" s="11">
        <f>IF(C8+D8=0,0,C8/(C8+D8))</f>
        <v>0</v>
      </c>
    </row>
    <row r="9" spans="1:8">
      <c r="A9" s="8" t="s">
        <v>310</v>
      </c>
      <c r="B9" s="10">
        <f>COUNTIF('Test cases'!$B$2:$B$72,A9)</f>
        <v>6</v>
      </c>
      <c r="C9" s="10">
        <f>_xlfn.COUNTIFS('Test cases'!$B$2:$B$72,A9,'Test cases'!$F$2:$F$72,"Pass")</f>
        <v>0</v>
      </c>
      <c r="D9" s="10">
        <f>_xlfn.COUNTIFS('Test cases'!$B$2:$B$72,A9,'Test cases'!$F$2:$F$72,"Fail")</f>
        <v>0</v>
      </c>
      <c r="E9" s="10">
        <f>_xlfn.COUNTIFS('Test cases'!$B$2:$B$72,A9,'Test cases'!$F$2:$F$72,"Blocked")</f>
        <v>0</v>
      </c>
      <c r="F9" s="10">
        <f>B9-C9-D9-E9</f>
        <v>6</v>
      </c>
      <c r="G9" s="11">
        <f>IF(B9=0,0,(C9+D9+E9)/B9)</f>
        <v>0</v>
      </c>
      <c r="H9" s="11">
        <f>IF(C9+D9=0,0,C9/(C9+D9))</f>
        <v>0</v>
      </c>
    </row>
    <row r="10" spans="1:8">
      <c r="A10" s="8" t="s">
        <v>335</v>
      </c>
      <c r="B10" s="10">
        <f>COUNTIF('Test cases'!$B$2:$B$72,A10)</f>
        <v>7</v>
      </c>
      <c r="C10" s="10">
        <f>_xlfn.COUNTIFS('Test cases'!$B$2:$B$72,A10,'Test cases'!$F$2:$F$72,"Pass")</f>
        <v>0</v>
      </c>
      <c r="D10" s="10">
        <f>_xlfn.COUNTIFS('Test cases'!$B$2:$B$72,A10,'Test cases'!$F$2:$F$72,"Fail")</f>
        <v>0</v>
      </c>
      <c r="E10" s="10">
        <f>_xlfn.COUNTIFS('Test cases'!$B$2:$B$72,A10,'Test cases'!$F$2:$F$72,"Blocked")</f>
        <v>0</v>
      </c>
      <c r="F10" s="10">
        <f>B10-C10-D10-E10</f>
        <v>7</v>
      </c>
      <c r="G10" s="11">
        <f>IF(B10=0,0,(C10+D10+E10)/B10)</f>
        <v>0</v>
      </c>
      <c r="H10" s="11">
        <f>IF(C10+D10=0,0,C10/(C10+D10))</f>
        <v>0</v>
      </c>
    </row>
    <row r="11" spans="1:8">
      <c r="A11" s="9" t="s">
        <v>368</v>
      </c>
      <c r="B11" s="12">
        <f>SUM(B5:B10)</f>
        <v>71</v>
      </c>
      <c r="C11" s="12">
        <f>SUM(C5:C10)</f>
        <v>0</v>
      </c>
      <c r="D11" s="12">
        <f>SUM(D5:D10)</f>
        <v>0</v>
      </c>
      <c r="E11" s="12">
        <f>SUM(E5:E10)</f>
        <v>0</v>
      </c>
      <c r="F11" s="12">
        <f>SUM(F5:F10)</f>
        <v>71</v>
      </c>
      <c r="G11" s="13">
        <f>IF(B11=0,0,(C11+D11+E11)/B11)</f>
        <v>0</v>
      </c>
      <c r="H11" s="13">
        <f>IF(C11+D11=0,0,C11/(C11+D11))</f>
        <v>0</v>
      </c>
    </row>
    <row r="13" spans="1:8">
      <c r="A13" s="7" t="s">
        <v>369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Test cases</vt:lpstr>
      <vt:lpstr>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FixMyPC QA</dc:creator>
  <cp:lastModifiedBy>Unknown Creator</cp:lastModifiedBy>
  <dcterms:created xsi:type="dcterms:W3CDTF">2026-10-21T08:21:45+02:00</dcterms:created>
  <dcterms:modified xsi:type="dcterms:W3CDTF">2026-10-21T08:21:45+02:00</dcterms:modified>
  <dc:title>Returns &amp; Exchanges - QA Test Cases</dc:title>
  <dc:description/>
  <dc:subject/>
  <cp:keywords/>
  <cp:category/>
</cp:coreProperties>
</file>