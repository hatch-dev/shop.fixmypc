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over" sheetId="1" r:id="rId4"/>
    <sheet name="Test Cases" sheetId="2" r:id="rId5"/>
    <sheet name="Dashboard" sheetId="3" r:id="rId6"/>
    <sheet name="Traceability" sheetId="4" r:id="rId7"/>
    <sheet name="Defect Log" sheetId="5" r:id="rId8"/>
    <sheet name="Test Data" sheetId="6" r:id="rId9"/>
    <sheet name="Environments" sheetId="7" r:id="rId10"/>
  </sheets>
  <definedNames>
    <definedName name="_xlnm._FilterDatabase" localSheetId="1" hidden="1">'Test Cases'!$A$1:$O$643</definedName>
    <definedName name="_xlnm.Print_Titles" localSheetId="1">'Test Cases'!$1:$1</definedName>
    <definedName name="_xlnm.Print_Area" localSheetId="1">'Test Cases'!$A$1:$O$643</definedName>
    <definedName name="_xlnm._FilterDatabase" localSheetId="3" hidden="1">'Traceability'!$A$1:$G$34</definedName>
    <definedName name="_xlnm._FilterDatabase" localSheetId="4" hidden="1">'Defect Log'!$A$1:$Q$300</definedName>
    <definedName name="_xlnm._FilterDatabase" localSheetId="5" hidden="1">'Test Data'!$A$1:$D$55</definedName>
  </definedNames>
  <calcPr calcId="999999" calcMode="auto" calcCompleted="0" fullCalcOnLoad="1" forceFullCalc="1"/>
</workbook>
</file>

<file path=xl/sharedStrings.xml><?xml version="1.0" encoding="utf-8"?>
<sst xmlns="http://schemas.openxmlformats.org/spreadsheetml/2006/main" uniqueCount="4932">
  <si>
    <t>FixMyPC - Master Test Case Suite</t>
  </si>
  <si>
    <t>Laravel 8 API + Nuxt admin panel and storefront - multi-vendor e-commerce platform</t>
  </si>
  <si>
    <t>Document</t>
  </si>
  <si>
    <t>Master Test Case Suite</t>
  </si>
  <si>
    <t>Version</t>
  </si>
  <si>
    <t>Prepared</t>
  </si>
  <si>
    <t>09 Sep 2026</t>
  </si>
  <si>
    <t>Total test cases</t>
  </si>
  <si>
    <t>Application under test</t>
  </si>
  <si>
    <t>FixMyPC (Laravel 8 REST API, Nuxt admin-panel, Nuxt frontend-panel)</t>
  </si>
  <si>
    <t>Scope</t>
  </si>
  <si>
    <t>Authentication, RBAC, catalogue, inventory, pricing and promotions, vouchers, cart, checkout, payments, orders, wallet and loyalty, storefront, search, reviews, vendor and procurement, POS, CMS, settings, customer account, security, API, performance, responsive, accessibility, compatibility, localisation, database, error handling, installation and end-to-end journeys.</t>
  </si>
  <si>
    <t>Out of scope</t>
  </si>
  <si>
    <t>Third-party gateway internals, ISP and DNS infrastructure, and any module explicitly deferred by the release plan.</t>
  </si>
  <si>
    <t>HOW TO USE THIS WORKBOOK</t>
  </si>
  <si>
    <t>Test Cases</t>
  </si>
  <si>
    <t>The master sheet. One row per test case. Filters are on and the header row is frozen. Fill in Actual Result and Status as you execute; everything else is pre-written.</t>
  </si>
  <si>
    <t>Status values</t>
  </si>
  <si>
    <t>Not Executed / Pass / Fail / Blocked / Deferred / N-A. Pick from the dropdown - the Dashboard counts depend on these exact values.</t>
  </si>
  <si>
    <t>Priority</t>
  </si>
  <si>
    <t>High / Medium / Low - execution order. Run every High case before any Medium.</t>
  </si>
  <si>
    <t>Severity</t>
  </si>
  <si>
    <t>Blocker / Critical / Major / Minor - the business impact if the case fails. Any Blocker failure stops the release.</t>
  </si>
  <si>
    <t>Dashboard</t>
  </si>
  <si>
    <t>Live counts by status, priority, severity and module. It reads the Test Cases sheet directly, so it updates as you fill Status in.</t>
  </si>
  <si>
    <t>Defect Log</t>
  </si>
  <si>
    <t>Raise one row per failure. Reference the Test Case ID so a defect always traces back to a case.</t>
  </si>
  <si>
    <t>Test Data</t>
  </si>
  <si>
    <t>Shared accounts, cards, and reference values used across the suite. Set these up before the first cycle.</t>
  </si>
  <si>
    <t>Environments</t>
  </si>
  <si>
    <t>The browser, device and environment matrix the Environment column refers to.</t>
  </si>
  <si>
    <t>Traceability</t>
  </si>
  <si>
    <t>Module-level coverage summary - which areas are covered, by how many cases, and at what risk weighting.</t>
  </si>
  <si>
    <t>NOTE ON RISK-WEIGHTED CASES</t>
  </si>
  <si>
    <t>Cases whose Remarks cite a QA audit reference (for example ORD-01, PRC-03, PAY-01, SEC-03, STK-02) are regression checks against findings recorded in reference/qa/qa-audit-2026-09-09.html. They target known weak points in pricing reconciliation, payment verification, stock handling, order lifecycle and access control, and should be executed first in every cycle regardless of module order.</t>
  </si>
  <si>
    <t>Test Case ID</t>
  </si>
  <si>
    <t>Module</t>
  </si>
  <si>
    <t>Feature / Functionality</t>
  </si>
  <si>
    <t>Test Scenario</t>
  </si>
  <si>
    <t>Preconditions</t>
  </si>
  <si>
    <t>Test Steps</t>
  </si>
  <si>
    <t>Expected Result</t>
  </si>
  <si>
    <t>Actual Result</t>
  </si>
  <si>
    <t>Test Type</t>
  </si>
  <si>
    <t>Environment</t>
  </si>
  <si>
    <t>Status</t>
  </si>
  <si>
    <t>Remarks</t>
  </si>
  <si>
    <t>AUTH-001</t>
  </si>
  <si>
    <t>Authentication</t>
  </si>
  <si>
    <t>Personal account registration</t>
  </si>
  <si>
    <t>Register a new Personal account with all valid details</t>
  </si>
  <si>
    <t>Storefront reachable; email not already in the users table</t>
  </si>
  <si>
    <t>1. Open /register
2. Choose account type "Personal"
3. Enter name, email, phone and password
4. Tick the terms checkbox
5. Click Register</t>
  </si>
  <si>
    <t>name=John Tester; email=qa.personal01@example.com; phone=+447700900001; password=Passw0rdTest1</t>
  </si>
  <si>
    <t>HTTP 200; account created; verification code emailed; user advanced to the verify step; users row stores a bcrypt hash, never plain text</t>
  </si>
  <si>
    <t>High</t>
  </si>
  <si>
    <t>Critical</t>
  </si>
  <si>
    <t>Functional / Positive</t>
  </si>
  <si>
    <t>Staging - Chrome 126 (Win 11)</t>
  </si>
  <si>
    <t>Not Executed</t>
  </si>
  <si>
    <t>AUTH-002</t>
  </si>
  <si>
    <t>Business account registration</t>
  </si>
  <si>
    <t>Register a Business account supplying the company block</t>
  </si>
  <si>
    <t>Email not registered</t>
  </si>
  <si>
    <t>1. Open /register
2. Choose "Business"
3. Fill the base fields
4. Fill company_name, sector, billing_address
5. Submit</t>
  </si>
  <si>
    <t>company_name=Acme Ltd; sector=Retail; billing_address=1 High St, London, E1 6AN</t>
  </si>
  <si>
    <t>Account created with account_type=business and the user_business_profiles row persisted</t>
  </si>
  <si>
    <t>Major</t>
  </si>
  <si>
    <t>AUTH-003</t>
  </si>
  <si>
    <t>Trade account registration</t>
  </si>
  <si>
    <t>Register a Trade account supplying the full trade block</t>
  </si>
  <si>
    <t>1. Open /register
2. Choose "Trade"
3. Fill base plus company_name, trade, vat_number, billing_address, expected_spend
4. Tick the resale confirmation
5. Submit</t>
  </si>
  <si>
    <t>vat_number=GB123456789; trade=IT Services; expected_spend=25000</t>
  </si>
  <si>
    <t>Trade application created in pending state; account_type=trade; the record appears under Admin &gt; Trade Applications</t>
  </si>
  <si>
    <t>AUTH-004</t>
  </si>
  <si>
    <t>Registration - required fields</t>
  </si>
  <si>
    <t>Submit the registration form completely blank</t>
  </si>
  <si>
    <t>On /register</t>
  </si>
  <si>
    <t>1. Open /register
2. Click Register without entering anything</t>
  </si>
  <si>
    <t>all fields empty</t>
  </si>
  <si>
    <t>Inline errors on name, email, phone, account_type, password and terms; no user row is created</t>
  </si>
  <si>
    <t>Validation / Negative</t>
  </si>
  <si>
    <t>AUTH-005</t>
  </si>
  <si>
    <t>Registration - email format</t>
  </si>
  <si>
    <t>Reject malformed email addresses</t>
  </si>
  <si>
    <t>1. Enter each malformed value in the email field
2. Submit</t>
  </si>
  <si>
    <t>plainaddress | qa@ | @example.com | qa@@example.com | qa me@example.com | qa@example</t>
  </si>
  <si>
    <t>"Enter a valid email" is shown for every value; no account is created</t>
  </si>
  <si>
    <t>AUTH-006</t>
  </si>
  <si>
    <t>Registration - password strength</t>
  </si>
  <si>
    <t>Password must be at least 10 chars with a capital and a digit</t>
  </si>
  <si>
    <t>1. Try each password value in turn
2. Submit</t>
  </si>
  <si>
    <t>Short1 | alllowercase1 | ALLUPPERCASE1 | NoDigitsHere | Passw0rdTest1</t>
  </si>
  <si>
    <t>The first four are rejected with "Use at least 10 characters, with a capital letter and a number."; the last is accepted</t>
  </si>
  <si>
    <t>AUTH-007</t>
  </si>
  <si>
    <t>Registration - password boundary</t>
  </si>
  <si>
    <t>Exactly 9 / 10 / 11 characters with capital plus digit</t>
  </si>
  <si>
    <t>1. Submit each password value in turn</t>
  </si>
  <si>
    <t>Passwor1A (9) | Password1A (10) | Password12A (11)</t>
  </si>
  <si>
    <t>9 chars rejected; 10 and 11 accepted - confirms min:10 is inclusive</t>
  </si>
  <si>
    <t>Medium</t>
  </si>
  <si>
    <t>Minor</t>
  </si>
  <si>
    <t>Boundary</t>
  </si>
  <si>
    <t>AUTH-008</t>
  </si>
  <si>
    <t>Registration - duplicate email</t>
  </si>
  <si>
    <t>Register twice with the same email address</t>
  </si>
  <si>
    <t>qa.personal01@example.com already registered</t>
  </si>
  <si>
    <t>1. Register again using the same email</t>
  </si>
  <si>
    <t>email=qa.personal01@example.com</t>
  </si>
  <si>
    <t>Rejected with a duplicate-email message; exactly one users row exists</t>
  </si>
  <si>
    <t>Negative</t>
  </si>
  <si>
    <t>AUTH-009</t>
  </si>
  <si>
    <t>Registration - duplicate email casing</t>
  </si>
  <si>
    <t>Same address supplied in a different letter case</t>
  </si>
  <si>
    <t>qa.personal01@example.com exists</t>
  </si>
  <si>
    <t>1. Register with QA.Personal01@Example.com</t>
  </si>
  <si>
    <t>QA.Personal01@Example.com</t>
  </si>
  <si>
    <t>Treated as the same account and rejected - email matching must be case-insensitive</t>
  </si>
  <si>
    <t>Negative / Edge</t>
  </si>
  <si>
    <t>AUTH-010</t>
  </si>
  <si>
    <t>Registration - terms checkbox</t>
  </si>
  <si>
    <t>Submit without accepting the terms</t>
  </si>
  <si>
    <t>All other fields valid</t>
  </si>
  <si>
    <t>1. Fill the form
2. Leave the terms box unticked
3. Submit</t>
  </si>
  <si>
    <t>terms=unchecked</t>
  </si>
  <si>
    <t>"Tick the box to continue." is shown and registration is blocked</t>
  </si>
  <si>
    <t>AUTH-011</t>
  </si>
  <si>
    <t>Trade - resale confirmation</t>
  </si>
  <si>
    <t>Trade signup without resale_confirmed</t>
  </si>
  <si>
    <t>Account type set to Trade</t>
  </si>
  <si>
    <t>1. Fill the trade fields
2. Leave the resale confirmation unticked
3. Submit</t>
  </si>
  <si>
    <t>resale_confirmed=false</t>
  </si>
  <si>
    <t>"Trade accounts need this confirmation." is shown; signup blocked</t>
  </si>
  <si>
    <t>AUTH-012</t>
  </si>
  <si>
    <t>Registration - account_type whitelist</t>
  </si>
  <si>
    <t>Post an account_type outside the allowed set</t>
  </si>
  <si>
    <t>API client with an otherwise valid payload</t>
  </si>
  <si>
    <t>1. POST /api/user/signup with account_type=superadmin</t>
  </si>
  <si>
    <t>account_type=superadmin</t>
  </si>
  <si>
    <t>Validation error - only personal, business and trade are accepted; no privileged account is created</t>
  </si>
  <si>
    <t>Security / Negative</t>
  </si>
  <si>
    <t>Staging - Postman / REST client</t>
  </si>
  <si>
    <t>Mass-assignment probe</t>
  </si>
  <si>
    <t>AUTH-013</t>
  </si>
  <si>
    <t>Registration - field length limits</t>
  </si>
  <si>
    <t>Very long values in name and email</t>
  </si>
  <si>
    <t>1. Paste a 300-character name and a 250-character local part
2. Submit</t>
  </si>
  <si>
    <t>name = A x300; email = &lt;250 chars&gt;@example.com</t>
  </si>
  <si>
    <t>Values are rejected or safely truncated to the column width; no HTTP 500 and no SQL truncation warning</t>
  </si>
  <si>
    <t>Boundary / Negative</t>
  </si>
  <si>
    <t>AUTH-014</t>
  </si>
  <si>
    <t>Registration - script injection</t>
  </si>
  <si>
    <t>HTML/JS payload in the name field</t>
  </si>
  <si>
    <t>1. Enter the payload as the name
2. Register
3. View the name in the profile and in the admin user list</t>
  </si>
  <si>
    <t>name=&lt;script&gt;alert(1)&lt;/script&gt;</t>
  </si>
  <si>
    <t>The value is stored escaped and rendered as literal text in both storefront and admin; no alert fires</t>
  </si>
  <si>
    <t>Security / XSS</t>
  </si>
  <si>
    <t>AUTH-015</t>
  </si>
  <si>
    <t>Email verification code</t>
  </si>
  <si>
    <t>Verify a new account with the emailed code</t>
  </si>
  <si>
    <t>Account registered and code sent</t>
  </si>
  <si>
    <t>1. Read the code from the inbox
2. Enter it on the verify screen
3. Submit</t>
  </si>
  <si>
    <t>code = value from email</t>
  </si>
  <si>
    <t>Account is marked verified and the user is signed in or sent to login</t>
  </si>
  <si>
    <t>AUTH-016</t>
  </si>
  <si>
    <t>Email verification - wrong code</t>
  </si>
  <si>
    <t>Enter an incorrect verification code</t>
  </si>
  <si>
    <t>Account awaiting verification</t>
  </si>
  <si>
    <t>1. Enter a wrong 4-6 digit code
2. Submit</t>
  </si>
  <si>
    <t>code=0000</t>
  </si>
  <si>
    <t>Rejected with a generic error; the account stays unverified</t>
  </si>
  <si>
    <t>AUTH-017</t>
  </si>
  <si>
    <t>Verification code brute force</t>
  </si>
  <si>
    <t>Repeatedly guess the verification code</t>
  </si>
  <si>
    <t>1. POST /api/user/verify 25 times with different codes within one minute</t>
  </si>
  <si>
    <t>codes 0000 to 0024</t>
  </si>
  <si>
    <t>Attempts are throttled or locked after a small number of failures and the code is invalidated - guessing must not be unlimited</t>
  </si>
  <si>
    <t>QA audit flagged codes as brute-forceable; regression check</t>
  </si>
  <si>
    <t>AUTH-018</t>
  </si>
  <si>
    <t>Verification code expiry</t>
  </si>
  <si>
    <t>Use a code after its validity window</t>
  </si>
  <si>
    <t>Code issued longer ago than the configured TTL</t>
  </si>
  <si>
    <t>1. Wait past the TTL
2. Submit the old code</t>
  </si>
  <si>
    <t>stale code</t>
  </si>
  <si>
    <t>Rejected as expired; a fresh code can be requested</t>
  </si>
  <si>
    <t>Negative / Boundary</t>
  </si>
  <si>
    <t>AUTH-019</t>
  </si>
  <si>
    <t>Login with valid credentials</t>
  </si>
  <si>
    <t>Sign in as a verified customer</t>
  </si>
  <si>
    <t>Verified account exists</t>
  </si>
  <si>
    <t>1. Open /login
2. Enter email and password
3. Submit</t>
  </si>
  <si>
    <t>qa.personal01@example.com / Passw0rdTest1</t>
  </si>
  <si>
    <t>HTTP 200; a Passport token carrying the user scope is returned; the user lands on the dashboard and the header shows the account menu</t>
  </si>
  <si>
    <t>AUTH-020</t>
  </si>
  <si>
    <t>Login with wrong password</t>
  </si>
  <si>
    <t>Sign in with a bad password</t>
  </si>
  <si>
    <t>Account exists</t>
  </si>
  <si>
    <t>1. Enter a valid email with the wrong password
2. Submit</t>
  </si>
  <si>
    <t>qa.personal01@example.com / WrongPass99</t>
  </si>
  <si>
    <t>Generic invalid-credentials error; no token issued; the message does not reveal whether the email exists</t>
  </si>
  <si>
    <t>Negative / Security</t>
  </si>
  <si>
    <t>AUTH-021</t>
  </si>
  <si>
    <t>Login - unknown email</t>
  </si>
  <si>
    <t>Sign in with an email that is not registered</t>
  </si>
  <si>
    <t>No matching account</t>
  </si>
  <si>
    <t>1. Enter an unregistered email with any password
2. Submit</t>
  </si>
  <si>
    <t>nobody@example.com / Passw0rdTest1</t>
  </si>
  <si>
    <t>The same generic error and a comparable response time as AUTH-020 - no account enumeration</t>
  </si>
  <si>
    <t>AUTH-022</t>
  </si>
  <si>
    <t>Login - unverified account</t>
  </si>
  <si>
    <t>Sign in before verifying the email</t>
  </si>
  <si>
    <t>Account registered but not verified</t>
  </si>
  <si>
    <t>1. Attempt to log in</t>
  </si>
  <si>
    <t>unverified account</t>
  </si>
  <si>
    <t>Blocked with a verify-your-email prompt and an option to resend the code</t>
  </si>
  <si>
    <t>AUTH-023</t>
  </si>
  <si>
    <t>Login - deactivated account</t>
  </si>
  <si>
    <t>Sign in to a deactivated or blocked account</t>
  </si>
  <si>
    <t>Admin has deactivated the account</t>
  </si>
  <si>
    <t>deactivated account</t>
  </si>
  <si>
    <t>Login refused with an account-disabled message; no token issued</t>
  </si>
  <si>
    <t>AUTH-024</t>
  </si>
  <si>
    <t>Login - password minimum length</t>
  </si>
  <si>
    <t>Password shorter than the 6-character API rule</t>
  </si>
  <si>
    <t>API client available</t>
  </si>
  <si>
    <t>1. POST /api/user/signin with a 5-character password</t>
  </si>
  <si>
    <t>password=Abc12</t>
  </si>
  <si>
    <t>Validation error returned before any credential check runs</t>
  </si>
  <si>
    <t>Low</t>
  </si>
  <si>
    <t>Validation / Boundary</t>
  </si>
  <si>
    <t>AUTH-025</t>
  </si>
  <si>
    <t>Login rate limiting</t>
  </si>
  <si>
    <t>Repeated failed logins from one client</t>
  </si>
  <si>
    <t>1. Submit 20 wrong passwords for the same email within a minute</t>
  </si>
  <si>
    <t>20 x WrongPass</t>
  </si>
  <si>
    <t>Throttling or lockout applies (HTTP 429 or a cooldown message); the correct password still works after the cooldown</t>
  </si>
  <si>
    <t>Security / Performance</t>
  </si>
  <si>
    <t>AUTH-026</t>
  </si>
  <si>
    <t>Login - SQL injection</t>
  </si>
  <si>
    <t>SQL payloads in the login fields</t>
  </si>
  <si>
    <t>Login page open</t>
  </si>
  <si>
    <t>1. Enter the payload as the email and then as the password
2. Submit</t>
  </si>
  <si>
    <t>OR 1=1 -- ; admin'--</t>
  </si>
  <si>
    <t>Treated as literal text; login fails; no SQL error surfaces and no session is created</t>
  </si>
  <si>
    <t>AUTH-027</t>
  </si>
  <si>
    <t>Passwordless login code - send</t>
  </si>
  <si>
    <t>Request a one-time login code by email</t>
  </si>
  <si>
    <t>1. POST /api/user/login-code with the email</t>
  </si>
  <si>
    <t>A code is emailed; the response does not disclose whether the address exists</t>
  </si>
  <si>
    <t>AUTH-028</t>
  </si>
  <si>
    <t>Passwordless login code - verify</t>
  </si>
  <si>
    <t>Sign in using a valid one-time code</t>
  </si>
  <si>
    <t>Code just requested</t>
  </si>
  <si>
    <t>1. POST /api/user/login-code/verify with email plus code</t>
  </si>
  <si>
    <t>email plus valid code</t>
  </si>
  <si>
    <t>A token is issued and the code is consumed - replaying the same code fails</t>
  </si>
  <si>
    <t>AUTH-029</t>
  </si>
  <si>
    <t>Login code - reuse</t>
  </si>
  <si>
    <t>Reuse an already-consumed login code</t>
  </si>
  <si>
    <t>Code used once in AUTH-028</t>
  </si>
  <si>
    <t>1. POST the same code a second time</t>
  </si>
  <si>
    <t>used code</t>
  </si>
  <si>
    <t>Rejected - single use is enforced</t>
  </si>
  <si>
    <t>AUTH-030</t>
  </si>
  <si>
    <t>Login code - cross-account</t>
  </si>
  <si>
    <t>Use one account code against another account</t>
  </si>
  <si>
    <t>Codes issued for accounts A and B</t>
  </si>
  <si>
    <t>1. POST the account A code together with the account B email</t>
  </si>
  <si>
    <t>A code plus B email</t>
  </si>
  <si>
    <t>Rejected - codes are bound to the requesting account</t>
  </si>
  <si>
    <t>AUTH-031</t>
  </si>
  <si>
    <t>Two-factor setup (TOTP)</t>
  </si>
  <si>
    <t>Enable app-based 2FA on a customer account</t>
  </si>
  <si>
    <t>Signed-in customer</t>
  </si>
  <si>
    <t>1. Open security settings
2. POST /api/user/two-factor/setup
3. Scan the QR code in an authenticator app
4. POST /confirm with the 6-digit code</t>
  </si>
  <si>
    <t>TOTP code from the authenticator</t>
  </si>
  <si>
    <t>2FA is enabled, recovery codes are shown once, and the status endpoint reports enabled</t>
  </si>
  <si>
    <t>AUTH-032</t>
  </si>
  <si>
    <t>Two-factor challenge at login</t>
  </si>
  <si>
    <t>2FA is demanded on the next sign-in</t>
  </si>
  <si>
    <t>2FA enabled for the account</t>
  </si>
  <si>
    <t>1. Sign in with email and password
2. Observe the challenge screen
3. POST /api/user/two-factor/challenge with the code</t>
  </si>
  <si>
    <t>valid TOTP code</t>
  </si>
  <si>
    <t>No access token is issued until the challenge passes; the correct code completes the login</t>
  </si>
  <si>
    <t>Functional / Security</t>
  </si>
  <si>
    <t>AUTH-033</t>
  </si>
  <si>
    <t>Two-factor - wrong or stale code</t>
  </si>
  <si>
    <t>Fail the 2FA challenge</t>
  </si>
  <si>
    <t>2FA challenge pending</t>
  </si>
  <si>
    <t>1. Submit an incorrect code
2. Submit a code from an expired 30-second window</t>
  </si>
  <si>
    <t>000000; expired TOTP</t>
  </si>
  <si>
    <t>Both are rejected, the challenge handle is never exchanged for a token, and repeated failures are throttled</t>
  </si>
  <si>
    <t>AUTH-034</t>
  </si>
  <si>
    <t>Two-factor via SMS</t>
  </si>
  <si>
    <t>Enable and use the SMS second factor</t>
  </si>
  <si>
    <t>SMS gateway configured; the account has a phone number</t>
  </si>
  <si>
    <t>1. POST two-factor/sms/send
2. Enter the received code at /sms/confirm</t>
  </si>
  <si>
    <t>SMS OTP</t>
  </si>
  <si>
    <t>The SMS is delivered, the code is accepted once, and resend is subject to a cooldown</t>
  </si>
  <si>
    <t>Functional / Integration</t>
  </si>
  <si>
    <t>Staging - iOS Safari 17 + Android Chrome 126</t>
  </si>
  <si>
    <t>AUTH-035</t>
  </si>
  <si>
    <t>Two-factor disable</t>
  </si>
  <si>
    <t>Turn 2FA off</t>
  </si>
  <si>
    <t>2FA is enabled</t>
  </si>
  <si>
    <t>1. POST /api/user/two-factor/disable with a valid current factor or password</t>
  </si>
  <si>
    <t>valid credential</t>
  </si>
  <si>
    <t>2FA is removed, the next login needs no challenge, and the action is written to the security log</t>
  </si>
  <si>
    <t>Functional</t>
  </si>
  <si>
    <t>AUTH-036</t>
  </si>
  <si>
    <t>Forgot password - existing email</t>
  </si>
  <si>
    <t>Request a password reset link</t>
  </si>
  <si>
    <t>1. Open /forgot-password
2. Enter the email
3. Submit</t>
  </si>
  <si>
    <t>qa.personal01@example.com</t>
  </si>
  <si>
    <t>A neutral confirmation is shown and a reset email with a single-use token is delivered</t>
  </si>
  <si>
    <t>AUTH-037</t>
  </si>
  <si>
    <t>Forgot password - unknown email</t>
  </si>
  <si>
    <t>Request a reset for an address that does not exist</t>
  </si>
  <si>
    <t>1. Submit an unregistered email</t>
  </si>
  <si>
    <t>nobody@example.com</t>
  </si>
  <si>
    <t>Identical wording and comparable timing to AUTH-036 - the response must not enumerate accounts</t>
  </si>
  <si>
    <t>QA audit flagged reset-flow enumeration</t>
  </si>
  <si>
    <t>AUTH-038</t>
  </si>
  <si>
    <t>Reset password - valid token</t>
  </si>
  <si>
    <t>Set a new password from the emailed link</t>
  </si>
  <si>
    <t>Reset token issued</t>
  </si>
  <si>
    <t>1. Open the emailed link
2. Enter a new password twice
3. Submit</t>
  </si>
  <si>
    <t>password=NewPassw0rd1</t>
  </si>
  <si>
    <t>The password is updated, the token is consumed, the old password stops working, and existing sessions are invalidated</t>
  </si>
  <si>
    <t>AUTH-039</t>
  </si>
  <si>
    <t>Reset password - token reuse or tamper</t>
  </si>
  <si>
    <t>Reuse or alter the reset token</t>
  </si>
  <si>
    <t>Token already used in AUTH-038</t>
  </si>
  <si>
    <t>1. Reopen the same link
2. Then open the link with one character changed</t>
  </si>
  <si>
    <t>used token; tampered token</t>
  </si>
  <si>
    <t>Both are rejected with "This reset link is not valid."</t>
  </si>
  <si>
    <t>AUTH-040</t>
  </si>
  <si>
    <t>Reset password - expired token</t>
  </si>
  <si>
    <t>Use a reset token after its lifetime</t>
  </si>
  <si>
    <t>Token older than the configured expiry</t>
  </si>
  <si>
    <t>1. Open the stale link
2. Submit a new password</t>
  </si>
  <si>
    <t>expired token</t>
  </si>
  <si>
    <t>Rejected as expired, with a way to request a fresh link</t>
  </si>
  <si>
    <t>AUTH-041</t>
  </si>
  <si>
    <t>Reset password - strength rule</t>
  </si>
  <si>
    <t>The new password must meet the 10/capital/digit rule</t>
  </si>
  <si>
    <t>Valid reset token</t>
  </si>
  <si>
    <t>1. Try weak values, then a compliant one</t>
  </si>
  <si>
    <t>abc | Password1 (9) | Password1A (10)</t>
  </si>
  <si>
    <t>The first two are rejected with the strength message; the 10-character value is accepted</t>
  </si>
  <si>
    <t>AUTH-042</t>
  </si>
  <si>
    <t>Reset password - cross-account token</t>
  </si>
  <si>
    <t>Use the account A token with the account B email</t>
  </si>
  <si>
    <t>Tokens issued for two accounts</t>
  </si>
  <si>
    <t>1. POST /reset-password with the A token and the B email</t>
  </si>
  <si>
    <t>A token plus B email</t>
  </si>
  <si>
    <t>Rejected - token binding is verified server-side</t>
  </si>
  <si>
    <t>AUTH-043</t>
  </si>
  <si>
    <t>Change password when signed in</t>
  </si>
  <si>
    <t>Update the password from the account area</t>
  </si>
  <si>
    <t>1. Open profile security
2. Enter the current and new password
3. Save</t>
  </si>
  <si>
    <t>current=Passw0rdTest1; new=NewPassw0rd1</t>
  </si>
  <si>
    <t>The password changes only when the current password is correct, and a confirmation is shown</t>
  </si>
  <si>
    <t>AUTH-044</t>
  </si>
  <si>
    <t>Change password - wrong current</t>
  </si>
  <si>
    <t>Update using an incorrect current password</t>
  </si>
  <si>
    <t>1. Enter a wrong current password with a valid new one
2. Save</t>
  </si>
  <si>
    <t>current=Wrong123; new=NewPassw0rd1</t>
  </si>
  <si>
    <t>Rejected; the stored password is unchanged</t>
  </si>
  <si>
    <t>AUTH-045</t>
  </si>
  <si>
    <t>Social login - Google</t>
  </si>
  <si>
    <t>Sign in through the Google provider</t>
  </si>
  <si>
    <t>Google OAuth keys configured under Settings &gt; Social login</t>
  </si>
  <si>
    <t>1. Click Continue with Google
2. Complete the consent screen
3. Return through the callback</t>
  </si>
  <si>
    <t>Google test account</t>
  </si>
  <si>
    <t>The account is linked or created, the user is signed in, and the email is captured from the provider</t>
  </si>
  <si>
    <t>Integration / Positive</t>
  </si>
  <si>
    <t>AUTH-046</t>
  </si>
  <si>
    <t>Social login - other providers</t>
  </si>
  <si>
    <t>Sign in through each remaining enabled provider</t>
  </si>
  <si>
    <t>Provider keys configured</t>
  </si>
  <si>
    <t>1. Repeat AUTH-045 for every enabled provider</t>
  </si>
  <si>
    <t>Facebook / Apple test accounts</t>
  </si>
  <si>
    <t>Each provider completes and lands on /social-callback with a valid session</t>
  </si>
  <si>
    <t>AUTH-047</t>
  </si>
  <si>
    <t>Social login - user cancels</t>
  </si>
  <si>
    <t>Abandon the provider consent screen</t>
  </si>
  <si>
    <t>Provider configured</t>
  </si>
  <si>
    <t>1. Start the social login
2. Cancel at the provider</t>
  </si>
  <si>
    <t>no consent given</t>
  </si>
  <si>
    <t>The user returns to /login with a friendly message and no partial account is created</t>
  </si>
  <si>
    <t>Negative / Error handling</t>
  </si>
  <si>
    <t>AUTH-048</t>
  </si>
  <si>
    <t>Social login - email collision</t>
  </si>
  <si>
    <t>The provider email matches an existing password account</t>
  </si>
  <si>
    <t>A password account exists with the same address</t>
  </si>
  <si>
    <t>1. Sign in socially using that address</t>
  </si>
  <si>
    <t>same email</t>
  </si>
  <si>
    <t>Accounts are linked deliberately, or the user is asked to sign in with a password - never a silent takeover</t>
  </si>
  <si>
    <t>Security / Edge</t>
  </si>
  <si>
    <t>AUTH-049</t>
  </si>
  <si>
    <t>Social login - disabled provider</t>
  </si>
  <si>
    <t>The provider is switched off in settings</t>
  </si>
  <si>
    <t>Provider disabled in admin</t>
  </si>
  <si>
    <t>1. Call /api/user/social/redirect/{service}</t>
  </si>
  <si>
    <t>service=google</t>
  </si>
  <si>
    <t>The request is refused and no button is rendered on the storefront</t>
  </si>
  <si>
    <t>AUTH-050</t>
  </si>
  <si>
    <t>Logout</t>
  </si>
  <si>
    <t>Sign out from the storefront</t>
  </si>
  <si>
    <t>1. Click Logout</t>
  </si>
  <si>
    <t>active session</t>
  </si>
  <si>
    <t>The token is revoked server-side, protected API calls with the old token return 401, and the UI returns to the guest state</t>
  </si>
  <si>
    <t>AUTH-051</t>
  </si>
  <si>
    <t>Active session list</t>
  </si>
  <si>
    <t>View the active device sessions</t>
  </si>
  <si>
    <t>Signed in from two browsers</t>
  </si>
  <si>
    <t>1. Open the sessions view or GET /api/user/sessions</t>
  </si>
  <si>
    <t>two active sessions</t>
  </si>
  <si>
    <t>Both sessions are listed with device, IP and last-active time, and a user sees only their own</t>
  </si>
  <si>
    <t>AUTH-052</t>
  </si>
  <si>
    <t>Logout a specific device</t>
  </si>
  <si>
    <t>Revoke one remote session</t>
  </si>
  <si>
    <t>Two active sessions</t>
  </si>
  <si>
    <t>1. POST logout-device with the other session id</t>
  </si>
  <si>
    <t>session id</t>
  </si>
  <si>
    <t>That session becomes unusable immediately while the current session survives</t>
  </si>
  <si>
    <t>AUTH-053</t>
  </si>
  <si>
    <t>Logout other devices</t>
  </si>
  <si>
    <t>Revoke every session except the current one</t>
  </si>
  <si>
    <t>Three active sessions</t>
  </si>
  <si>
    <t>1. POST logout-other-devices</t>
  </si>
  <si>
    <t>three sessions</t>
  </si>
  <si>
    <t>Only the calling session remains valid</t>
  </si>
  <si>
    <t>AUTH-054</t>
  </si>
  <si>
    <t>Revoke another user session (IDOR)</t>
  </si>
  <si>
    <t>Try to revoke a session belonging to a different account</t>
  </si>
  <si>
    <t>Sessions exist for users A and B</t>
  </si>
  <si>
    <t>1. As user A, POST logout-device with the user B session id</t>
  </si>
  <si>
    <t>B session id</t>
  </si>
  <si>
    <t>403 or 404; the B session is untouched</t>
  </si>
  <si>
    <t>Security / IDOR</t>
  </si>
  <si>
    <t>AUTH-055</t>
  </si>
  <si>
    <t>Token expiry</t>
  </si>
  <si>
    <t>Call a protected endpoint with an expired token</t>
  </si>
  <si>
    <t>Token older than constants.auth EXPIRATION_IN_HOURS</t>
  </si>
  <si>
    <t>1. GET /api/user/profile using the stale token</t>
  </si>
  <si>
    <t>expired bearer token</t>
  </si>
  <si>
    <t>401 with a clean JSON error; the UI redirects to login rather than rendering a blank page</t>
  </si>
  <si>
    <t>AUTH-056</t>
  </si>
  <si>
    <t>Scope enforcement</t>
  </si>
  <si>
    <t>Use a customer token against an admin endpoint</t>
  </si>
  <si>
    <t>Valid user-scope token</t>
  </si>
  <si>
    <t>1. GET /api/admin/dashboard with the user token</t>
  </si>
  <si>
    <t>user bearer token</t>
  </si>
  <si>
    <t>401 or 403 - the scope:admin middleware rejects it and no admin data leaks</t>
  </si>
  <si>
    <t>Blocker</t>
  </si>
  <si>
    <t>AUTH-057</t>
  </si>
  <si>
    <t>Account deletion</t>
  </si>
  <si>
    <t>Delete the signed-in account</t>
  </si>
  <si>
    <t>Signed-in customer with no open orders</t>
  </si>
  <si>
    <t>1. Request account deletion
2. Confirm</t>
  </si>
  <si>
    <t>confirmation</t>
  </si>
  <si>
    <t>The account is removed or anonymised, sessions are revoked, and personal data is no longer returned by any endpoint</t>
  </si>
  <si>
    <t>GDPR erasure path</t>
  </si>
  <si>
    <t>AUTH-058</t>
  </si>
  <si>
    <t>Guest token issue</t>
  </si>
  <si>
    <t>Issue an anonymous guest token</t>
  </si>
  <si>
    <t>Fresh browser with no cookies</t>
  </si>
  <si>
    <t>1. POST /api/v1/guest/token</t>
  </si>
  <si>
    <t>no credentials</t>
  </si>
  <si>
    <t>A server-generated, signed guest token is returned - never a value chosen by the client</t>
  </si>
  <si>
    <t>Security / Functional</t>
  </si>
  <si>
    <t>QA audit: guest identity was previously client-generated</t>
  </si>
  <si>
    <t>AUTH-059</t>
  </si>
  <si>
    <t>Guest token forgery</t>
  </si>
  <si>
    <t>Present a hand-written guest token</t>
  </si>
  <si>
    <t>Guest endpoint reachable</t>
  </si>
  <si>
    <t>1. Call a guest endpoint with guest_token set to an arbitrary string</t>
  </si>
  <si>
    <t>guest_token=aaaaaaaaaaaa</t>
  </si>
  <si>
    <t>Rejected by the guest.token middleware; no guest cart is created or read</t>
  </si>
  <si>
    <t>AUTH-060</t>
  </si>
  <si>
    <t>Guest to customer cart merge</t>
  </si>
  <si>
    <t>Sign in after building a guest cart</t>
  </si>
  <si>
    <t>A guest cart holds two items</t>
  </si>
  <si>
    <t>1. Add items as a guest
2. Sign in with an existing account
3. Open the cart</t>
  </si>
  <si>
    <t>2 guest items plus 1 pre-existing account item</t>
  </si>
  <si>
    <t>Guest items merge into the account cart with correct quantities and no duplicate rows</t>
  </si>
  <si>
    <t>Integration / E2E</t>
  </si>
  <si>
    <t>ADM-001</t>
  </si>
  <si>
    <t>Admin Authentication</t>
  </si>
  <si>
    <t>Admin login</t>
  </si>
  <si>
    <t>Sign in to the admin panel with valid credentials</t>
  </si>
  <si>
    <t>An admin account exists with the superadmin role</t>
  </si>
  <si>
    <t>1. Open /admin/login
2. Enter email and password
3. Submit</t>
  </si>
  <si>
    <t>admin@fixmypc.test / Admin@12345</t>
  </si>
  <si>
    <t>HTTP 200; an admin-scope token is issued; the dashboard loads with the sidebar filtered by role</t>
  </si>
  <si>
    <t>ADM-002</t>
  </si>
  <si>
    <t>Admin login - wrong password</t>
  </si>
  <si>
    <t>Sign in with an incorrect admin password</t>
  </si>
  <si>
    <t>Admin account exists</t>
  </si>
  <si>
    <t>1. Enter the admin email with a wrong password
2. Submit</t>
  </si>
  <si>
    <t>admin@fixmypc.test / wrong</t>
  </si>
  <si>
    <t>Generic failure message; no token; the attempt is logged</t>
  </si>
  <si>
    <t>ADM-003</t>
  </si>
  <si>
    <t>Admin login validation</t>
  </si>
  <si>
    <t>Blank or malformed admin login fields</t>
  </si>
  <si>
    <t>On /admin/login</t>
  </si>
  <si>
    <t>1. Submit blank
2. Submit a malformed email
3. Submit a 5-character password</t>
  </si>
  <si>
    <t>empty | not-an-email | Abc12</t>
  </si>
  <si>
    <t>Field-level errors for required, email and min:6 respectively</t>
  </si>
  <si>
    <t>ADM-004</t>
  </si>
  <si>
    <t>Unauthenticated admin signup</t>
  </si>
  <si>
    <t>Create an admin account without being signed in</t>
  </si>
  <si>
    <t>No admin token held</t>
  </si>
  <si>
    <t>1. POST /api/admin/signup with a new username, email and password</t>
  </si>
  <si>
    <t>username=qaadmin; email=qa.admin@example.com; password=Admin@12345</t>
  </si>
  <si>
    <t>The request is refused - self-service admin creation must require an authenticated privileged caller</t>
  </si>
  <si>
    <t>QA audit: admin takeover via unauthenticated request</t>
  </si>
  <si>
    <t>ADM-005</t>
  </si>
  <si>
    <t>Admin forgot password</t>
  </si>
  <si>
    <t>Request an admin password reset</t>
  </si>
  <si>
    <t>1. Open /admin/forgot-password
2. Enter the admin email
3. Submit</t>
  </si>
  <si>
    <t>admin@fixmypc.test</t>
  </si>
  <si>
    <t>A reset code is emailed and a neutral confirmation is shown</t>
  </si>
  <si>
    <t>ADM-006</t>
  </si>
  <si>
    <t>Admin verify code</t>
  </si>
  <si>
    <t>Complete the admin reset with the emailed code</t>
  </si>
  <si>
    <t>Reset code issued</t>
  </si>
  <si>
    <t>1. Open /admin/verify-code
2. Enter the email, code and new password
3. Submit</t>
  </si>
  <si>
    <t>code from email; password=NewAdmin@123</t>
  </si>
  <si>
    <t>The password is updated and the code is consumed; a wrong code is rejected</t>
  </si>
  <si>
    <t>ADM-007</t>
  </si>
  <si>
    <t>Admin session expiry</t>
  </si>
  <si>
    <t>Leave the admin panel idle past the token lifetime</t>
  </si>
  <si>
    <t>Signed-in admin</t>
  </si>
  <si>
    <t>1. Stay idle beyond the configured expiry
2. Click any sidebar item</t>
  </si>
  <si>
    <t>idle session</t>
  </si>
  <si>
    <t>The user is redirected to the admin login with a session-expired notice; no stale data is rendered</t>
  </si>
  <si>
    <t>ADM-008</t>
  </si>
  <si>
    <t>Admin logout</t>
  </si>
  <si>
    <t>Sign out of the admin panel</t>
  </si>
  <si>
    <t>1. Click Logout
2. Press browser Back</t>
  </si>
  <si>
    <t>active admin session</t>
  </si>
  <si>
    <t>The token is revoked and the Back button does not restore an authenticated view</t>
  </si>
  <si>
    <t>ADM-009</t>
  </si>
  <si>
    <t>Direct admin URL without a session</t>
  </si>
  <si>
    <t>Open a deep admin URL while signed out</t>
  </si>
  <si>
    <t>Signed out</t>
  </si>
  <si>
    <t>1. Navigate directly to /admin/orders</t>
  </si>
  <si>
    <t>no session</t>
  </si>
  <si>
    <t>Redirected to the admin login; no order data is fetched or briefly flashed on screen</t>
  </si>
  <si>
    <t>ADM-010</t>
  </si>
  <si>
    <t>Admin profile update</t>
  </si>
  <si>
    <t>Change the signed-in admin username and avatar</t>
  </si>
  <si>
    <t>1. Open /admin/profile
2. Change the username
3. Upload an avatar
4. Save</t>
  </si>
  <si>
    <t>username=QA Admin; avatar=avatar.png (400KB)</t>
  </si>
  <si>
    <t>Both changes persist and are reflected in the header immediately</t>
  </si>
  <si>
    <t>RBAC-001</t>
  </si>
  <si>
    <t>Roles &amp; Permissions</t>
  </si>
  <si>
    <t>Create a role</t>
  </si>
  <si>
    <t>Create a role with a subset of permissions</t>
  </si>
  <si>
    <t>Signed in as superadmin</t>
  </si>
  <si>
    <t>1. Open /admin/roles-permissions
2. Click Add
3. Name the role and tick only the product group
4. Save</t>
  </si>
  <si>
    <t>name=Catalogue Editor; permissions=product.*</t>
  </si>
  <si>
    <t>The role is created and shows only the ticked permissions when reopened</t>
  </si>
  <si>
    <t>RBAC-002</t>
  </si>
  <si>
    <t>Role name required</t>
  </si>
  <si>
    <t>Save a role with no name</t>
  </si>
  <si>
    <t>On the role form</t>
  </si>
  <si>
    <t>1. Leave the name blank
2. Save</t>
  </si>
  <si>
    <t>name empty</t>
  </si>
  <si>
    <t>Validation error; nothing is saved</t>
  </si>
  <si>
    <t>RBAC-003</t>
  </si>
  <si>
    <t>Duplicate role name</t>
  </si>
  <si>
    <t>Create a second role with an existing name</t>
  </si>
  <si>
    <t>Catalogue Editor exists</t>
  </si>
  <si>
    <t>1. Create another role called Catalogue Editor</t>
  </si>
  <si>
    <t>name=Catalogue Editor</t>
  </si>
  <si>
    <t>Rejected as a duplicate</t>
  </si>
  <si>
    <t>RBAC-004</t>
  </si>
  <si>
    <t>Assign a role to an admin</t>
  </si>
  <si>
    <t>Give an admin user a limited role</t>
  </si>
  <si>
    <t>Catalogue Editor role exists</t>
  </si>
  <si>
    <t>1. Open /admin/admins-vendors
2. Edit an admin
3. Assign Catalogue Editor
4. Save</t>
  </si>
  <si>
    <t>admin=qa.editor@example.com</t>
  </si>
  <si>
    <t>The role is stored and the sidebar for that admin shows only permitted sections after re-login</t>
  </si>
  <si>
    <t>RBAC-005</t>
  </si>
  <si>
    <t>Sidebar filtering by permission</t>
  </si>
  <si>
    <t>A limited admin only sees permitted menu items</t>
  </si>
  <si>
    <t>Signed in as the Catalogue Editor</t>
  </si>
  <si>
    <t>1. Sign in and inspect the sidebar</t>
  </si>
  <si>
    <t>Catalogue Editor session</t>
  </si>
  <si>
    <t>Only Products and related permitted entries render; Orders, Settings and Roles are absent</t>
  </si>
  <si>
    <t>Functional / UI</t>
  </si>
  <si>
    <t>RBAC-006</t>
  </si>
  <si>
    <t>API enforcement of permissions</t>
  </si>
  <si>
    <t>A limited admin calls an endpoint outside their role</t>
  </si>
  <si>
    <t>Catalogue Editor token</t>
  </si>
  <si>
    <t>1. GET /api/order/all with the Catalogue Editor token</t>
  </si>
  <si>
    <t>limited admin token</t>
  </si>
  <si>
    <t>403 - permission is enforced on the server, not only by hiding menu items</t>
  </si>
  <si>
    <t>RBAC-007</t>
  </si>
  <si>
    <t>Permission revocation takes effect</t>
  </si>
  <si>
    <t>Remove a permission from an active role</t>
  </si>
  <si>
    <t>Catalogue Editor is signed in elsewhere</t>
  </si>
  <si>
    <t>1. Untick the product permission on the role
2. Save
3. As that admin, retry a product write</t>
  </si>
  <si>
    <t>role updated</t>
  </si>
  <si>
    <t>The next request is refused - no need to wait for a cache to expire, or the cache is invalidated on save</t>
  </si>
  <si>
    <t>RBAC-008</t>
  </si>
  <si>
    <t>Superadmin bypass</t>
  </si>
  <si>
    <t>The superadmin role reaches every module</t>
  </si>
  <si>
    <t>1. Visit each sidebar section in turn</t>
  </si>
  <si>
    <t>superadmin session</t>
  </si>
  <si>
    <t>Every module loads without a permission error</t>
  </si>
  <si>
    <t>RBAC-009</t>
  </si>
  <si>
    <t>Delete a role in use</t>
  </si>
  <si>
    <t>Delete a role that is assigned to an admin</t>
  </si>
  <si>
    <t>Catalogue Editor is assigned to one admin</t>
  </si>
  <si>
    <t>1. Delete the role
2. Observe the affected admin</t>
  </si>
  <si>
    <t>role in use</t>
  </si>
  <si>
    <t>Either the delete is blocked with a clear message, or the admin is safely downgraded - no orphaned role_id and no crash on their next login</t>
  </si>
  <si>
    <t>RBAC-010</t>
  </si>
  <si>
    <t>Vendor role scope</t>
  </si>
  <si>
    <t>A vendor account sees only its own store data</t>
  </si>
  <si>
    <t>Vendor account with products and orders</t>
  </si>
  <si>
    <t>1. Sign in as the vendor
2. Open Products and Orders</t>
  </si>
  <si>
    <t>vendor session</t>
  </si>
  <si>
    <t>Only the vendor own products, orders and withdrawals are listed; other vendors records are never visible</t>
  </si>
  <si>
    <t>RBAC-011</t>
  </si>
  <si>
    <t>Vendor cross-store access</t>
  </si>
  <si>
    <t>A vendor requests another vendor record by id</t>
  </si>
  <si>
    <t>Two vendors with products</t>
  </si>
  <si>
    <t>1. As vendor A, GET /api/product/find/{vendor B product id}</t>
  </si>
  <si>
    <t>B product id</t>
  </si>
  <si>
    <t>403 or 404 - no data from the other store is returned</t>
  </si>
  <si>
    <t>RBAC-012</t>
  </si>
  <si>
    <t>Privilege escalation via role edit</t>
  </si>
  <si>
    <t>A limited admin tries to grant themselves more permissions</t>
  </si>
  <si>
    <t>1. POST /api/role/action with an expanded permission set</t>
  </si>
  <si>
    <t>role payload with superadmin permissions</t>
  </si>
  <si>
    <t>403 - the role module itself is permission-gated</t>
  </si>
  <si>
    <t>RBAC-013</t>
  </si>
  <si>
    <t>Permission list integrity</t>
  </si>
  <si>
    <t>All permission groups seeded are selectable</t>
  </si>
  <si>
    <t>1. Open the role form
2. Compare the groups against the seeder</t>
  </si>
  <si>
    <t>dashboard, product, order, user, setting, role, store, voucher and the rest</t>
  </si>
  <si>
    <t>Every seeded group and permission renders, with no blank labels or duplicates</t>
  </si>
  <si>
    <t>RBAC-014</t>
  </si>
  <si>
    <t>Deactivate an admin account</t>
  </si>
  <si>
    <t>Disable an admin and confirm access ends</t>
  </si>
  <si>
    <t>Active admin with a session</t>
  </si>
  <si>
    <t>1. Set the admin status to inactive
2. As that admin, retry an admin API call</t>
  </si>
  <si>
    <t>status=inactive</t>
  </si>
  <si>
    <t>The existing token stops working and a fresh login is refused</t>
  </si>
  <si>
    <t>CAT-001</t>
  </si>
  <si>
    <t>Catalogue Structure</t>
  </si>
  <si>
    <t>Create a category</t>
  </si>
  <si>
    <t>Create a category with all required fields</t>
  </si>
  <si>
    <t>Signed in with category permission</t>
  </si>
  <si>
    <t>1. Open /admin/categories
2. Click Add
3. Enter title, slug, meta title, meta description
4. Upload an icon and banner
5. Save</t>
  </si>
  <si>
    <t>title=Laptops; slug=laptops; meta_title=Laptops; meta_description=Buy laptops</t>
  </si>
  <si>
    <t>The category is created, appears in the list and is reachable at /all/laptops on the storefront</t>
  </si>
  <si>
    <t>CAT-002</t>
  </si>
  <si>
    <t>Category required fields</t>
  </si>
  <si>
    <t>Save a category with the mandatory fields blank</t>
  </si>
  <si>
    <t>On the category form</t>
  </si>
  <si>
    <t>1. Clear title, slug, meta title and meta description
2. Save</t>
  </si>
  <si>
    <t>all blank</t>
  </si>
  <si>
    <t>A field-level error on each required field; nothing is persisted</t>
  </si>
  <si>
    <t>CAT-003</t>
  </si>
  <si>
    <t>Category slug uniqueness</t>
  </si>
  <si>
    <t>Create a second category with an existing slug</t>
  </si>
  <si>
    <t>laptops already exists</t>
  </si>
  <si>
    <t>1. Create a category with slug=laptops</t>
  </si>
  <si>
    <t>slug=laptops</t>
  </si>
  <si>
    <t>Rejected as duplicate, or auto-suffixed - two categories must never share a slug</t>
  </si>
  <si>
    <t>CAT-004</t>
  </si>
  <si>
    <t>Category slug format</t>
  </si>
  <si>
    <t>Slugs with spaces, capitals and symbols</t>
  </si>
  <si>
    <t>1. Enter each slug value
2. Save</t>
  </si>
  <si>
    <t>Gaming Laptops | Gaming/Laptops | gaming laptops! | gaming-laptops</t>
  </si>
  <si>
    <t>Only URL-safe slugs are accepted, or the value is normalised to gaming-laptops; the resulting storefront URL resolves</t>
  </si>
  <si>
    <t>CAT-005</t>
  </si>
  <si>
    <t>Category image validation</t>
  </si>
  <si>
    <t>Upload an oversized or wrong-type category image</t>
  </si>
  <si>
    <t>1. Upload a 5MB JPEG
2. Upload a .exe renamed to .jpg
3. Upload an .svg</t>
  </si>
  <si>
    <t>5MB jpg; payload.exe.jpg; icon.svg</t>
  </si>
  <si>
    <t>Files over MAX_IMAGE_SIZE (1024KB) are rejected; non-image content is rejected on MIME sniffing, not extension; SVG is refused</t>
  </si>
  <si>
    <t>Validation / Security</t>
  </si>
  <si>
    <t>QA audit flagged SVG upload acceptance</t>
  </si>
  <si>
    <t>CAT-006</t>
  </si>
  <si>
    <t>Edit a category</t>
  </si>
  <si>
    <t>Change a category title and image</t>
  </si>
  <si>
    <t>Category exists</t>
  </si>
  <si>
    <t>1. Open the category
2. Change the title and replace the image
3. Save</t>
  </si>
  <si>
    <t>title=Laptops &amp; Notebooks</t>
  </si>
  <si>
    <t>Changes persist, the storefront reflects them after cache clear, and the old image is not left orphaned</t>
  </si>
  <si>
    <t>CAT-007</t>
  </si>
  <si>
    <t>Delete an empty category</t>
  </si>
  <si>
    <t>Delete a category with no products</t>
  </si>
  <si>
    <t>Empty category exists</t>
  </si>
  <si>
    <t>1. Delete the category
2. Confirm</t>
  </si>
  <si>
    <t>empty category</t>
  </si>
  <si>
    <t>Removed from admin and storefront; the old URL returns a 404 or a redirect, not a 500</t>
  </si>
  <si>
    <t>CAT-008</t>
  </si>
  <si>
    <t>Delete a category holding products</t>
  </si>
  <si>
    <t>Delete a category that still has products and sub-categories</t>
  </si>
  <si>
    <t>Category with 5 products and 2 sub-categories</t>
  </si>
  <si>
    <t>1. Attempt the delete</t>
  </si>
  <si>
    <t>populated category</t>
  </si>
  <si>
    <t>Either blocked with a clear message, or cascaded cleanly - no orphaned product_categories rows and no broken storefront menu</t>
  </si>
  <si>
    <t>CAT-009</t>
  </si>
  <si>
    <t>Create a sub-category</t>
  </si>
  <si>
    <t>Add a sub-category under a parent</t>
  </si>
  <si>
    <t>Parent category exists</t>
  </si>
  <si>
    <t>1. Open /admin/sub-categories
2. Add with title, parent category, slug and meta fields
3. Save</t>
  </si>
  <si>
    <t>title=Gaming Laptops; category_id=Laptops</t>
  </si>
  <si>
    <t>Created and shown nested under the parent in the storefront menu</t>
  </si>
  <si>
    <t>CAT-010</t>
  </si>
  <si>
    <t>Sub-category without a parent</t>
  </si>
  <si>
    <t>Save a sub-category with no category selected</t>
  </si>
  <si>
    <t>On the sub-category form</t>
  </si>
  <si>
    <t>1. Leave the parent unselected
2. Save</t>
  </si>
  <si>
    <t>category_id=0</t>
  </si>
  <si>
    <t>Validation error - the rule is required|numeric|min:0|not_in:0</t>
  </si>
  <si>
    <t>CAT-011</t>
  </si>
  <si>
    <t>Re-parent a sub-category</t>
  </si>
  <si>
    <t>Move a sub-category to a different parent</t>
  </si>
  <si>
    <t>Two parents and one populated sub-category</t>
  </si>
  <si>
    <t>1. Change the parent
2. Save
3. Browse both parents on the storefront</t>
  </si>
  <si>
    <t>move Gaming Laptops to Computers</t>
  </si>
  <si>
    <t>Products follow the sub-category to the new parent and disappear from the old one</t>
  </si>
  <si>
    <t>CAT-012</t>
  </si>
  <si>
    <t>Category tree ordering</t>
  </si>
  <si>
    <t>Change the display sort order</t>
  </si>
  <si>
    <t>Several categories exist</t>
  </si>
  <si>
    <t>1. Drag to reorder or set sort values
2. POST update-sort-order
3. Reload the storefront menu</t>
  </si>
  <si>
    <t>sort 1,2,3</t>
  </si>
  <si>
    <t>The storefront menu honours the new order and it survives a reload</t>
  </si>
  <si>
    <t>CAT-013</t>
  </si>
  <si>
    <t>Create a brand</t>
  </si>
  <si>
    <t>Create a brand with a logo and slug</t>
  </si>
  <si>
    <t>Signed in with brand permission</t>
  </si>
  <si>
    <t>1. Open /admin/brands
2. Add with title, slug and logo
3. Save</t>
  </si>
  <si>
    <t>title=Lenovo; slug=lenovo</t>
  </si>
  <si>
    <t>Brand created and listed at /brands and on the brand landing page</t>
  </si>
  <si>
    <t>CAT-014</t>
  </si>
  <si>
    <t>Brand duplicate slug</t>
  </si>
  <si>
    <t>Reuse a brand slug</t>
  </si>
  <si>
    <t>lenovo exists</t>
  </si>
  <si>
    <t>1. Create a brand with slug=lenovo</t>
  </si>
  <si>
    <t>slug=lenovo</t>
  </si>
  <si>
    <t>Rejected or auto-suffixed - brand URLs stay unique</t>
  </si>
  <si>
    <t>CAT-015</t>
  </si>
  <si>
    <t>Delete a brand in use</t>
  </si>
  <si>
    <t>Delete a brand attached to live products</t>
  </si>
  <si>
    <t>Brand with 3 products</t>
  </si>
  <si>
    <t>1. Delete the brand</t>
  </si>
  <si>
    <t>brand in use</t>
  </si>
  <si>
    <t>Blocked or cascaded safely; product pages do not 500 on a missing brand relation</t>
  </si>
  <si>
    <t>CAT-016</t>
  </si>
  <si>
    <t>Create an attribute</t>
  </si>
  <si>
    <t>Create an attribute such as Colour</t>
  </si>
  <si>
    <t>Signed in with attribute permission</t>
  </si>
  <si>
    <t>1. Open /admin/attributes
2. Add title=Colour
3. Save</t>
  </si>
  <si>
    <t>title=Colour</t>
  </si>
  <si>
    <t>Attribute created and selectable when building product variants</t>
  </si>
  <si>
    <t>CAT-017</t>
  </si>
  <si>
    <t>Create attribute values</t>
  </si>
  <si>
    <t>Add values under an attribute</t>
  </si>
  <si>
    <t>Colour attribute exists</t>
  </si>
  <si>
    <t>1. Add values Black, Silver, Space Grey
2. Save</t>
  </si>
  <si>
    <t>Black | Silver | Space Grey</t>
  </si>
  <si>
    <t>All three values are stored against attribute_id and offered on the variant builder</t>
  </si>
  <si>
    <t>CAT-018</t>
  </si>
  <si>
    <t>Attribute value without a parent</t>
  </si>
  <si>
    <t>Save an attribute value with no attribute selected</t>
  </si>
  <si>
    <t>On the value form</t>
  </si>
  <si>
    <t>1. Leave attribute_id unset
2. Save</t>
  </si>
  <si>
    <t>attribute_id=0</t>
  </si>
  <si>
    <t>Validation error - required|numeric|not_in:0</t>
  </si>
  <si>
    <t>CAT-019</t>
  </si>
  <si>
    <t>Duplicate attribute value</t>
  </si>
  <si>
    <t>Add the same value twice under one attribute</t>
  </si>
  <si>
    <t>Black already exists under Colour</t>
  </si>
  <si>
    <t>1. Add Black again</t>
  </si>
  <si>
    <t>Black</t>
  </si>
  <si>
    <t>Rejected as duplicate so variant matrices stay unambiguous</t>
  </si>
  <si>
    <t>CAT-020</t>
  </si>
  <si>
    <t>Delete an attribute value in use</t>
  </si>
  <si>
    <t>Remove a value bound to live inventory</t>
  </si>
  <si>
    <t>Black is used by a variant with stock</t>
  </si>
  <si>
    <t>1. Delete the Black value</t>
  </si>
  <si>
    <t>value in use</t>
  </si>
  <si>
    <t>Blocked with a clear message, or the affected variants are handled explicitly - no orphaned inventory_attributes rows</t>
  </si>
  <si>
    <t>CAT-021</t>
  </si>
  <si>
    <t>Tags CRUD</t>
  </si>
  <si>
    <t>Create, rename and delete a product tag</t>
  </si>
  <si>
    <t>Signed in with the tag permission</t>
  </si>
  <si>
    <t>1. Create tag=refurbished
2. Rename it
3. Delete it</t>
  </si>
  <si>
    <t>refurbished</t>
  </si>
  <si>
    <t>All three actions succeed and the storefront tag filter reflects each change</t>
  </si>
  <si>
    <t>CAT-022</t>
  </si>
  <si>
    <t>Category XSS in title</t>
  </si>
  <si>
    <t>HTML in the category title</t>
  </si>
  <si>
    <t>1. Save the payload as a title
2. View the category in admin, storefront menu and breadcrumbs</t>
  </si>
  <si>
    <t>&lt;img src=x onerror=alert(1)&gt;</t>
  </si>
  <si>
    <t>Rendered as literal text everywhere; no script executes</t>
  </si>
  <si>
    <t>CAT-023</t>
  </si>
  <si>
    <t>Category meta output</t>
  </si>
  <si>
    <t>Meta title and description reach the page head</t>
  </si>
  <si>
    <t>Category has meta values</t>
  </si>
  <si>
    <t>1. Open the category page
2. View the page source</t>
  </si>
  <si>
    <t>meta_title / meta_description</t>
  </si>
  <si>
    <t>The head contains the configured title and description tags with no duplication</t>
  </si>
  <si>
    <t>Functional / SEO</t>
  </si>
  <si>
    <t>CAT-024</t>
  </si>
  <si>
    <t>Category with no products</t>
  </si>
  <si>
    <t>Browse a category that contains nothing</t>
  </si>
  <si>
    <t>Empty category is public</t>
  </si>
  <si>
    <t>1. Open the category page</t>
  </si>
  <si>
    <t>A friendly empty state renders; no error and no infinite spinner</t>
  </si>
  <si>
    <t>Error handling / Edge</t>
  </si>
  <si>
    <t>PROD-001</t>
  </si>
  <si>
    <t>Product Management</t>
  </si>
  <si>
    <t>Create a simple product</t>
  </si>
  <si>
    <t>Create and publish a product with all required fields</t>
  </si>
  <si>
    <t>Category, brand, tax rule and shipping rule exist</t>
  </si>
  <si>
    <t>1. Open /admin/products
2. Click Add
3. Fill title, unit, overview, description, meta fields
4. Set purchased and selling prices
5. Pick category, tax rule and shipping rule
6. Upload images
7. Save and publish</t>
  </si>
  <si>
    <t>title=QA Test Laptop; unit=pcs; purchased=400; selling=599.99; tax_rule=Standard 20%</t>
  </si>
  <si>
    <t>The product is created, appears in the admin list and is visible on the storefront with the correct price</t>
  </si>
  <si>
    <t>PROD-002</t>
  </si>
  <si>
    <t>Product required fields</t>
  </si>
  <si>
    <t>Save a product with every mandatory field blank</t>
  </si>
  <si>
    <t>On the product form</t>
  </si>
  <si>
    <t>1. Click Save with an empty form</t>
  </si>
  <si>
    <t>Errors on title, unit, meta_title, meta_description, description, overview, selling, purchased, tax_rule_id and shipping_rule_id</t>
  </si>
  <si>
    <t>PROD-003</t>
  </si>
  <si>
    <t>Selling price must be non-zero</t>
  </si>
  <si>
    <t>Save with selling price 0</t>
  </si>
  <si>
    <t>1. Set selling=0
2. Save</t>
  </si>
  <si>
    <t>selling=0</t>
  </si>
  <si>
    <t>Rejected by required|numeric|min:0|not_in:0 - no free product is published by accident</t>
  </si>
  <si>
    <t>QA audit found four live products priced at zero</t>
  </si>
  <si>
    <t>PROD-004</t>
  </si>
  <si>
    <t>Negative and non-numeric prices</t>
  </si>
  <si>
    <t>Enter invalid price values</t>
  </si>
  <si>
    <t>1. Try each value in selling and purchased
2. Save</t>
  </si>
  <si>
    <t>-10 | abc | 1e5 | 12.999 | 0.01</t>
  </si>
  <si>
    <t>Negative and non-numeric values are rejected; decimals are rounded or stored to exactly two places with no silent truncation</t>
  </si>
  <si>
    <t>PROD-005</t>
  </si>
  <si>
    <t>Offer price must not exceed selling</t>
  </si>
  <si>
    <t>Set an offer price above the selling price</t>
  </si>
  <si>
    <t>1. Set selling=100 and offered=150
2. Save</t>
  </si>
  <si>
    <t>selling=100; offered=150</t>
  </si>
  <si>
    <t>Rejected by nullable|numeric|min:0|lte:selling</t>
  </si>
  <si>
    <t>QA audit PRC-02 regression check</t>
  </si>
  <si>
    <t>PROD-006</t>
  </si>
  <si>
    <t>Offer price boundary</t>
  </si>
  <si>
    <t>Offer price exactly equal to the selling price</t>
  </si>
  <si>
    <t>1. Set selling=100 and offered=100
2. Save
3. Then try offered=100.01</t>
  </si>
  <si>
    <t>offered=100 then 100.01</t>
  </si>
  <si>
    <t>100 is accepted (lte is inclusive); 100.01 is rejected</t>
  </si>
  <si>
    <t>PROD-007</t>
  </si>
  <si>
    <t>Offer price cleared</t>
  </si>
  <si>
    <t>Remove an offer price from a discounted product</t>
  </si>
  <si>
    <t>Product has an offer price</t>
  </si>
  <si>
    <t>1. Clear the offered field
2. Save
3. Check the storefront</t>
  </si>
  <si>
    <t>offered=empty</t>
  </si>
  <si>
    <t>The offer is removed, the strike-through price disappears and the full selling price is charged in the cart</t>
  </si>
  <si>
    <t>PROD-008</t>
  </si>
  <si>
    <t>Edit a product</t>
  </si>
  <si>
    <t>Change the title, description and price of a live product</t>
  </si>
  <si>
    <t>Published product exists</t>
  </si>
  <si>
    <t>1. Edit the fields
2. Save
3. Reload the storefront product page</t>
  </si>
  <si>
    <t>selling 599.99 to 549.99</t>
  </si>
  <si>
    <t>All changes are reflected on the storefront and existing carts are re-priced or clearly flagged</t>
  </si>
  <si>
    <t>PROD-009</t>
  </si>
  <si>
    <t>Publish and unpublish</t>
  </si>
  <si>
    <t>Toggle a product between public and private</t>
  </si>
  <si>
    <t>1. Set status to private
2. Save
3. Open the storefront product URL</t>
  </si>
  <si>
    <t>status=2 (private)</t>
  </si>
  <si>
    <t>The product disappears from listings and search; the direct URL returns 404 or an unavailable page, never the full detail view</t>
  </si>
  <si>
    <t>PROD-010</t>
  </si>
  <si>
    <t>Delete a product</t>
  </si>
  <si>
    <t>Delete a product that has never been ordered</t>
  </si>
  <si>
    <t>Unordered product exists</t>
  </si>
  <si>
    <t>1. Delete the product
2. Confirm</t>
  </si>
  <si>
    <t>unordered product</t>
  </si>
  <si>
    <t>Removed together with its images, inventories and category links; no orphaned rows remain</t>
  </si>
  <si>
    <t>PROD-011</t>
  </si>
  <si>
    <t>Delete a product with order history</t>
  </si>
  <si>
    <t>Delete a product that appears on past orders</t>
  </si>
  <si>
    <t>Product with 2 completed orders</t>
  </si>
  <si>
    <t>1. Attempt the delete
2. Open a historical order</t>
  </si>
  <si>
    <t>ordered product</t>
  </si>
  <si>
    <t>The delete is blocked or soft-deletes; historical orders still show the product name and price they were bought at</t>
  </si>
  <si>
    <t>Negative / Data integrity</t>
  </si>
  <si>
    <t>PROD-012</t>
  </si>
  <si>
    <t>Duplicate a product</t>
  </si>
  <si>
    <t>Clone an existing product</t>
  </si>
  <si>
    <t>Product with variants and images</t>
  </si>
  <si>
    <t>1. POST /api/admin/products/{id}/duplicate
2. Open the copy</t>
  </si>
  <si>
    <t>source product id</t>
  </si>
  <si>
    <t>A full copy is created with a unique slug and SKU; the original is untouched and no images are shared by reference in a way that a delete would break</t>
  </si>
  <si>
    <t>PROD-013</t>
  </si>
  <si>
    <t>Product slug uniqueness</t>
  </si>
  <si>
    <t>Two products with the same title</t>
  </si>
  <si>
    <t>A product titled QA Test Laptop exists</t>
  </si>
  <si>
    <t>1. Create a second product with the same title</t>
  </si>
  <si>
    <t>title=QA Test Laptop</t>
  </si>
  <si>
    <t>Slugs are made unique automatically; both product pages resolve to the right record</t>
  </si>
  <si>
    <t>PROD-014</t>
  </si>
  <si>
    <t>Upload product images</t>
  </si>
  <si>
    <t>Attach multiple gallery images</t>
  </si>
  <si>
    <t>Product exists</t>
  </si>
  <si>
    <t>1. Upload 5 images
2. Set the main image
3. Reorder them
4. Save</t>
  </si>
  <si>
    <t>5 JPEGs under 1MB each</t>
  </si>
  <si>
    <t>All are stored, the chosen main image leads the gallery and the order persists after reload</t>
  </si>
  <si>
    <t>PROD-015</t>
  </si>
  <si>
    <t>Image upload limit</t>
  </si>
  <si>
    <t>Exceed the maximum image count</t>
  </si>
  <si>
    <t>Product with 10 images (MAX_IMG_UPLOAD)</t>
  </si>
  <si>
    <t>1. Upload an 11th image</t>
  </si>
  <si>
    <t>11th image</t>
  </si>
  <si>
    <t>Blocked with a clear message at the configured limit of 10</t>
  </si>
  <si>
    <t>PROD-016</t>
  </si>
  <si>
    <t>Image file type and size</t>
  </si>
  <si>
    <t>Upload disallowed image files</t>
  </si>
  <si>
    <t>On the product image uploader</t>
  </si>
  <si>
    <t>1. Upload a 3MB PNG
2. Upload a .svg
3. Upload a .php renamed to .jpg
4. Upload a 0-byte file</t>
  </si>
  <si>
    <t>3MB png; logo.svg; shell.php.jpg; empty.jpg</t>
  </si>
  <si>
    <t>Each is rejected with a specific message; nothing executable is written to the uploads directory</t>
  </si>
  <si>
    <t>Security / Validation</t>
  </si>
  <si>
    <t>PROD-017</t>
  </si>
  <si>
    <t>Concurrent image upload filenames</t>
  </si>
  <si>
    <t>Two admins upload files with the same name at once</t>
  </si>
  <si>
    <t>Two admin sessions</t>
  </si>
  <si>
    <t>1. Both upload photo.jpg to different products simultaneously</t>
  </si>
  <si>
    <t>photo.jpg x2</t>
  </si>
  <si>
    <t>Both files are stored under distinct names; neither overwrites the other</t>
  </si>
  <si>
    <t>Security / Concurrency</t>
  </si>
  <si>
    <t>QA audit flagged filename collisions under concurrency</t>
  </si>
  <si>
    <t>PROD-018</t>
  </si>
  <si>
    <t>Delete a product image</t>
  </si>
  <si>
    <t>Remove one gallery image</t>
  </si>
  <si>
    <t>Product with 3 images</t>
  </si>
  <si>
    <t>1. Delete the middle image
2. Reload</t>
  </si>
  <si>
    <t>image id</t>
  </si>
  <si>
    <t>Only that image is removed, the remaining order is sensible and the main image is reassigned if it was the one deleted</t>
  </si>
  <si>
    <t>PROD-019</t>
  </si>
  <si>
    <t>Delete the last remaining image</t>
  </si>
  <si>
    <t>Remove the only image a product has</t>
  </si>
  <si>
    <t>Product with one image</t>
  </si>
  <si>
    <t>1. Delete it
2. View the storefront product page</t>
  </si>
  <si>
    <t>single image</t>
  </si>
  <si>
    <t>Either blocked, or the placeholder DEFAULT_IMAGE renders - never a broken image icon</t>
  </si>
  <si>
    <t>Edge / UI</t>
  </si>
  <si>
    <t>PROD-020</t>
  </si>
  <si>
    <t>Variant image mapping</t>
  </si>
  <si>
    <t>Bind gallery images to attribute values</t>
  </si>
  <si>
    <t>Product with Colour variants</t>
  </si>
  <si>
    <t>1. POST set-variant-images mapping Black and Silver images
2. Open the storefront page
3. Switch colour</t>
  </si>
  <si>
    <t>Black -&gt; img1; Silver -&gt; img2</t>
  </si>
  <si>
    <t>The gallery swaps to the mapped image when the shopper changes variant</t>
  </si>
  <si>
    <t>PROD-021</t>
  </si>
  <si>
    <t>Product video upload</t>
  </si>
  <si>
    <t>Attach a product video</t>
  </si>
  <si>
    <t>1. Upload a 1.5MB MP4
2. Then upload a 5MB MP4</t>
  </si>
  <si>
    <t>1.5MB mp4; 5MB mp4</t>
  </si>
  <si>
    <t>The first is accepted; the second is rejected against MAX_VIDEO_SIZE (2048KB)</t>
  </si>
  <si>
    <t>Boundary / Validation</t>
  </si>
  <si>
    <t>PROD-022</t>
  </si>
  <si>
    <t>Rich text description</t>
  </si>
  <si>
    <t>Use the WYSIWYG editor with formatting and an embedded image</t>
  </si>
  <si>
    <t>1. Add headings, a list, a link and an inline image
2. Save
3. View the storefront</t>
  </si>
  <si>
    <t>formatted HTML</t>
  </si>
  <si>
    <t>The formatting survives round-trip, the embedded image loads, and the output is sanitised - script tags are stripped</t>
  </si>
  <si>
    <t>PROD-023</t>
  </si>
  <si>
    <t>Description XSS</t>
  </si>
  <si>
    <t>Store a script payload through the description editor</t>
  </si>
  <si>
    <t>1. Paste the payload in source mode
2. Save
3. Open the product page</t>
  </si>
  <si>
    <t>&lt;script&gt;alert(document.cookie)&lt;/script&gt;</t>
  </si>
  <si>
    <t>The script is stripped or escaped; no alert fires on the storefront</t>
  </si>
  <si>
    <t>PROD-024</t>
  </si>
  <si>
    <t>Product specifications</t>
  </si>
  <si>
    <t>Add and edit a specification group and rows</t>
  </si>
  <si>
    <t>1. POST /api/product-specifications with grouped rows
2. Reopen the product
3. Check the storefront specification tab</t>
  </si>
  <si>
    <t>Group=Display; CPU=i7-1355U; RAM=16GB</t>
  </si>
  <si>
    <t>Specifications save, reload in the same groups and render in order on the storefront tab</t>
  </si>
  <si>
    <t>PROD-025</t>
  </si>
  <si>
    <t>Product template customisation</t>
  </si>
  <si>
    <t>Apply a template and per-product customisation</t>
  </si>
  <si>
    <t>A template exists</t>
  </si>
  <si>
    <t>1. Assign the template
2. POST products/{id}/customizations/bulk
3. View the storefront page</t>
  </si>
  <si>
    <t>template id plus customisation payload</t>
  </si>
  <si>
    <t>The template layout renders with the product overrides applied</t>
  </si>
  <si>
    <t>PROD-026</t>
  </si>
  <si>
    <t>Assign multiple categories</t>
  </si>
  <si>
    <t>Attach a product to several categories and sub-categories</t>
  </si>
  <si>
    <t>Product and 3 categories exist</t>
  </si>
  <si>
    <t>1. Select 3 categories and 2 sub-categories
2. Save
3. Browse each</t>
  </si>
  <si>
    <t>3 categories; 2 sub-categories</t>
  </si>
  <si>
    <t>The product appears under every selected node exactly once</t>
  </si>
  <si>
    <t>PROD-027</t>
  </si>
  <si>
    <t>Product with no category</t>
  </si>
  <si>
    <t>Save a product without selecting any category</t>
  </si>
  <si>
    <t>1. Leave categories empty
2. Save
3. Search for the product on the storefront</t>
  </si>
  <si>
    <t>no category</t>
  </si>
  <si>
    <t>Either blocked, or the product is still reachable by search and direct URL without breaking the listing pages</t>
  </si>
  <si>
    <t>Edge / Negative</t>
  </si>
  <si>
    <t>PROD-028</t>
  </si>
  <si>
    <t>Product list search and filter</t>
  </si>
  <si>
    <t>Filter the admin product grid</t>
  </si>
  <si>
    <t>Admin has 100+ products</t>
  </si>
  <si>
    <t>1. Search by title
2. Filter by category, brand and status
3. Combine filters</t>
  </si>
  <si>
    <t>search=laptop; category=Laptops; status=public</t>
  </si>
  <si>
    <t>Results match every applied filter, the count is accurate and clearing filters restores the full list</t>
  </si>
  <si>
    <t>PROD-029</t>
  </si>
  <si>
    <t>Product list pagination</t>
  </si>
  <si>
    <t>Page through the admin product grid</t>
  </si>
  <si>
    <t>More than 30 products exist</t>
  </si>
  <si>
    <t>1. Move to page 2 and 3
2. Jump to the last page
3. Change page size</t>
  </si>
  <si>
    <t>listing pagination = 30</t>
  </si>
  <si>
    <t>Each page shows the right slice with no duplicates or gaps; the total count is correct</t>
  </si>
  <si>
    <t>PROD-030</t>
  </si>
  <si>
    <t>Product export</t>
  </si>
  <si>
    <t>Export products to a file</t>
  </si>
  <si>
    <t>Products exist</t>
  </si>
  <si>
    <t>1. Click Export
2. Open the downloaded file</t>
  </si>
  <si>
    <t>full catalogue</t>
  </si>
  <si>
    <t>The file downloads, opens cleanly and contains the expected columns and row count</t>
  </si>
  <si>
    <t>PROD-031</t>
  </si>
  <si>
    <t>Bulk product import - valid file</t>
  </si>
  <si>
    <t>Import products from a correctly formatted sheet</t>
  </si>
  <si>
    <t>Import template downloaded</t>
  </si>
  <si>
    <t>1. Open /admin/bulk-upload
2. Upload a 20-row valid file
3. Confirm</t>
  </si>
  <si>
    <t>20 valid rows</t>
  </si>
  <si>
    <t>All 20 products are created with a per-row success report; the totals shown match the database</t>
  </si>
  <si>
    <t>PROD-032</t>
  </si>
  <si>
    <t>Bulk import - invalid rows</t>
  </si>
  <si>
    <t>Import a file mixing valid and invalid rows</t>
  </si>
  <si>
    <t>Import screen open</t>
  </si>
  <si>
    <t>1. Upload a file where rows 3 and 7 have a missing price and a bad category
2. Confirm</t>
  </si>
  <si>
    <t>20 rows, 2 invalid</t>
  </si>
  <si>
    <t>Valid rows import, invalid rows are reported by line number with the reason, and no partial or corrupt product is created</t>
  </si>
  <si>
    <t>PROD-033</t>
  </si>
  <si>
    <t>Bulk import - wrong file type</t>
  </si>
  <si>
    <t>Upload a non-spreadsheet file</t>
  </si>
  <si>
    <t>1. Upload a .txt and then a 20MB .xlsx</t>
  </si>
  <si>
    <t>notes.txt; huge.xlsx</t>
  </si>
  <si>
    <t>The wrong type is rejected immediately and the oversized file is rejected against the size limit without a timeout</t>
  </si>
  <si>
    <t>Negative / Validation</t>
  </si>
  <si>
    <t>PROD-034</t>
  </si>
  <si>
    <t>Bulk import - formula injection</t>
  </si>
  <si>
    <t>Import a sheet whose cells start with =</t>
  </si>
  <si>
    <t>1. Upload a row where the title is =cmd|calc
2. Import
3. Export the catalogue again</t>
  </si>
  <si>
    <t>title==cmd|calc</t>
  </si>
  <si>
    <t>The value is stored and re-exported neutralised so it is not executed by a spreadsheet client</t>
  </si>
  <si>
    <t>PROD-035</t>
  </si>
  <si>
    <t>Bulk product editor</t>
  </si>
  <si>
    <t>Edit prices and stock for many products at once</t>
  </si>
  <si>
    <t>Bulk editor has 50 rows loaded</t>
  </si>
  <si>
    <t>1. Change price on 10 rows and stock on 10 more
2. Save all</t>
  </si>
  <si>
    <t>10 price and 10 stock edits</t>
  </si>
  <si>
    <t>All 20 changes persist atomically; a failure on one row does not leave the others half-applied</t>
  </si>
  <si>
    <t>PROD-036</t>
  </si>
  <si>
    <t>Bulk editor - invalid value</t>
  </si>
  <si>
    <t>Enter an invalid value in the bulk grid</t>
  </si>
  <si>
    <t>Bulk editor open</t>
  </si>
  <si>
    <t>1. Set a price to -5 and a stock to abc
2. Save</t>
  </si>
  <si>
    <t>-5; abc</t>
  </si>
  <si>
    <t>Both rows are flagged in place and the whole save is rejected or those rows are skipped explicitly</t>
  </si>
  <si>
    <t>PROD-037</t>
  </si>
  <si>
    <t>Low stock report</t>
  </si>
  <si>
    <t>View products below the stock threshold</t>
  </si>
  <si>
    <t>Some products are under the threshold</t>
  </si>
  <si>
    <t>1. GET low-stock-products
2. Compare against inventory</t>
  </si>
  <si>
    <t>threshold products</t>
  </si>
  <si>
    <t>Only products at or below the threshold are listed, with accurate quantities</t>
  </si>
  <si>
    <t>PROD-038</t>
  </si>
  <si>
    <t>Product change log</t>
  </si>
  <si>
    <t>Confirm edits are recorded</t>
  </si>
  <si>
    <t>Product edited several times</t>
  </si>
  <si>
    <t>1. Edit a price
2. Open the product log</t>
  </si>
  <si>
    <t>price change</t>
  </si>
  <si>
    <t>The log records who changed what and when, with old and new values</t>
  </si>
  <si>
    <t>Functional / Audit</t>
  </si>
  <si>
    <t>PROD-039</t>
  </si>
  <si>
    <t>Product view counter</t>
  </si>
  <si>
    <t>Product views are recorded once per visit</t>
  </si>
  <si>
    <t>Product page reachable</t>
  </si>
  <si>
    <t>1. Open the product page three times
2. Check product_views</t>
  </si>
  <si>
    <t>3 page loads</t>
  </si>
  <si>
    <t>Views increment sensibly and the counter is not inflated by asset requests or bots</t>
  </si>
  <si>
    <t>PROD-040</t>
  </si>
  <si>
    <t>Suggested and related products</t>
  </si>
  <si>
    <t>Related products render on the detail page</t>
  </si>
  <si>
    <t>Product has category peers</t>
  </si>
  <si>
    <t>1. Open the product page
2. Scroll to the suggested block</t>
  </si>
  <si>
    <t>related products</t>
  </si>
  <si>
    <t>Related items come from the same category, exclude the current product and never show private or deleted items</t>
  </si>
  <si>
    <t>PROD-041</t>
  </si>
  <si>
    <t>Business product pricing</t>
  </si>
  <si>
    <t>Set a separate trade or business price</t>
  </si>
  <si>
    <t>Business pricing enabled; a trade account exists</t>
  </si>
  <si>
    <t>1. Set a business price on the product
2. View as a personal account and then as a trade account</t>
  </si>
  <si>
    <t>retail=599.99; trade=499.99</t>
  </si>
  <si>
    <t>The retail shopper sees 599.99 and the trade account sees 499.99, both in the listing and at checkout</t>
  </si>
  <si>
    <t>PROD-042</t>
  </si>
  <si>
    <t>Business price not leaked</t>
  </si>
  <si>
    <t>A retail shopper cannot obtain trade pricing</t>
  </si>
  <si>
    <t>Business pricing configured</t>
  </si>
  <si>
    <t>1. As a personal account, call the product API and inspect the payload
2. Attempt to force a trade price at checkout</t>
  </si>
  <si>
    <t>personal account token</t>
  </si>
  <si>
    <t>Trade prices are not exposed to unentitled accounts and cannot be forced through the request</t>
  </si>
  <si>
    <t>INV-001</t>
  </si>
  <si>
    <t>Inventory &amp; Stock</t>
  </si>
  <si>
    <t>Create variants</t>
  </si>
  <si>
    <t>Build a variant matrix from attributes</t>
  </si>
  <si>
    <t>Colour and Size attributes with values exist</t>
  </si>
  <si>
    <t>1. Open the product inventory tab
2. Generate variants for Colour x Size
3. Set price and stock per variant
4. Save</t>
  </si>
  <si>
    <t>2 colours x 3 sizes = 6 variants</t>
  </si>
  <si>
    <t>Six inventory rows are created, each with its own SKU, price and quantity</t>
  </si>
  <si>
    <t>INV-002</t>
  </si>
  <si>
    <t>Variant stock validation</t>
  </si>
  <si>
    <t>Enter invalid stock values</t>
  </si>
  <si>
    <t>On the inventory tab</t>
  </si>
  <si>
    <t>1. Try each quantity value
2. Save</t>
  </si>
  <si>
    <t>-5 | abc | 0 | 1 | 999999</t>
  </si>
  <si>
    <t>Negative and non-numeric values are rejected; 0 is accepted and marks the variant out of stock</t>
  </si>
  <si>
    <t>INV-003</t>
  </si>
  <si>
    <t>Out-of-stock display</t>
  </si>
  <si>
    <t>A zero-stock variant on the storefront</t>
  </si>
  <si>
    <t>One variant has quantity 0</t>
  </si>
  <si>
    <t>1. Open the product page
2. Select that variant</t>
  </si>
  <si>
    <t>quantity=0</t>
  </si>
  <si>
    <t>The variant shows as out of stock, Add to Cart is disabled and the API refuses to add it</t>
  </si>
  <si>
    <t>Functional / Negative</t>
  </si>
  <si>
    <t>INV-004</t>
  </si>
  <si>
    <t>Stock decrements on purchase</t>
  </si>
  <si>
    <t>Buying reduces the variant quantity</t>
  </si>
  <si>
    <t>Variant has 10 in stock</t>
  </si>
  <si>
    <t>1. Buy 3 of that variant end to end
2. Recheck the stock</t>
  </si>
  <si>
    <t>quantity ordered = 3</t>
  </si>
  <si>
    <t>Stock becomes 7 exactly once - not twice and not before payment is confirmed</t>
  </si>
  <si>
    <t>QA audit STK-03: stock was deducted before payment</t>
  </si>
  <si>
    <t>INV-005</t>
  </si>
  <si>
    <t>Order more than available</t>
  </si>
  <si>
    <t>Order a quantity above the stock level</t>
  </si>
  <si>
    <t>Variant has 2 in stock</t>
  </si>
  <si>
    <t>1. Add 5 to the cart
2. Proceed through checkout to payment</t>
  </si>
  <si>
    <t>quantity=5, stock=2</t>
  </si>
  <si>
    <t>Blocked at the cart or at checkout with a clear message; the order is never created and stock never goes negative</t>
  </si>
  <si>
    <t>QA audit STK-01: checkout never compared quantity to stock</t>
  </si>
  <si>
    <t>INV-006</t>
  </si>
  <si>
    <t>Exact stock boundary</t>
  </si>
  <si>
    <t>Order precisely the remaining stock</t>
  </si>
  <si>
    <t>Variant has 3 in stock</t>
  </si>
  <si>
    <t>1. Order exactly 3
2. Complete payment
3. Recheck the product page</t>
  </si>
  <si>
    <t>quantity=3</t>
  </si>
  <si>
    <t>The order succeeds, stock reaches exactly 0 and the variant flips to out of stock</t>
  </si>
  <si>
    <t>Boundary / Positive</t>
  </si>
  <si>
    <t>INV-007</t>
  </si>
  <si>
    <t>Concurrent purchase of the last unit</t>
  </si>
  <si>
    <t>Two shoppers buy the final unit at the same moment</t>
  </si>
  <si>
    <t>Variant has 1 in stock; two sessions ready at payment</t>
  </si>
  <si>
    <t>1. Both submit payment within the same second</t>
  </si>
  <si>
    <t>stock=1, two buyers</t>
  </si>
  <si>
    <t>Exactly one order succeeds; the other is refused with an out-of-stock message; stock never goes negative and no double-sell occurs</t>
  </si>
  <si>
    <t>Concurrency / Negative</t>
  </si>
  <si>
    <t>INV-008</t>
  </si>
  <si>
    <t>Stock restored on cancellation</t>
  </si>
  <si>
    <t>Cancelling an order returns the units</t>
  </si>
  <si>
    <t>Confirmed order for 2 units; stock is 8</t>
  </si>
  <si>
    <t>1. Cancel the order
2. Recheck the stock</t>
  </si>
  <si>
    <t>2 units cancelled</t>
  </si>
  <si>
    <t>Stock returns to 10 exactly once; points and voucher usage are also released</t>
  </si>
  <si>
    <t>QA audit ORD-01 regression check</t>
  </si>
  <si>
    <t>INV-009</t>
  </si>
  <si>
    <t>No double restock</t>
  </si>
  <si>
    <t>An order cancelled and then refunded</t>
  </si>
  <si>
    <t>Cancelled order for 2 units</t>
  </si>
  <si>
    <t>1. Move the cancelled order to Refunded
2. Recheck the stock</t>
  </si>
  <si>
    <t>CANCELLED then REFUNDED</t>
  </si>
  <si>
    <t>Stock is credited only on the first releasing transition - the same 2 units are not returned twice</t>
  </si>
  <si>
    <t>Edge / Data integrity</t>
  </si>
  <si>
    <t>INV-010</t>
  </si>
  <si>
    <t>Stock rollback on payment failure</t>
  </si>
  <si>
    <t>Payment fails after checkout is submitted</t>
  </si>
  <si>
    <t>Variant has 5 in stock</t>
  </si>
  <si>
    <t>1. Reach payment and force a gateway failure
2. Recheck the stock and the order list</t>
  </si>
  <si>
    <t>declined card</t>
  </si>
  <si>
    <t>No order is left in a paid state and stock returns to 5 - the rollback removes exactly the reserved rows</t>
  </si>
  <si>
    <t>Negative / Integration</t>
  </si>
  <si>
    <t>QA audit: the one rollback that existed deleted the wrong rows</t>
  </si>
  <si>
    <t>INV-011</t>
  </si>
  <si>
    <t>Edit stock in admin</t>
  </si>
  <si>
    <t>Manually adjust a variant quantity</t>
  </si>
  <si>
    <t>Variant exists</t>
  </si>
  <si>
    <t>1. Change the quantity from 7 to 25
2. Save
3. Check the storefront</t>
  </si>
  <si>
    <t>7 to 25</t>
  </si>
  <si>
    <t>The new level is stored and reflected on the storefront immediately</t>
  </si>
  <si>
    <t>INV-012</t>
  </si>
  <si>
    <t>Delete an unused variant</t>
  </si>
  <si>
    <t>Remove a variant that has never been sold</t>
  </si>
  <si>
    <t>Variant with no order history</t>
  </si>
  <si>
    <t>1. Delete it
2. Reload the product</t>
  </si>
  <si>
    <t>unsold variant</t>
  </si>
  <si>
    <t>Removed cleanly along with its attribute links and images</t>
  </si>
  <si>
    <t>INV-013</t>
  </si>
  <si>
    <t>Delete a variant with sales history</t>
  </si>
  <si>
    <t>Remove a variant that appears on past orders</t>
  </si>
  <si>
    <t>Variant sold twice</t>
  </si>
  <si>
    <t>sold variant</t>
  </si>
  <si>
    <t>Either soft-deleted or hidden so it can be retired, while historical orders still resolve - it must not be permanently un-removable</t>
  </si>
  <si>
    <t>QA audit STK-04: ordered variants could never be removed</t>
  </si>
  <si>
    <t>INV-014</t>
  </si>
  <si>
    <t>SKU uniqueness</t>
  </si>
  <si>
    <t>Two variants sharing a SKU</t>
  </si>
  <si>
    <t>Product with variants</t>
  </si>
  <si>
    <t>1. Set the same SKU on two variants
2. Save</t>
  </si>
  <si>
    <t>SKU=QA-LAP-001 twice</t>
  </si>
  <si>
    <t>Rejected as duplicate so stock and reporting stay unambiguous</t>
  </si>
  <si>
    <t>INV-015</t>
  </si>
  <si>
    <t>Variant price overrides</t>
  </si>
  <si>
    <t>Set a per-variant price</t>
  </si>
  <si>
    <t>Base product priced at 599.99</t>
  </si>
  <si>
    <t>1. Set one variant to 649.99
2. Add it to the cart</t>
  </si>
  <si>
    <t>variant price=649.99</t>
  </si>
  <si>
    <t>The cart and order use the variant price, not the base price</t>
  </si>
  <si>
    <t>INV-016</t>
  </si>
  <si>
    <t>Variant price versus flash sale</t>
  </si>
  <si>
    <t>A variant price on a product in a flash sale</t>
  </si>
  <si>
    <t>Product is in an active flash sale and has a variant override</t>
  </si>
  <si>
    <t>1. Add the variant to the cart
2. Compare the price shown and the price charged</t>
  </si>
  <si>
    <t>flash price vs variant price</t>
  </si>
  <si>
    <t>The documented precedence is applied consistently and the amount charged matches the amount displayed</t>
  </si>
  <si>
    <t>Integration / Edge</t>
  </si>
  <si>
    <t>QA audit PRC-04: a variant price silently cancelled flash sales</t>
  </si>
  <si>
    <t>INV-017</t>
  </si>
  <si>
    <t>Inventory API ownership</t>
  </si>
  <si>
    <t>A vendor edits another vendor inventory</t>
  </si>
  <si>
    <t>1. As vendor A, POST an inventory update for a vendor B variant</t>
  </si>
  <si>
    <t>B inventory id</t>
  </si>
  <si>
    <t>403 or 404; the B stock level is unchanged</t>
  </si>
  <si>
    <t>INV-018</t>
  </si>
  <si>
    <t>Stock after a partial cancellation</t>
  </si>
  <si>
    <t>Cancel one line of a multi-line order</t>
  </si>
  <si>
    <t>Order with two products, 2 and 3 units</t>
  </si>
  <si>
    <t>1. Cancel only the first line
2. Recheck both stock levels</t>
  </si>
  <si>
    <t>cancel line 1 only</t>
  </si>
  <si>
    <t>Only the cancelled line units return; the second product stock is untouched</t>
  </si>
  <si>
    <t>Edge / Integration</t>
  </si>
  <si>
    <t>PRC-001</t>
  </si>
  <si>
    <t>Pricing &amp; Promotions</t>
  </si>
  <si>
    <t>Tax rule creation</t>
  </si>
  <si>
    <t>Create a tax rule and apply it</t>
  </si>
  <si>
    <t>Signed in with the tax rule permission</t>
  </si>
  <si>
    <t>1. Open /admin/tax-rules
2. Create Standard VAT at 20%
3. Attach it to a product
4. Add the product to the cart</t>
  </si>
  <si>
    <t>rate=20%; price=100</t>
  </si>
  <si>
    <t>Tax is calculated as 20.00 and shown as a separate line in the cart and on the invoice</t>
  </si>
  <si>
    <t>PRC-002</t>
  </si>
  <si>
    <t>Tax rounding</t>
  </si>
  <si>
    <t>Tax on an amount that does not divide evenly</t>
  </si>
  <si>
    <t>20% rule active</t>
  </si>
  <si>
    <t>1. Cart a product priced 19.99
2. Read the tax and total</t>
  </si>
  <si>
    <t>19.99 at 20%</t>
  </si>
  <si>
    <t>Tax rounds to 4.00 by the documented rule and the total is internally consistent to the penny</t>
  </si>
  <si>
    <t>PRC-003</t>
  </si>
  <si>
    <t>Zero-rate tax rule</t>
  </si>
  <si>
    <t>A product on a 0% rule</t>
  </si>
  <si>
    <t>0% rule exists</t>
  </si>
  <si>
    <t>1. Cart that product
2. Read the totals</t>
  </si>
  <si>
    <t>rate=0%</t>
  </si>
  <si>
    <t>Tax shows as 0.00 and the total equals the net - no division-by-zero or blank cell</t>
  </si>
  <si>
    <t>PRC-004</t>
  </si>
  <si>
    <t>Tax on bundle items</t>
  </si>
  <si>
    <t>Tax applied to a bundle deal line</t>
  </si>
  <si>
    <t>Bundle deal configured</t>
  </si>
  <si>
    <t>1. Add the bundle to the cart
2. Compare the tax against the component rules</t>
  </si>
  <si>
    <t>bundle of 3 items</t>
  </si>
  <si>
    <t>Tax is charged once at the correct rate for the bundle, not double-counted per component</t>
  </si>
  <si>
    <t>QA audit ORD-09: bundle items were taxed incorrectly</t>
  </si>
  <si>
    <t>PRC-005</t>
  </si>
  <si>
    <t>Shipping rule creation</t>
  </si>
  <si>
    <t>Create a shipping rule with places and charges</t>
  </si>
  <si>
    <t>Signed in with the shipping rule permission</t>
  </si>
  <si>
    <t>1. Open /admin/shipping-rules
2. Create a rule with title and shipping places
3. Save</t>
  </si>
  <si>
    <t>title=UK Mainland; places=England, Wales, Scotland; charge=4.99</t>
  </si>
  <si>
    <t>The rule saves, its places are selectable at checkout and the charge is applied</t>
  </si>
  <si>
    <t>PRC-006</t>
  </si>
  <si>
    <t>Shipping rule required fields</t>
  </si>
  <si>
    <t>Save a shipping rule without places</t>
  </si>
  <si>
    <t>On the shipping rule form</t>
  </si>
  <si>
    <t>1. Enter a title only
2. Save</t>
  </si>
  <si>
    <t>shipping_places empty</t>
  </si>
  <si>
    <t>Validation error - both title and shipping_places are required</t>
  </si>
  <si>
    <t>PRC-007</t>
  </si>
  <si>
    <t>Free shipping threshold</t>
  </si>
  <si>
    <t>Order value crosses the free shipping threshold</t>
  </si>
  <si>
    <t>Threshold set to 50</t>
  </si>
  <si>
    <t>1. Cart 49.99 and read the shipping
2. Add an item to pass 50 and read it again</t>
  </si>
  <si>
    <t>49.99 then 55.00</t>
  </si>
  <si>
    <t>Shipping is charged below the threshold and drops to 0.00 at and above it</t>
  </si>
  <si>
    <t>PRC-008</t>
  </si>
  <si>
    <t>Shipping to an uncovered place</t>
  </si>
  <si>
    <t>Ship to an address no rule covers</t>
  </si>
  <si>
    <t>Rules cover UK only</t>
  </si>
  <si>
    <t>1. Enter an address in a country with no rule
2. Proceed to shipping</t>
  </si>
  <si>
    <t>country=BR</t>
  </si>
  <si>
    <t>A clear message explains delivery is unavailable; checkout does not proceed with a 0.00 shipping charge by default</t>
  </si>
  <si>
    <t>PRC-009</t>
  </si>
  <si>
    <t>Collection instead of delivery</t>
  </si>
  <si>
    <t>Choose pickup rather than a shipping location</t>
  </si>
  <si>
    <t>Pickup is enabled</t>
  </si>
  <si>
    <t>1. Select pickup at checkout
2. Read the totals</t>
  </si>
  <si>
    <t>shippingTypeIn=PICKUP</t>
  </si>
  <si>
    <t>Shipping is removed from the total and the order records the pickup method</t>
  </si>
  <si>
    <t>PRC-010</t>
  </si>
  <si>
    <t>Create a flash sale</t>
  </si>
  <si>
    <t>Set up a flash sale with a window and products</t>
  </si>
  <si>
    <t>Signed in with the flash sale permission</t>
  </si>
  <si>
    <t>1. Open /admin/flash-sales
2. Set title, start_time, end_time and status
3. Add products with sale prices
4. Save</t>
  </si>
  <si>
    <t>start=today 09:00; end=today 23:00; status=1</t>
  </si>
  <si>
    <t>The sale is created and its products show the sale price on the storefront with a countdown</t>
  </si>
  <si>
    <t>PRC-011</t>
  </si>
  <si>
    <t>Flash sale required fields</t>
  </si>
  <si>
    <t>Save a flash sale with missing fields</t>
  </si>
  <si>
    <t>On the flash sale form</t>
  </si>
  <si>
    <t>1. Leave title, start_time, end_time and status blank
2. Save</t>
  </si>
  <si>
    <t>Errors on all four; status must also reject 0 (numeric|min:0|not_in:0)</t>
  </si>
  <si>
    <t>PRC-012</t>
  </si>
  <si>
    <t>Flash sale before it starts</t>
  </si>
  <si>
    <t>Browse a sale whose start time is in the future</t>
  </si>
  <si>
    <t>Sale starts in 2 hours</t>
  </si>
  <si>
    <t>1. Open the flash sale page and the product page</t>
  </si>
  <si>
    <t>future window</t>
  </si>
  <si>
    <t>The sale price is not applied yet and the product sells at its normal price</t>
  </si>
  <si>
    <t>PRC-013</t>
  </si>
  <si>
    <t>Flash sale after it ends</t>
  </si>
  <si>
    <t>Browse a sale that has just expired</t>
  </si>
  <si>
    <t>Sale ended one minute ago</t>
  </si>
  <si>
    <t>1. Reload the product page
2. Add it to the cart</t>
  </si>
  <si>
    <t>expired window</t>
  </si>
  <si>
    <t>The normal price is shown and charged; a cart added during the sale is re-priced rather than honouring a dead sale</t>
  </si>
  <si>
    <t>PRC-014</t>
  </si>
  <si>
    <t>Flash sale end-time boundary</t>
  </si>
  <si>
    <t>Complete a purchase in the final seconds</t>
  </si>
  <si>
    <t>Sale ends in 30 seconds</t>
  </si>
  <si>
    <t>1. Reach payment at 10 seconds remaining
2. Confirm payment after it ends</t>
  </si>
  <si>
    <t>boundary timing</t>
  </si>
  <si>
    <t>The behaviour is deterministic and documented, and the amount charged matches the amount shown at confirmation</t>
  </si>
  <si>
    <t>Boundary / Edge</t>
  </si>
  <si>
    <t>PRC-015</t>
  </si>
  <si>
    <t>Flash sale end before start</t>
  </si>
  <si>
    <t>Set an end time earlier than the start time</t>
  </si>
  <si>
    <t>1. Set start=18:00 and end=09:00 the same day
2. Save</t>
  </si>
  <si>
    <t>end &lt; start</t>
  </si>
  <si>
    <t>Rejected with a clear message</t>
  </si>
  <si>
    <t>PRC-016</t>
  </si>
  <si>
    <t>Flash discount applied to the charge</t>
  </si>
  <si>
    <t>A flash discount reduces the amount actually charged</t>
  </si>
  <si>
    <t>Flash discount configured and qualifying</t>
  </si>
  <si>
    <t>1. Cart a qualifying product
2. Note the discount shown
3. Complete payment
4. Compare the gateway amount</t>
  </si>
  <si>
    <t>discount = 10.00</t>
  </si>
  <si>
    <t>The gateway is charged the discounted total - the discount is not display-only</t>
  </si>
  <si>
    <t>Integration / Critical path</t>
  </si>
  <si>
    <t>QA audit PRC-01: flash and points discounts were shown but never deducted</t>
  </si>
  <si>
    <t>PRC-017</t>
  </si>
  <si>
    <t>Clearance pricing</t>
  </si>
  <si>
    <t>Add a product to clearance</t>
  </si>
  <si>
    <t>Signed in with the clearance permission</t>
  </si>
  <si>
    <t>1. Open /admin/clearances
2. Add a product with a clearance price
3. View /clearance</t>
  </si>
  <si>
    <t>clearance price=249.00</t>
  </si>
  <si>
    <t>The product appears on the clearance page at the clearance price and that price is charged</t>
  </si>
  <si>
    <t>PRC-018</t>
  </si>
  <si>
    <t>Bundle deal creation</t>
  </si>
  <si>
    <t>Create a bundle of several products at a combined price</t>
  </si>
  <si>
    <t>Signed in with the bundle permission</t>
  </si>
  <si>
    <t>1. Open /admin/bundle-deals
2. Add 3 products and a bundle price
3. Save
4. Add the bundle to the cart</t>
  </si>
  <si>
    <t>3 products; bundle=799.00</t>
  </si>
  <si>
    <t>The bundle is purchasable as one line at 799.00 and each component decrements its own stock</t>
  </si>
  <si>
    <t>PRC-019</t>
  </si>
  <si>
    <t>Bundle with an out-of-stock component</t>
  </si>
  <si>
    <t>Buy a bundle where one component is unavailable</t>
  </si>
  <si>
    <t>One component has 0 stock</t>
  </si>
  <si>
    <t>1. Add the bundle to the cart
2. Attempt checkout</t>
  </si>
  <si>
    <t>component stock=0</t>
  </si>
  <si>
    <t>Blocked with a clear message naming the unavailable item; the bundle is not sold</t>
  </si>
  <si>
    <t>PRC-020</t>
  </si>
  <si>
    <t>Upsell configuration</t>
  </si>
  <si>
    <t>Configure upsell products and see them offered</t>
  </si>
  <si>
    <t>Signed in with the upsell permission</t>
  </si>
  <si>
    <t>1. Open /admin/upsell
2. Attach upsell products to a base product
3. Open the storefront product page</t>
  </si>
  <si>
    <t>base plus 3 upsells</t>
  </si>
  <si>
    <t>The upsell block renders the configured products with correct prices and add-to-cart works</t>
  </si>
  <si>
    <t>PRC-021</t>
  </si>
  <si>
    <t>Cross-sell in the cart</t>
  </si>
  <si>
    <t>Cross-sell items appear alongside the cart</t>
  </si>
  <si>
    <t>Cross-sell configured</t>
  </si>
  <si>
    <t>1. Add the base product to the cart
2. Open the cart</t>
  </si>
  <si>
    <t>cross-sell products</t>
  </si>
  <si>
    <t>Cross-sell suggestions render and adding one updates the cart total correctly</t>
  </si>
  <si>
    <t>PRC-022</t>
  </si>
  <si>
    <t>Product collections</t>
  </si>
  <si>
    <t>Group products into a homepage collection</t>
  </si>
  <si>
    <t>Signed in with the collection permission</t>
  </si>
  <si>
    <t>1. Create a collection and add 9 products
2. Publish it
3. Open the homepage</t>
  </si>
  <si>
    <t>9 products</t>
  </si>
  <si>
    <t>The collection renders on the homepage honouring the COLLECTION pagination of 9</t>
  </si>
  <si>
    <t>PRC-023</t>
  </si>
  <si>
    <t>Loyalty group discount</t>
  </si>
  <si>
    <t>A loyalty group grants a percentage discount</t>
  </si>
  <si>
    <t>Loyalty group with 5% configured; a member account exists</t>
  </si>
  <si>
    <t>1. Sign in as the member
2. Cart a product
3. Read the discount and complete payment</t>
  </si>
  <si>
    <t>5% of 200.00 = 10.00</t>
  </si>
  <si>
    <t>The 5% is deducted from the amount charged, not only displayed</t>
  </si>
  <si>
    <t>PRC-024</t>
  </si>
  <si>
    <t>Stacked promotions</t>
  </si>
  <si>
    <t>A product in a flash sale with a voucher and a loyalty discount together</t>
  </si>
  <si>
    <t>All three promotions apply</t>
  </si>
  <si>
    <t>1. Cart the product
2. Apply the voucher
3. Compare the shown total against the charged total</t>
  </si>
  <si>
    <t>flash plus 10% voucher plus 5% loyalty</t>
  </si>
  <si>
    <t>Stacking follows a documented order, the total never goes below zero and shown equals charged</t>
  </si>
  <si>
    <t>PRC-025</t>
  </si>
  <si>
    <t>Discount cannot exceed the order</t>
  </si>
  <si>
    <t>Promotions that together exceed the order value</t>
  </si>
  <si>
    <t>Discounts totalling more than the cart</t>
  </si>
  <si>
    <t>1. Apply every discount to a small cart</t>
  </si>
  <si>
    <t>cart=10.00; discounts=25.00</t>
  </si>
  <si>
    <t>The payable total floors at 0.00 - never negative, and no refund is created out of thin air</t>
  </si>
  <si>
    <t>PRC-026</t>
  </si>
  <si>
    <t>Currency display and position</t>
  </si>
  <si>
    <t>Change the currency symbol and its position</t>
  </si>
  <si>
    <t>Signed in with the setting permission</t>
  </si>
  <si>
    <t>1. Open /admin/setting/currency
2. Set the symbol and position
3. Browse the storefront</t>
  </si>
  <si>
    <t>currency=GBP; icon=GBP sign; position=PRE</t>
  </si>
  <si>
    <t>Prices render as the symbol before the amount everywhere - listing, product, cart, checkout, invoice and emails</t>
  </si>
  <si>
    <t>PRC-027</t>
  </si>
  <si>
    <t>Currency required fields</t>
  </si>
  <si>
    <t>Save currency settings incompletely</t>
  </si>
  <si>
    <t>On the currency form</t>
  </si>
  <si>
    <t>1. Clear the symbol
2. Save</t>
  </si>
  <si>
    <t>currency_icon empty</t>
  </si>
  <si>
    <t>Validation error - currency, currency_icon and currency_position are all required</t>
  </si>
  <si>
    <t>PRC-028</t>
  </si>
  <si>
    <t>Price precision end to end</t>
  </si>
  <si>
    <t>Two-decimal precision from listing to invoice</t>
  </si>
  <si>
    <t>Product priced 1234.56</t>
  </si>
  <si>
    <t>1. Follow the price through listing, product, cart, checkout, gateway and invoice</t>
  </si>
  <si>
    <t>1234.56 x 3 = 3703.68</t>
  </si>
  <si>
    <t>Every surface shows the same value with two decimals; no truncation of pence and no floating-point drift</t>
  </si>
  <si>
    <t>Boundary / Integration</t>
  </si>
  <si>
    <t>QA audit PAY-04: Stripe truncated cents</t>
  </si>
  <si>
    <t>PRC-029</t>
  </si>
  <si>
    <t>Very large order total</t>
  </si>
  <si>
    <t>An order near the column and gateway limits</t>
  </si>
  <si>
    <t>High-value products available</t>
  </si>
  <si>
    <t>1. Build a cart worth about 999,999.99
2. Proceed to payment</t>
  </si>
  <si>
    <t>total = 999999.99</t>
  </si>
  <si>
    <t>Either processed correctly or refused with a clear limit message - never silently truncated or overflowed</t>
  </si>
  <si>
    <t>PRC-030</t>
  </si>
  <si>
    <t>Price shown equals price charged</t>
  </si>
  <si>
    <t>Cross-check the displayed and charged amounts on every promotion type</t>
  </si>
  <si>
    <t>Flash, clearance, bundle, voucher, loyalty and points all configured</t>
  </si>
  <si>
    <t>1. For each promotion type, complete a purchase and compare the cart total, the confirmation total, the gateway amount and the stored order total</t>
  </si>
  <si>
    <t>one order per promotion type</t>
  </si>
  <si>
    <t>All four figures agree exactly for every promotion type</t>
  </si>
  <si>
    <t>Master reconciliation case for the QA audit pricing findings</t>
  </si>
  <si>
    <t>VOU-001</t>
  </si>
  <si>
    <t>Vouchers &amp; Coupons</t>
  </si>
  <si>
    <t>Create a percentage voucher</t>
  </si>
  <si>
    <t>Create a percentage-off coupon</t>
  </si>
  <si>
    <t>Signed in with the voucher permission</t>
  </si>
  <si>
    <t>1. Open /admin/vouchers
2. Add code, type=percent, value, start and expiry, usage limit and minimum spend
3. Save</t>
  </si>
  <si>
    <t>code=QA10; type=percent; value=10; min_spend=50; limit=100</t>
  </si>
  <si>
    <t>The voucher is created and applies 10% at checkout on a qualifying cart</t>
  </si>
  <si>
    <t>VOU-002</t>
  </si>
  <si>
    <t>Create a flat voucher</t>
  </si>
  <si>
    <t>Create a fixed-amount coupon</t>
  </si>
  <si>
    <t>1. Create code=QAFLAT20, type=flat, value=20
2. Save
3. Apply it to a 100.00 cart</t>
  </si>
  <si>
    <t>value=20; cart=100.00</t>
  </si>
  <si>
    <t>Exactly 20.00 is deducted and the payable total is 80.00</t>
  </si>
  <si>
    <t>VOU-003</t>
  </si>
  <si>
    <t>Apply a valid voucher</t>
  </si>
  <si>
    <t>Redeem a coupon at checkout</t>
  </si>
  <si>
    <t>QA10 is active; cart is 120.00</t>
  </si>
  <si>
    <t>1. Enter QA10 in the cart
2. Apply
3. Read the totals</t>
  </si>
  <si>
    <t>QA10 on 120.00</t>
  </si>
  <si>
    <t>12.00 is deducted, the discount line is labelled and the payable total updates immediately</t>
  </si>
  <si>
    <t>VOU-004</t>
  </si>
  <si>
    <t>Invalid voucher code</t>
  </si>
  <si>
    <t>Apply a code that does not exist</t>
  </si>
  <si>
    <t>Cart has items</t>
  </si>
  <si>
    <t>1. Enter a random code
2. Apply</t>
  </si>
  <si>
    <t>code=NOTREAL99</t>
  </si>
  <si>
    <t>A clear "code not recognised" message; the total is unchanged</t>
  </si>
  <si>
    <t>VOU-005</t>
  </si>
  <si>
    <t>Expired voucher</t>
  </si>
  <si>
    <t>Apply a coupon past its expiry date</t>
  </si>
  <si>
    <t>Voucher expired yesterday</t>
  </si>
  <si>
    <t>1. Enter the expired code
2. Apply
3. Also attempt to complete checkout with it</t>
  </si>
  <si>
    <t>expiry = yesterday</t>
  </si>
  <si>
    <t>Rejected as expired at the cart and again server-side at order creation</t>
  </si>
  <si>
    <t>QA audit PRC-02: the expiry check could never fire</t>
  </si>
  <si>
    <t>VOU-006</t>
  </si>
  <si>
    <t>Voucher not yet active</t>
  </si>
  <si>
    <t>Apply a coupon before its start date</t>
  </si>
  <si>
    <t>Voucher starts tomorrow</t>
  </si>
  <si>
    <t>1. Enter the code
2. Apply</t>
  </si>
  <si>
    <t>start = tomorrow</t>
  </si>
  <si>
    <t>Rejected as not yet valid</t>
  </si>
  <si>
    <t>VOU-007</t>
  </si>
  <si>
    <t>Voucher expiry boundary</t>
  </si>
  <si>
    <t>Apply a coupon on its exact last day and the following minute</t>
  </si>
  <si>
    <t>Voucher expires today at 23:59</t>
  </si>
  <si>
    <t>1. Apply at 23:58
2. Apply at 00:01 the next day</t>
  </si>
  <si>
    <t>Accepted inside the window and rejected outside it, with the timezone applied consistently</t>
  </si>
  <si>
    <t>VOU-008</t>
  </si>
  <si>
    <t>Minimum spend not met</t>
  </si>
  <si>
    <t>Apply a coupon to a cart below the minimum</t>
  </si>
  <si>
    <t>QA10 requires 50.00 minimum; cart is 40.00</t>
  </si>
  <si>
    <t>1. Apply QA10
2. Then add items to exceed 50.00 and retry</t>
  </si>
  <si>
    <t>40.00 then 60.00</t>
  </si>
  <si>
    <t>Rejected below the threshold with the minimum stated, and accepted once the cart qualifies</t>
  </si>
  <si>
    <t>VOU-009</t>
  </si>
  <si>
    <t>Minimum spend evaluated server-side</t>
  </si>
  <si>
    <t>Force a coupon through with a falsified cart value</t>
  </si>
  <si>
    <t>API client with a valid session</t>
  </si>
  <si>
    <t>1. POST the voucher validity endpoint with an inflated cart total
2. Then complete the order</t>
  </si>
  <si>
    <t>client-supplied cart total=999</t>
  </si>
  <si>
    <t>The server recomputes the cart value from the database and refuses the coupon; the order total is not discounted</t>
  </si>
  <si>
    <t>QA audit PRC-03: coupon preview trusted a client-supplied cart value</t>
  </si>
  <si>
    <t>VOU-010</t>
  </si>
  <si>
    <t>Usage limit reached</t>
  </si>
  <si>
    <t>Redeem a coupon beyond its global limit</t>
  </si>
  <si>
    <t>Voucher limit is 2, already used twice on paid orders</t>
  </si>
  <si>
    <t>1. Apply the code on a third order</t>
  </si>
  <si>
    <t>limit=2, used=2</t>
  </si>
  <si>
    <t>Rejected as fully redeemed</t>
  </si>
  <si>
    <t>VOU-011</t>
  </si>
  <si>
    <t>Usage count excludes failed orders</t>
  </si>
  <si>
    <t>Failed and cancelled orders do not consume a redemption</t>
  </si>
  <si>
    <t>Voucher limit is 1</t>
  </si>
  <si>
    <t>1. Start an order with the code and fail payment
2. Start a new order with the same code</t>
  </si>
  <si>
    <t>failed order then new order</t>
  </si>
  <si>
    <t>The second order can still use the code - only successful, non-cancelled orders count</t>
  </si>
  <si>
    <t>QA audit PRC-06: usage counts included failed and cancelled orders</t>
  </si>
  <si>
    <t>VOU-012</t>
  </si>
  <si>
    <t>Concurrent redemption of the last use</t>
  </si>
  <si>
    <t>Two shoppers redeem the final allowed use simultaneously</t>
  </si>
  <si>
    <t>Voucher has 1 use left; two sessions at payment</t>
  </si>
  <si>
    <t>1. Both confirm payment at the same moment</t>
  </si>
  <si>
    <t>1 use, 2 buyers</t>
  </si>
  <si>
    <t>Exactly one redemption is recorded; the other order is charged without the discount or is refused - the count never exceeds the limit</t>
  </si>
  <si>
    <t>QA audit PRC-06 flagged a race under load</t>
  </si>
  <si>
    <t>VOU-013</t>
  </si>
  <si>
    <t>Per-user usage limit</t>
  </si>
  <si>
    <t>A single customer reuses a one-per-customer coupon</t>
  </si>
  <si>
    <t>Coupon limited to one use per customer; already used once</t>
  </si>
  <si>
    <t>1. Apply the same code on a second order as the same customer</t>
  </si>
  <si>
    <t>same customer, second order</t>
  </si>
  <si>
    <t>Rejected with a per-customer message while other customers can still redeem it</t>
  </si>
  <si>
    <t>VOU-014</t>
  </si>
  <si>
    <t>Maximum discount cap</t>
  </si>
  <si>
    <t>A percentage coupon with a cap on a large cart</t>
  </si>
  <si>
    <t>20% coupon capped at 25.00; cart is 500.00</t>
  </si>
  <si>
    <t>1. Apply the coupon
2. Read the discount</t>
  </si>
  <si>
    <t>20% of 500 = 100, cap 25</t>
  </si>
  <si>
    <t>Exactly 25.00 is deducted, and a cap such as 25.50 is honoured to the penny rather than truncated to whole units</t>
  </si>
  <si>
    <t>QA audit PRC-05: caps were truncated to whole units</t>
  </si>
  <si>
    <t>VOU-015</t>
  </si>
  <si>
    <t>Remove an applied voucher</t>
  </si>
  <si>
    <t>Take a coupon off the cart</t>
  </si>
  <si>
    <t>QA10 applied</t>
  </si>
  <si>
    <t>1. Click remove
2. Read the totals</t>
  </si>
  <si>
    <t>remove QA10</t>
  </si>
  <si>
    <t>The discount line disappears, the total returns to the pre-discount value and the redemption is not consumed</t>
  </si>
  <si>
    <t>VOU-016</t>
  </si>
  <si>
    <t>Two vouchers at once</t>
  </si>
  <si>
    <t>Apply a second coupon on top of the first</t>
  </si>
  <si>
    <t>QA10 already applied</t>
  </si>
  <si>
    <t>1. Apply QAFLAT20 as well</t>
  </si>
  <si>
    <t>QA10 then QAFLAT20</t>
  </si>
  <si>
    <t>Either the second replaces the first or stacking is refused, per the documented rule - the outcome is deterministic and the discount never doubles</t>
  </si>
  <si>
    <t>VOU-017</t>
  </si>
  <si>
    <t>Voucher code case sensitivity</t>
  </si>
  <si>
    <t>Enter the code in the wrong case</t>
  </si>
  <si>
    <t>QA10 exists</t>
  </si>
  <si>
    <t>1. Apply qa10 and Qa10</t>
  </si>
  <si>
    <t>qa10; Qa10</t>
  </si>
  <si>
    <t>Both are accepted, or both rejected consistently - the behaviour must not vary by case</t>
  </si>
  <si>
    <t>Edge</t>
  </si>
  <si>
    <t>VOU-018</t>
  </si>
  <si>
    <t>Voucher on a specific category</t>
  </si>
  <si>
    <t>A coupon restricted to one category</t>
  </si>
  <si>
    <t>Coupon limited to Laptops</t>
  </si>
  <si>
    <t>1. Apply it to a cart with only accessories
2. Then to a cart containing a laptop</t>
  </si>
  <si>
    <t>non-qualifying then qualifying cart</t>
  </si>
  <si>
    <t>Refused on the non-qualifying cart, and applied only to the qualifying lines on the second</t>
  </si>
  <si>
    <t>VOU-019</t>
  </si>
  <si>
    <t>Voucher after cancellation</t>
  </si>
  <si>
    <t>Cancel an order that used a coupon</t>
  </si>
  <si>
    <t>Order used QA10 and is confirmed</t>
  </si>
  <si>
    <t>1. Cancel the order
2. Reapply QA10 on a new order</t>
  </si>
  <si>
    <t>cancelled order</t>
  </si>
  <si>
    <t>The redemption is released and the code can be used again</t>
  </si>
  <si>
    <t>Integration</t>
  </si>
  <si>
    <t>QA audit ORD-01: voucher redemption stayed consumed</t>
  </si>
  <si>
    <t>VOU-020</t>
  </si>
  <si>
    <t>Purchase a gift voucher</t>
  </si>
  <si>
    <t>Buy a gift voucher</t>
  </si>
  <si>
    <t>Gift vouchers configured; signed-in customer</t>
  </si>
  <si>
    <t>1. Open the gift voucher page
2. Choose a value and recipient
3. POST purchase-gift-voucher and pay</t>
  </si>
  <si>
    <t>value=50.00; recipient=friend@example.com</t>
  </si>
  <si>
    <t>The voucher is issued with a unique code, emailed to the recipient and recorded against the buyer</t>
  </si>
  <si>
    <t>VOU-021</t>
  </si>
  <si>
    <t>Redeem a gift voucher</t>
  </si>
  <si>
    <t>Spend a gift voucher on an order</t>
  </si>
  <si>
    <t>A 50.00 gift voucher is held</t>
  </si>
  <si>
    <t>1. Apply the gift voucher code at checkout on an 80.00 cart
2. Pay the remainder</t>
  </si>
  <si>
    <t>50.00 voucher on 80.00</t>
  </si>
  <si>
    <t>30.00 is charged to the gateway, the voucher balance drops to 0 and it cannot be reused</t>
  </si>
  <si>
    <t>VOU-022</t>
  </si>
  <si>
    <t>Gift voucher partial balance</t>
  </si>
  <si>
    <t>Spend less than the voucher value</t>
  </si>
  <si>
    <t>1. Apply it to a 30.00 cart
2. Complete the order
3. Check the remaining balance</t>
  </si>
  <si>
    <t>50.00 voucher on 30.00</t>
  </si>
  <si>
    <t>The order is fully covered and a 20.00 balance remains available for a later order</t>
  </si>
  <si>
    <t>Boundary / Functional</t>
  </si>
  <si>
    <t>VOU-023</t>
  </si>
  <si>
    <t>Gift voucher double-spend</t>
  </si>
  <si>
    <t>Use the same gift voucher on two concurrent orders</t>
  </si>
  <si>
    <t>A 50.00 voucher; two sessions ready</t>
  </si>
  <si>
    <t>1. Both apply the same code and confirm payment together</t>
  </si>
  <si>
    <t>one voucher, two orders</t>
  </si>
  <si>
    <t>The balance is debited once; the second order does not receive the credit</t>
  </si>
  <si>
    <t>Concurrency / Security</t>
  </si>
  <si>
    <t>VOU-024</t>
  </si>
  <si>
    <t>Gift voucher code guessing</t>
  </si>
  <si>
    <t>Enumerate gift voucher codes</t>
  </si>
  <si>
    <t>Gift vouchers exist</t>
  </si>
  <si>
    <t>1. Submit 50 sequential or random candidate codes</t>
  </si>
  <si>
    <t>guessed codes</t>
  </si>
  <si>
    <t>Codes are long and random enough to resist guessing, and repeated failures are throttled</t>
  </si>
  <si>
    <t>CART-001</t>
  </si>
  <si>
    <t>Cart</t>
  </si>
  <si>
    <t>Add to cart as a signed-in customer</t>
  </si>
  <si>
    <t>Add a product to the cart from the product page</t>
  </si>
  <si>
    <t>Signed-in customer; product in stock</t>
  </si>
  <si>
    <t>1. Open the product page
2. Choose a variant
3. Set quantity 1
4. Click Add to Cart</t>
  </si>
  <si>
    <t>product_id, inventory_id, quantity=1</t>
  </si>
  <si>
    <t>The item is added, the header count increments and the cart shows the correct price and line total</t>
  </si>
  <si>
    <t>CART-002</t>
  </si>
  <si>
    <t>Add to cart as a guest</t>
  </si>
  <si>
    <t>Add a product without signing in</t>
  </si>
  <si>
    <t>Guest session with a server-issued token</t>
  </si>
  <si>
    <t>1. Add a product as a guest
2. Reload the page</t>
  </si>
  <si>
    <t>guest token</t>
  </si>
  <si>
    <t>The item persists against the guest token across a reload</t>
  </si>
  <si>
    <t>CART-003</t>
  </si>
  <si>
    <t>Add without choosing a variant</t>
  </si>
  <si>
    <t>Add a variant product without selecting options</t>
  </si>
  <si>
    <t>Product has variants</t>
  </si>
  <si>
    <t>1. Click Add to Cart without picking a variant</t>
  </si>
  <si>
    <t>no inventory_id</t>
  </si>
  <si>
    <t>Blocked with a prompt to choose the options; nothing is added</t>
  </si>
  <si>
    <t>CART-004</t>
  </si>
  <si>
    <t>Cart quantity validation</t>
  </si>
  <si>
    <t>Submit invalid quantities to the cart API</t>
  </si>
  <si>
    <t>1. POST cart action with each quantity in turn</t>
  </si>
  <si>
    <t>0 | -3 | 1.5 | abc | 1000 | 999</t>
  </si>
  <si>
    <t>0, negatives, decimals, text and 1000 are all rejected; 999 (MAX_LINE_QUANTITY) is accepted</t>
  </si>
  <si>
    <t>QA audit STK-02: a negative quantity increased stock</t>
  </si>
  <si>
    <t>CART-005</t>
  </si>
  <si>
    <t>Cart quantity boundary</t>
  </si>
  <si>
    <t>Quantities at the documented limits</t>
  </si>
  <si>
    <t>Product with ample stock</t>
  </si>
  <si>
    <t>1. Add 1
2. Update to 999
3. Update to 1000</t>
  </si>
  <si>
    <t>1 | 999 | 1000</t>
  </si>
  <si>
    <t>1 and 999 succeed; 1000 is rejected against MAX_LINE_QUANTITY</t>
  </si>
  <si>
    <t>CART-006</t>
  </si>
  <si>
    <t>Non-existent product or inventory id</t>
  </si>
  <si>
    <t>Add a product id that does not exist</t>
  </si>
  <si>
    <t>1. POST cart action with product_id=999999 and inventory_id=999999</t>
  </si>
  <si>
    <t>ids that do not exist</t>
  </si>
  <si>
    <t>Rejected by the exists rules with a validation error, not a 500</t>
  </si>
  <si>
    <t>CART-007</t>
  </si>
  <si>
    <t>Price is taken from the server</t>
  </si>
  <si>
    <t>Submit a client-supplied price with the cart payload</t>
  </si>
  <si>
    <t>Signed-in customer; product priced 599.99</t>
  </si>
  <si>
    <t>1. POST cart action including price=1.00
2. Open the cart and complete checkout</t>
  </si>
  <si>
    <t>price=1.00</t>
  </si>
  <si>
    <t>The client price is ignored; the cart and the order both use 599.99 from the database</t>
  </si>
  <si>
    <t>QA audit PRC-03: the cart wrote client-supplied prices to the database</t>
  </si>
  <si>
    <t>CART-008</t>
  </si>
  <si>
    <t>Update a cart quantity</t>
  </si>
  <si>
    <t>Change the quantity of a cart line</t>
  </si>
  <si>
    <t>Cart has one line at quantity 1</t>
  </si>
  <si>
    <t>1. Increase to 4
2. Read the line and cart totals</t>
  </si>
  <si>
    <t>quantity 1 to 4</t>
  </si>
  <si>
    <t>The line total and cart total recalculate correctly and persist across a reload</t>
  </si>
  <si>
    <t>CART-009</t>
  </si>
  <si>
    <t>Remove a cart line</t>
  </si>
  <si>
    <t>Delete one item from the cart</t>
  </si>
  <si>
    <t>Cart has three lines</t>
  </si>
  <si>
    <t>1. Remove the middle line
2. Read the cart</t>
  </si>
  <si>
    <t>remove line 2</t>
  </si>
  <si>
    <t>Only that line is removed and the totals recalculate; the other two are untouched</t>
  </si>
  <si>
    <t>CART-010</t>
  </si>
  <si>
    <t>Remove another customer cart line (IDOR)</t>
  </si>
  <si>
    <t>Delete a cart row that belongs to someone else</t>
  </si>
  <si>
    <t>Carts exist for customers A and B</t>
  </si>
  <si>
    <t>1. As A, call the cart delete endpoint with a B cart row id</t>
  </si>
  <si>
    <t>B cart id</t>
  </si>
  <si>
    <t>403 or 404; the B cart is unchanged</t>
  </si>
  <si>
    <t>QA audit CRT-03: cart delete accepted any row id</t>
  </si>
  <si>
    <t>CART-011</t>
  </si>
  <si>
    <t>Select or deselect cart lines (IDOR)</t>
  </si>
  <si>
    <t>Toggle the selected flag on someone else cart row</t>
  </si>
  <si>
    <t>Carts for A and B</t>
  </si>
  <si>
    <t>1. As A, post a select toggle for a B cart row id</t>
  </si>
  <si>
    <t>Refused; the B selection state is unchanged</t>
  </si>
  <si>
    <t>CART-012</t>
  </si>
  <si>
    <t>Update shipping on another cart (IDOR)</t>
  </si>
  <si>
    <t>Change the shipping choice on someone else cart</t>
  </si>
  <si>
    <t>1. As A, POST update-shipping for a B cart row</t>
  </si>
  <si>
    <t>Refused with no change to the B cart</t>
  </si>
  <si>
    <t>CART-013</t>
  </si>
  <si>
    <t>Buy now</t>
  </si>
  <si>
    <t>Use Buy Now from the product page</t>
  </si>
  <si>
    <t>Signed-in customer with an existing multi-line cart</t>
  </si>
  <si>
    <t>1. Click Buy Now on a different product
2. Observe the checkout scope
3. Then reopen the normal cart</t>
  </si>
  <si>
    <t>buy-now product</t>
  </si>
  <si>
    <t>Only the Buy Now item is checked out; the existing cart lines are preserved and still selected, and no other customer cart is affected</t>
  </si>
  <si>
    <t>QA audit ORD-06: buy-now deselected every cart for every customer</t>
  </si>
  <si>
    <t>CART-014</t>
  </si>
  <si>
    <t>Empty cart state</t>
  </si>
  <si>
    <t>Open the cart with nothing in it</t>
  </si>
  <si>
    <t>Cart is empty</t>
  </si>
  <si>
    <t>1. Open /cart</t>
  </si>
  <si>
    <t>empty cart</t>
  </si>
  <si>
    <t>A friendly empty state with a link back to shopping; checkout is not reachable</t>
  </si>
  <si>
    <t>UI / Edge</t>
  </si>
  <si>
    <t>CART-015</t>
  </si>
  <si>
    <t>Checkout an empty cart</t>
  </si>
  <si>
    <t>Force checkout with no items</t>
  </si>
  <si>
    <t>1. Navigate directly to /checkout
2. Submit the order</t>
  </si>
  <si>
    <t>no items</t>
  </si>
  <si>
    <t>Blocked with a clear message; no empty order row is written</t>
  </si>
  <si>
    <t>QA audit ORD-01: a third of live orders had no line items</t>
  </si>
  <si>
    <t>CART-016</t>
  </si>
  <si>
    <t>Cart persistence across sessions</t>
  </si>
  <si>
    <t>Cart survives sign out and back in</t>
  </si>
  <si>
    <t>Signed-in customer with 2 cart items</t>
  </si>
  <si>
    <t>1. Sign out
2. Sign back in
3. Open the cart</t>
  </si>
  <si>
    <t>2 items</t>
  </si>
  <si>
    <t>Both items are still present with the same quantities</t>
  </si>
  <si>
    <t>CART-017</t>
  </si>
  <si>
    <t>Cart with a product that goes private</t>
  </si>
  <si>
    <t>A cart item is unpublished by an admin</t>
  </si>
  <si>
    <t>Cart holds a product an admin then makes private</t>
  </si>
  <si>
    <t>1. Admin sets the product to private
2. Customer reloads the cart and tries to check out</t>
  </si>
  <si>
    <t>product private</t>
  </si>
  <si>
    <t>The line is flagged as unavailable and removed or blocked at checkout - it cannot be purchased</t>
  </si>
  <si>
    <t>CART-018</t>
  </si>
  <si>
    <t>Cart with a deleted product</t>
  </si>
  <si>
    <t>A cart item is deleted by an admin</t>
  </si>
  <si>
    <t>Cart holds a product an admin then deletes</t>
  </si>
  <si>
    <t>1. Reload the cart
2. Attempt checkout</t>
  </si>
  <si>
    <t>product deleted</t>
  </si>
  <si>
    <t>The cart renders without a 500 and the missing line is handled explicitly</t>
  </si>
  <si>
    <t>Edge / Error handling</t>
  </si>
  <si>
    <t>CART-019</t>
  </si>
  <si>
    <t>Cart price refresh</t>
  </si>
  <si>
    <t>A product price changes while it sits in the cart</t>
  </si>
  <si>
    <t>Cart holds a product priced 100.00</t>
  </si>
  <si>
    <t>1. Admin changes the price to 120.00
2. Reload the cart and complete checkout</t>
  </si>
  <si>
    <t>100.00 to 120.00</t>
  </si>
  <si>
    <t>The cart shows the current price and the customer is charged the price they confirmed - shown always equals charged</t>
  </si>
  <si>
    <t>CART-020</t>
  </si>
  <si>
    <t>Save for later</t>
  </si>
  <si>
    <t>Move a cart item to Save for Later and back</t>
  </si>
  <si>
    <t>Cart has an item</t>
  </si>
  <si>
    <t>1. Save the item for later
2. Open the saved list
3. Move it back to the cart</t>
  </si>
  <si>
    <t>one item</t>
  </si>
  <si>
    <t>It moves cleanly in both directions with the quantity preserved and never appears in both lists at once</t>
  </si>
  <si>
    <t>CART-021</t>
  </si>
  <si>
    <t>Add to wishlist</t>
  </si>
  <si>
    <t>Add and remove a wishlist item</t>
  </si>
  <si>
    <t>1. Click the heart on a product
2. Open /user/wishlists
3. Remove it</t>
  </si>
  <si>
    <t>one product</t>
  </si>
  <si>
    <t>The item appears in the wishlist and is removed cleanly; the heart state matches on the product page</t>
  </si>
  <si>
    <t>CART-022</t>
  </si>
  <si>
    <t>Wishlist requires sign-in</t>
  </si>
  <si>
    <t>Add to the wishlist as a guest</t>
  </si>
  <si>
    <t>1. Click the heart while signed out</t>
  </si>
  <si>
    <t>guest</t>
  </si>
  <si>
    <t>A sign-in prompt appears and the intent is honoured after login, or the action is cleanly refused</t>
  </si>
  <si>
    <t>Negative / UX</t>
  </si>
  <si>
    <t>CART-023</t>
  </si>
  <si>
    <t>Wishlist to cart</t>
  </si>
  <si>
    <t>Move a wishlist item into the cart</t>
  </si>
  <si>
    <t>Wishlist has one item</t>
  </si>
  <si>
    <t>1. Click Add to Cart from the wishlist</t>
  </si>
  <si>
    <t>The item is added with the correct price and variant</t>
  </si>
  <si>
    <t>CART-024</t>
  </si>
  <si>
    <t>Compare products</t>
  </si>
  <si>
    <t>Compare several products side by side</t>
  </si>
  <si>
    <t>Three comparable products</t>
  </si>
  <si>
    <t>1. Add three products to compare
2. Open /user/compared
3. Remove one</t>
  </si>
  <si>
    <t>3 products</t>
  </si>
  <si>
    <t>All three render side by side with matching specification rows; removal updates the view</t>
  </si>
  <si>
    <t>CART-025</t>
  </si>
  <si>
    <t>Compare list limit</t>
  </si>
  <si>
    <t>Exceed the comparison limit</t>
  </si>
  <si>
    <t>Comparison limit reached</t>
  </si>
  <si>
    <t>1. Add one more product to compare</t>
  </si>
  <si>
    <t>limit plus one</t>
  </si>
  <si>
    <t>A clear message explains the limit; the list is not silently truncated</t>
  </si>
  <si>
    <t>CART-026</t>
  </si>
  <si>
    <t>Recently viewed</t>
  </si>
  <si>
    <t>Recently viewed products are tracked</t>
  </si>
  <si>
    <t>1. View four products
2. Open /user/recently-viewed
3. Delete one
4. Clear all</t>
  </si>
  <si>
    <t>4 products</t>
  </si>
  <si>
    <t>The list shows the four in most-recent order, single delete and clear-all both work, and a customer sees only their own history</t>
  </si>
  <si>
    <t>CART-027</t>
  </si>
  <si>
    <t>Recently viewed IDOR</t>
  </si>
  <si>
    <t>Delete another customer recently-viewed entry</t>
  </si>
  <si>
    <t>Histories for A and B</t>
  </si>
  <si>
    <t>1. As A, DELETE /recently-viewed/{B product row}</t>
  </si>
  <si>
    <t>B entry</t>
  </si>
  <si>
    <t>Only the caller own history is affected</t>
  </si>
  <si>
    <t>CHK-001</t>
  </si>
  <si>
    <t>Checkout</t>
  </si>
  <si>
    <t>Checkout as a signed-in customer</t>
  </si>
  <si>
    <t>Complete checkout end to end</t>
  </si>
  <si>
    <t>Signed-in customer with a saved address and a cart of 2 items</t>
  </si>
  <si>
    <t>1. Open /checkout
2. Confirm the address
3. Choose shipping
4. Choose cash on delivery
5. Place the order</t>
  </si>
  <si>
    <t>2 items; COD</t>
  </si>
  <si>
    <t>The order is created with both line items, the correct total and status PENDING; a confirmation is shown</t>
  </si>
  <si>
    <t>Functional / E2E</t>
  </si>
  <si>
    <t>CHK-002</t>
  </si>
  <si>
    <t>Guest checkout</t>
  </si>
  <si>
    <t>Complete checkout without an account</t>
  </si>
  <si>
    <t>Guest with a valid guest token and a cart</t>
  </si>
  <si>
    <t>1. Open /checkout as a guest
2. Enter the delivery and contact details
3. Place the order</t>
  </si>
  <si>
    <t>guest email=guest@example.com</t>
  </si>
  <si>
    <t>The order is created against the guest token with no server error, and the confirmation includes an order reference</t>
  </si>
  <si>
    <t>QA audit ORD-05: first-time guest checkout dereferenced a null user</t>
  </si>
  <si>
    <t>CHK-003</t>
  </si>
  <si>
    <t>Checkout address required fields</t>
  </si>
  <si>
    <t>Submit the delivery address blank</t>
  </si>
  <si>
    <t>On /checkout</t>
  </si>
  <si>
    <t>1. Clear name, email, address_1, city, zip and country
2. Submit</t>
  </si>
  <si>
    <t>Field-level errors on every required field; the order is not created</t>
  </si>
  <si>
    <t>CHK-004</t>
  </si>
  <si>
    <t>Country code validation</t>
  </si>
  <si>
    <t>Enter an invalid country code</t>
  </si>
  <si>
    <t>On the address form</t>
  </si>
  <si>
    <t>1. Enter each value in country
2. Submit</t>
  </si>
  <si>
    <t>GBR | g | 12 | GB</t>
  </si>
  <si>
    <t>Only the two-character code GB is accepted; the rule is required|min:2|max:2</t>
  </si>
  <si>
    <t>CHK-005</t>
  </si>
  <si>
    <t>Postcode validation</t>
  </si>
  <si>
    <t>Enter malformed postcodes</t>
  </si>
  <si>
    <t>1. Try each value
2. Submit</t>
  </si>
  <si>
    <t>(blank) | ! | 000000000000000 | SW1A 1AA</t>
  </si>
  <si>
    <t>Blank is rejected; a valid postcode is accepted; overly long or symbol-only values are rejected or safely stored</t>
  </si>
  <si>
    <t>CHK-006</t>
  </si>
  <si>
    <t>Phone number validation</t>
  </si>
  <si>
    <t>Enter malformed phone numbers</t>
  </si>
  <si>
    <t>1. Try each value</t>
  </si>
  <si>
    <t>abc | +44 7700 900001 | 1 | 30 digits</t>
  </si>
  <si>
    <t>Non-numeric and absurd values are rejected; a valid international number is accepted</t>
  </si>
  <si>
    <t>CHK-007</t>
  </si>
  <si>
    <t>Select a saved address</t>
  </si>
  <si>
    <t>Choose from previously saved addresses</t>
  </si>
  <si>
    <t>Customer has 3 saved addresses</t>
  </si>
  <si>
    <t>1. Open checkout
2. Pick the second address</t>
  </si>
  <si>
    <t>3 saved addresses</t>
  </si>
  <si>
    <t>The selected address populates the order and the shipping charge recalculates for that destination</t>
  </si>
  <si>
    <t>CHK-008</t>
  </si>
  <si>
    <t>Add a new address at checkout</t>
  </si>
  <si>
    <t>Create an address during checkout</t>
  </si>
  <si>
    <t>1. Choose Add new address
2. Fill and save
3. Continue</t>
  </si>
  <si>
    <t>new UK address</t>
  </si>
  <si>
    <t>The address is saved to the account and used for this order</t>
  </si>
  <si>
    <t>CHK-009</t>
  </si>
  <si>
    <t>Use another customer address (IDOR)</t>
  </si>
  <si>
    <t>Reference an address id belonging to someone else</t>
  </si>
  <si>
    <t>Addresses for A and B</t>
  </si>
  <si>
    <t>1. As A, submit an order with user_address_id from B</t>
  </si>
  <si>
    <t>B address id</t>
  </si>
  <si>
    <t>Refused; the order is not created against the other customer address</t>
  </si>
  <si>
    <t>CHK-010</t>
  </si>
  <si>
    <t>Separate billing address</t>
  </si>
  <si>
    <t>Use a billing address different from delivery</t>
  </si>
  <si>
    <t>Checkout supports separate billing</t>
  </si>
  <si>
    <t>1. Untick same-as-delivery
2. Enter a different billing address
3. Place the order</t>
  </si>
  <si>
    <t>two addresses</t>
  </si>
  <si>
    <t>Both addresses are stored on the order and shown correctly on the invoice</t>
  </si>
  <si>
    <t>CHK-011</t>
  </si>
  <si>
    <t>Shipping charge recalculation</t>
  </si>
  <si>
    <t>Change the delivery destination</t>
  </si>
  <si>
    <t>Cart ready at checkout</t>
  </si>
  <si>
    <t>1. Select a UK address and note the shipping
2. Switch to an address in another covered zone</t>
  </si>
  <si>
    <t>two zones</t>
  </si>
  <si>
    <t>The shipping charge and the total update to match the newly selected zone</t>
  </si>
  <si>
    <t>CHK-012</t>
  </si>
  <si>
    <t>Order summary accuracy</t>
  </si>
  <si>
    <t>Every figure in the summary reconciles</t>
  </si>
  <si>
    <t>Cart with 3 lines, a voucher, points and shipping</t>
  </si>
  <si>
    <t>1. Read subtotal, discounts, shipping, tax and total
2. Add them up by hand</t>
  </si>
  <si>
    <t>3 lines plus promotions</t>
  </si>
  <si>
    <t>Subtotal minus discounts plus shipping plus tax equals the total exactly, with no rounding drift</t>
  </si>
  <si>
    <t>Functional / Boundary</t>
  </si>
  <si>
    <t>CHK-013</t>
  </si>
  <si>
    <t>Order method required</t>
  </si>
  <si>
    <t>Submit an order without an order method</t>
  </si>
  <si>
    <t>API client</t>
  </si>
  <si>
    <t>1. POST the order endpoint without order_method</t>
  </si>
  <si>
    <t>order_method missing</t>
  </si>
  <si>
    <t>Validation error; no order row is written</t>
  </si>
  <si>
    <t>CHK-014</t>
  </si>
  <si>
    <t>Stock re-check at checkout</t>
  </si>
  <si>
    <t>Stock is exhausted between adding to cart and paying</t>
  </si>
  <si>
    <t>Cart holds the last unit; another buyer takes it first</t>
  </si>
  <si>
    <t>1. Complete the other purchase
2. Return and submit the original checkout</t>
  </si>
  <si>
    <t>stock now 0</t>
  </si>
  <si>
    <t>Blocked with a clear out-of-stock message; no order and no charge</t>
  </si>
  <si>
    <t>Negative / Concurrency</t>
  </si>
  <si>
    <t>CHK-015</t>
  </si>
  <si>
    <t>Checkout payload integrity</t>
  </si>
  <si>
    <t>Tamper with the encrypted checkout payload</t>
  </si>
  <si>
    <t>Intercepting proxy available</t>
  </si>
  <si>
    <t>1. Capture the checkout request
2. Alter the total and the line prices
3. Replay it</t>
  </si>
  <si>
    <t>total changed to 1.00</t>
  </si>
  <si>
    <t>The server recomputes every figure from the database and rejects or ignores the tampered values</t>
  </si>
  <si>
    <t>QA audit SEC-05: payload encryption used a hardcoded key and static IV</t>
  </si>
  <si>
    <t>CHK-016</t>
  </si>
  <si>
    <t>Checkout payload replay</t>
  </si>
  <si>
    <t>Replay a previously captured checkout request</t>
  </si>
  <si>
    <t>A completed checkout request captured</t>
  </si>
  <si>
    <t>1. Replay the identical request</t>
  </si>
  <si>
    <t>captured request</t>
  </si>
  <si>
    <t>The replay is rejected (nonce, idempotency key or single-use token); no duplicate order is created</t>
  </si>
  <si>
    <t>CHK-017</t>
  </si>
  <si>
    <t>Double submit of Place Order</t>
  </si>
  <si>
    <t>Click Place Order twice quickly</t>
  </si>
  <si>
    <t>At the payment step</t>
  </si>
  <si>
    <t>1. Double-click Place Order</t>
  </si>
  <si>
    <t>two rapid submits</t>
  </si>
  <si>
    <t>Exactly one order is created; the button disables on the first click and the server is idempotent</t>
  </si>
  <si>
    <t>CHK-018</t>
  </si>
  <si>
    <t>Browser back after ordering</t>
  </si>
  <si>
    <t>Press Back after the order is placed</t>
  </si>
  <si>
    <t>Order just completed</t>
  </si>
  <si>
    <t>1. Press Back to the checkout page
2. Try to resubmit</t>
  </si>
  <si>
    <t>completed order</t>
  </si>
  <si>
    <t>No second order is created; the customer is sent to the confirmation or the cart, which is now empty</t>
  </si>
  <si>
    <t>CHK-019</t>
  </si>
  <si>
    <t>Session expires during checkout</t>
  </si>
  <si>
    <t>The token expires mid-checkout</t>
  </si>
  <si>
    <t>Signed-in customer at the payment step</t>
  </si>
  <si>
    <t>1. Let the session expire
2. Submit the order</t>
  </si>
  <si>
    <t>The customer is prompted to sign in again, the cart is preserved and no partial order is written</t>
  </si>
  <si>
    <t>CHK-020</t>
  </si>
  <si>
    <t>Network drop during submit</t>
  </si>
  <si>
    <t>Connection lost while placing the order</t>
  </si>
  <si>
    <t>Checkout ready</t>
  </si>
  <si>
    <t>1. Disable the network as Place Order is clicked
2. Restore it and reload</t>
  </si>
  <si>
    <t>offline mid-request</t>
  </si>
  <si>
    <t>A clear error is shown, and on retry exactly one order exists - not zero and not two</t>
  </si>
  <si>
    <t>Error handling / Negative</t>
  </si>
  <si>
    <t>CHK-021</t>
  </si>
  <si>
    <t>Order confirmation email</t>
  </si>
  <si>
    <t>A confirmation email is sent server-side</t>
  </si>
  <si>
    <t>SMTP configured; order placed</t>
  </si>
  <si>
    <t>1. Complete an order
2. Close the browser immediately
3. Check the inbox</t>
  </si>
  <si>
    <t>order placed then browser closed</t>
  </si>
  <si>
    <t>The confirmation email still arrives - sending is queued server-side and does not depend on the browser staying open</t>
  </si>
  <si>
    <t>Integration / Negative</t>
  </si>
  <si>
    <t>QA audit EML-01: emails only sent if the browser stayed open</t>
  </si>
  <si>
    <t>CHK-022</t>
  </si>
  <si>
    <t>Confirmation email content</t>
  </si>
  <si>
    <t>The email matches the order</t>
  </si>
  <si>
    <t>Order placed</t>
  </si>
  <si>
    <t>1. Open the confirmation email</t>
  </si>
  <si>
    <t>order email</t>
  </si>
  <si>
    <t>Order number, line items, quantities, prices, discounts, shipping, tax, total and delivery address all match the order record</t>
  </si>
  <si>
    <t>CHK-023</t>
  </si>
  <si>
    <t>Terms acceptance at checkout</t>
  </si>
  <si>
    <t>Place an order without accepting terms</t>
  </si>
  <si>
    <t>Terms checkbox present</t>
  </si>
  <si>
    <t>1. Leave it unticked
2. Place the order</t>
  </si>
  <si>
    <t>terms unchecked</t>
  </si>
  <si>
    <t>Blocked with a clear message</t>
  </si>
  <si>
    <t>CHK-024</t>
  </si>
  <si>
    <t>Order notes field</t>
  </si>
  <si>
    <t>Add delivery instructions</t>
  </si>
  <si>
    <t>At checkout</t>
  </si>
  <si>
    <t>1. Enter a note with 500 characters and an HTML payload
2. Place the order
3. View it in admin</t>
  </si>
  <si>
    <t>long note plus &lt;b&gt;tag&lt;/b&gt;</t>
  </si>
  <si>
    <t>The note is stored within its length limit and rendered escaped in the admin order view</t>
  </si>
  <si>
    <t>CHK-025</t>
  </si>
  <si>
    <t>Reorder from history</t>
  </si>
  <si>
    <t>Reorder a previous order</t>
  </si>
  <si>
    <t>Customer has a delivered order</t>
  </si>
  <si>
    <t>1. Open the order
2. Click Reorder
3. Open the cart</t>
  </si>
  <si>
    <t>previous order</t>
  </si>
  <si>
    <t>Available items are re-added at current prices; unavailable items are named and skipped rather than silently dropped</t>
  </si>
  <si>
    <t>CHK-026</t>
  </si>
  <si>
    <t>Mobile checkout</t>
  </si>
  <si>
    <t>Complete checkout on a phone</t>
  </si>
  <si>
    <t>Mobile device or emulator</t>
  </si>
  <si>
    <t>1. Complete the whole checkout on a 375px viewport</t>
  </si>
  <si>
    <t>iPhone SE viewport</t>
  </si>
  <si>
    <t>Every step is usable, no field is clipped, the keyboard does not obscure inputs and the order completes</t>
  </si>
  <si>
    <t>Responsive / E2E</t>
  </si>
  <si>
    <t>PAY-001</t>
  </si>
  <si>
    <t>Payments</t>
  </si>
  <si>
    <t>Cash on delivery</t>
  </si>
  <si>
    <t>Place an order paying on delivery</t>
  </si>
  <si>
    <t>COD enabled</t>
  </si>
  <si>
    <t>1. Choose Cash on delivery
2. Place the order</t>
  </si>
  <si>
    <t>paymentMethod=2</t>
  </si>
  <si>
    <t>The order is created with payment_done=0 and status PENDING, and the confirmation explains payment on delivery</t>
  </si>
  <si>
    <t>PAY-002</t>
  </si>
  <si>
    <t>COD disabled</t>
  </si>
  <si>
    <t>Attempt COD when it is switched off</t>
  </si>
  <si>
    <t>COD disabled in Settings &gt; Payment</t>
  </si>
  <si>
    <t>1. Open checkout
2. Attempt to submit an order with paymentMethod=2</t>
  </si>
  <si>
    <t>The option is absent from the UI and the API refuses the method server-side</t>
  </si>
  <si>
    <t>PAY-003</t>
  </si>
  <si>
    <t>Stripe - successful card</t>
  </si>
  <si>
    <t>Pay by card through Stripe</t>
  </si>
  <si>
    <t>Stripe test keys configured</t>
  </si>
  <si>
    <t>1. Choose Stripe
2. Enter the success test card
3. Confirm</t>
  </si>
  <si>
    <t>4242 4242 4242 4242, any future expiry, any CVC</t>
  </si>
  <si>
    <t>Payment succeeds, the order is marked paid, and the amount captured equals the order total to the penny</t>
  </si>
  <si>
    <t>PAY-004</t>
  </si>
  <si>
    <t>Stripe - amount reconciliation</t>
  </si>
  <si>
    <t>The Stripe charge matches the discounted total</t>
  </si>
  <si>
    <t>Cart with a voucher and a flash discount</t>
  </si>
  <si>
    <t>1. Pay by Stripe
2. Compare the Stripe dashboard amount with the order total</t>
  </si>
  <si>
    <t>discounted total</t>
  </si>
  <si>
    <t>The captured amount equals the displayed total including all discounts, with pence intact</t>
  </si>
  <si>
    <t>QA audit PAY-04: Stripe recomputed its own total, dropped discounts and truncated cents</t>
  </si>
  <si>
    <t>PAY-005</t>
  </si>
  <si>
    <t>Stripe - declined card</t>
  </si>
  <si>
    <t>A card that the issuer declines</t>
  </si>
  <si>
    <t>1. Use the decline test card
2. Confirm</t>
  </si>
  <si>
    <t>4000 0000 0000 0002</t>
  </si>
  <si>
    <t>A clear decline message is shown, no order is left paid, stock is released and the cart is preserved for a retry</t>
  </si>
  <si>
    <t>PAY-006</t>
  </si>
  <si>
    <t>Stripe - 3D Secure</t>
  </si>
  <si>
    <t>A card requiring authentication</t>
  </si>
  <si>
    <t>1. Use the 3DS test card
2. Complete the challenge
3. Then repeat and fail the challenge</t>
  </si>
  <si>
    <t>4000 0025 0000 3155</t>
  </si>
  <si>
    <t>The order is paid only after a successful challenge; a failed challenge leaves the order unpaid</t>
  </si>
  <si>
    <t>PAY-007</t>
  </si>
  <si>
    <t>Stripe - insufficient funds</t>
  </si>
  <si>
    <t>A card with no funds</t>
  </si>
  <si>
    <t>1. Use the insufficient-funds test card</t>
  </si>
  <si>
    <t>4000 0000 0000 9995</t>
  </si>
  <si>
    <t>A specific, friendly error is shown; no order is marked paid</t>
  </si>
  <si>
    <t>PAY-008</t>
  </si>
  <si>
    <t>Stripe - card field validation</t>
  </si>
  <si>
    <t>Invalid card details</t>
  </si>
  <si>
    <t>On the Stripe card form</t>
  </si>
  <si>
    <t>1. Enter each invalid value</t>
  </si>
  <si>
    <t>bad number | past expiry | 2-digit CVC | blank</t>
  </si>
  <si>
    <t>Each is caught inline before submission with a specific message</t>
  </si>
  <si>
    <t>PAY-009</t>
  </si>
  <si>
    <t>PayPal - successful payment</t>
  </si>
  <si>
    <t>Pay through PayPal</t>
  </si>
  <si>
    <t>PayPal sandbox configured</t>
  </si>
  <si>
    <t>1. Choose PayPal
2. Approve in the sandbox
3. Return to the site</t>
  </si>
  <si>
    <t>sandbox buyer account</t>
  </si>
  <si>
    <t>The order is marked paid only after the server verifies the transaction with PayPal</t>
  </si>
  <si>
    <t>PAY-010</t>
  </si>
  <si>
    <t>PayPal - server-side verification</t>
  </si>
  <si>
    <t>Return to the site without completing payment</t>
  </si>
  <si>
    <t>1. Start a PayPal payment
2. Abandon it at PayPal
3. Navigate directly to the success return URL</t>
  </si>
  <si>
    <t>forged return</t>
  </si>
  <si>
    <t>The order stays unpaid - the server must contact PayPal to confirm and must not trust the return URL</t>
  </si>
  <si>
    <t>QA audit PAY-01: PayPal and SumUp orders were marked paid without contacting the gateway</t>
  </si>
  <si>
    <t>PAY-011</t>
  </si>
  <si>
    <t>PayPal - cancelled</t>
  </si>
  <si>
    <t>Cancel at the PayPal screen</t>
  </si>
  <si>
    <t>1. Start the payment and click Cancel</t>
  </si>
  <si>
    <t>cancelled at gateway</t>
  </si>
  <si>
    <t>The customer returns to checkout with the cart intact, no order is paid and stock is released</t>
  </si>
  <si>
    <t>PAY-012</t>
  </si>
  <si>
    <t>Razorpay - successful payment</t>
  </si>
  <si>
    <t>Pay through Razorpay</t>
  </si>
  <si>
    <t>Razorpay test keys configured</t>
  </si>
  <si>
    <t>1. Choose Razorpay
2. Complete the test payment
3. Land on /razorpay-callback</t>
  </si>
  <si>
    <t>Razorpay test card</t>
  </si>
  <si>
    <t>The order is marked paid after the server verifies the signature with Razorpay</t>
  </si>
  <si>
    <t>PAY-013</t>
  </si>
  <si>
    <t>Razorpay - signature verification</t>
  </si>
  <si>
    <t>Post a fabricated Razorpay confirmation</t>
  </si>
  <si>
    <t>1. POST the payment confirmation with a token the client already holds but an invalid gateway signature</t>
  </si>
  <si>
    <t>forged payment token</t>
  </si>
  <si>
    <t>Rejected - the server verifies the signature against the Razorpay secret rather than echoing back a client-held token</t>
  </si>
  <si>
    <t>QA audit PAY-02</t>
  </si>
  <si>
    <t>PAY-014</t>
  </si>
  <si>
    <t>Flutterwave - successful payment</t>
  </si>
  <si>
    <t>Pay through Flutterwave</t>
  </si>
  <si>
    <t>Flutterwave test keys configured</t>
  </si>
  <si>
    <t>1. Complete a Flutterwave test payment</t>
  </si>
  <si>
    <t>Flutterwave test card</t>
  </si>
  <si>
    <t>The order is marked paid only on a verified gateway response</t>
  </si>
  <si>
    <t>PAY-015</t>
  </si>
  <si>
    <t>Flutterwave - logging failure</t>
  </si>
  <si>
    <t>A logging or write error occurs during the Flutterwave callback</t>
  </si>
  <si>
    <t>Flutterwave configured; log directory made unwritable</t>
  </si>
  <si>
    <t>1. Complete a payment while logging fails</t>
  </si>
  <si>
    <t>log write failure</t>
  </si>
  <si>
    <t>The failure is not interpreted as success - the order is only marked paid on a genuine gateway confirmation</t>
  </si>
  <si>
    <t>Security / Error handling</t>
  </si>
  <si>
    <t>QA audit PAY-03</t>
  </si>
  <si>
    <t>PAY-016</t>
  </si>
  <si>
    <t>Iyzico - successful payment</t>
  </si>
  <si>
    <t>Pay through Iyzico</t>
  </si>
  <si>
    <t>Iyzico test keys configured</t>
  </si>
  <si>
    <t>1. Complete an Iyzico test payment
2. Follow the callback and the redirect</t>
  </si>
  <si>
    <t>Iyzico test card</t>
  </si>
  <si>
    <t>Payment is verified server-side, the order is marked paid and the customer lands on the confirmation</t>
  </si>
  <si>
    <t>PAY-017</t>
  </si>
  <si>
    <t>Iyzico - failed payment</t>
  </si>
  <si>
    <t>Fail an Iyzico payment</t>
  </si>
  <si>
    <t>1. Use a failing test card</t>
  </si>
  <si>
    <t>failing card</t>
  </si>
  <si>
    <t>A clear error is shown, the order stays unpaid and stock is released</t>
  </si>
  <si>
    <t>PAY-018</t>
  </si>
  <si>
    <t>PayFast - success and notify</t>
  </si>
  <si>
    <t>Complete a PayFast payment and its notification</t>
  </si>
  <si>
    <t>PayFast sandbox configured</t>
  </si>
  <si>
    <t>1. Complete the sandbox payment
2. Confirm the payfast-notify callback arrives
3. Land on the return URL</t>
  </si>
  <si>
    <t>PayFast sandbox</t>
  </si>
  <si>
    <t>The order is marked paid by the verified server-to-server notification, not by the browser return</t>
  </si>
  <si>
    <t>Integration / Security</t>
  </si>
  <si>
    <t>PAY-019</t>
  </si>
  <si>
    <t>PayFast - forged notification</t>
  </si>
  <si>
    <t>Post a fabricated PayFast notification</t>
  </si>
  <si>
    <t>Endpoint reachable</t>
  </si>
  <si>
    <t>1. POST payfast-notify with a made-up payload and no valid signature</t>
  </si>
  <si>
    <t>forged notify payload</t>
  </si>
  <si>
    <t>Rejected on signature and source-IP validation; no order is marked paid</t>
  </si>
  <si>
    <t>PAY-020</t>
  </si>
  <si>
    <t>PayFast - cancel return</t>
  </si>
  <si>
    <t>Return via the PayFast cancel URL</t>
  </si>
  <si>
    <t>Payment started</t>
  </si>
  <si>
    <t>1. Cancel at PayFast and follow /payfast/cancel/{id}</t>
  </si>
  <si>
    <t>cancelled payment</t>
  </si>
  <si>
    <t>The order stays unpaid, the cart is preserved and a friendly message is shown</t>
  </si>
  <si>
    <t>PAY-021</t>
  </si>
  <si>
    <t>SumUp - checkout creation</t>
  </si>
  <si>
    <t>Create a SumUp checkout</t>
  </si>
  <si>
    <t>SumUp configured</t>
  </si>
  <si>
    <t>1. POST /create-sumup-checkout for a cart</t>
  </si>
  <si>
    <t>cart total</t>
  </si>
  <si>
    <t>A checkout is created at SumUp with the amount matching the order total</t>
  </si>
  <si>
    <t>PAY-022</t>
  </si>
  <si>
    <t>SumUp - server-side verification</t>
  </si>
  <si>
    <t>Reach the SumUp success path without paying</t>
  </si>
  <si>
    <t>1. Create a checkout
2. Do not pay
3. Call the SumUp completion endpoint directly</t>
  </si>
  <si>
    <t>unpaid checkout</t>
  </si>
  <si>
    <t>The order stays unpaid until SumUp confirms the transaction server-side</t>
  </si>
  <si>
    <t>QA audit PAY-01</t>
  </si>
  <si>
    <t>PAY-023</t>
  </si>
  <si>
    <t>Bank transfer order</t>
  </si>
  <si>
    <t>Place an order paying by bank transfer</t>
  </si>
  <si>
    <t>Bank payment enabled</t>
  </si>
  <si>
    <t>1. Choose Bank payment
2. Place the order
3. Open /user/order/bank/{id}</t>
  </si>
  <si>
    <t>paymentMethod=7</t>
  </si>
  <si>
    <t>The order is created unpaid with the bank details shown, and it stays pending until an admin confirms receipt</t>
  </si>
  <si>
    <t>PAY-024</t>
  </si>
  <si>
    <t>Admin marks a bank order paid</t>
  </si>
  <si>
    <t>Confirm a bank transfer in admin</t>
  </si>
  <si>
    <t>Unpaid bank order exists</t>
  </si>
  <si>
    <t>1. Open the order in admin
2. Set the payment status to paid</t>
  </si>
  <si>
    <t>payment_status=paid</t>
  </si>
  <si>
    <t>The order flips to paid, the customer is notified and the change is attributable to the admin who made it</t>
  </si>
  <si>
    <t>PAY-025</t>
  </si>
  <si>
    <t>Payment method availability</t>
  </si>
  <si>
    <t>Only enabled gateways are offered</t>
  </si>
  <si>
    <t>Some gateways disabled in Settings &gt; Payment</t>
  </si>
  <si>
    <t>1. Open the checkout payment step
2. Then post a disabled method directly to the API</t>
  </si>
  <si>
    <t>mixed enabled and disabled</t>
  </si>
  <si>
    <t>Disabled methods are neither displayed nor accepted server-side</t>
  </si>
  <si>
    <t>PAY-026</t>
  </si>
  <si>
    <t>Payment gateway credentials hidden</t>
  </si>
  <si>
    <t>Secret keys are never exposed to the browser</t>
  </si>
  <si>
    <t>Gateways configured</t>
  </si>
  <si>
    <t>1. Inspect the storefront network responses and JS bundle for secret keys</t>
  </si>
  <si>
    <t>page source and API responses</t>
  </si>
  <si>
    <t>Only publishable keys reach the client; secret keys stay server-side</t>
  </si>
  <si>
    <t>Security</t>
  </si>
  <si>
    <t>PAY-027</t>
  </si>
  <si>
    <t>Gateway timeout</t>
  </si>
  <si>
    <t>The gateway does not respond in time</t>
  </si>
  <si>
    <t>Gateway reachable but delayed</t>
  </si>
  <si>
    <t>1. Force a slow or timed-out gateway response
2. Observe the site and then reconcile</t>
  </si>
  <si>
    <t>simulated timeout</t>
  </si>
  <si>
    <t>A clear message is shown, the order is not left in an ambiguous state and reconciliation resolves it to paid or unpaid deterministically</t>
  </si>
  <si>
    <t>PAY-028</t>
  </si>
  <si>
    <t>Duplicate charge prevention</t>
  </si>
  <si>
    <t>Retry a payment after an unclear result</t>
  </si>
  <si>
    <t>Payment attempt with an unknown outcome</t>
  </si>
  <si>
    <t>1. Retry payment after a timeout
2. Check the gateway for charges</t>
  </si>
  <si>
    <t>retry after timeout</t>
  </si>
  <si>
    <t>At most one charge exists for the order; idempotency prevents a double debit</t>
  </si>
  <si>
    <t>PAY-029</t>
  </si>
  <si>
    <t>Payment amount tampering</t>
  </si>
  <si>
    <t>Alter the amount sent to the gateway</t>
  </si>
  <si>
    <t>1. Change the amount in the payment initiation request to 1.00
2. Complete the payment</t>
  </si>
  <si>
    <t>amount=1.00</t>
  </si>
  <si>
    <t>The server derives the amount from the order and rejects the mismatch; the order is not marked paid for the wrong amount</t>
  </si>
  <si>
    <t>PAY-030</t>
  </si>
  <si>
    <t>Currency consistency</t>
  </si>
  <si>
    <t>The gateway currency matches the store currency</t>
  </si>
  <si>
    <t>Store currency set to GBP</t>
  </si>
  <si>
    <t>1. Pay through each enabled gateway
2. Compare the currency at the gateway</t>
  </si>
  <si>
    <t>GBP</t>
  </si>
  <si>
    <t>Every gateway is charged in the configured store currency; no silent conversion or mismatch</t>
  </si>
  <si>
    <t>Integration / Boundary</t>
  </si>
  <si>
    <t>ORD-001</t>
  </si>
  <si>
    <t>Order Management</t>
  </si>
  <si>
    <t>Order appears in admin</t>
  </si>
  <si>
    <t>A newly placed order is visible to admin</t>
  </si>
  <si>
    <t>Order just placed</t>
  </si>
  <si>
    <t>1. Open /admin/orders
2. Locate the order</t>
  </si>
  <si>
    <t>new order</t>
  </si>
  <si>
    <t>It appears with the correct customer, total, status, payment method and timestamp</t>
  </si>
  <si>
    <t>ORD-002</t>
  </si>
  <si>
    <t>Order detail completeness</t>
  </si>
  <si>
    <t>Open an order in admin</t>
  </si>
  <si>
    <t>Order with 3 lines, a voucher and shipping</t>
  </si>
  <si>
    <t>1. Open the order detail</t>
  </si>
  <si>
    <t>3-line order</t>
  </si>
  <si>
    <t>Line items, quantities, unit prices, discounts, shipping, tax, total, addresses and payment method are all shown and reconcile</t>
  </si>
  <si>
    <t>ORD-003</t>
  </si>
  <si>
    <t>Order line items are never empty</t>
  </si>
  <si>
    <t>Every order has at least one line</t>
  </si>
  <si>
    <t>Set of recent orders</t>
  </si>
  <si>
    <t>1. Query orders with no ordered_products rows</t>
  </si>
  <si>
    <t>all recent orders</t>
  </si>
  <si>
    <t>No order exists without line items</t>
  </si>
  <si>
    <t>Data integrity</t>
  </si>
  <si>
    <t>Staging - MySQL 8 / phpMyAdmin</t>
  </si>
  <si>
    <t>QA audit ORD-01: a third of live orders contained no line items</t>
  </si>
  <si>
    <t>ORD-004</t>
  </si>
  <si>
    <t>Valid status transitions</t>
  </si>
  <si>
    <t>Move an order through the legal states</t>
  </si>
  <si>
    <t>Order in PENDING</t>
  </si>
  <si>
    <t>1. Move PENDING to CONFIRMED
2. CONFIRMED to PICKED_UP
3. PICKED_UP to ON_THE_WAY
4. ON_THE_WAY to DELIVERED</t>
  </si>
  <si>
    <t>statuses 1 to 5</t>
  </si>
  <si>
    <t>Each transition is accepted and recorded in the status history with a timestamp and the acting admin</t>
  </si>
  <si>
    <t>ORD-005</t>
  </si>
  <si>
    <t>Illegal status transitions</t>
  </si>
  <si>
    <t>Attempt moves the transition map forbids</t>
  </si>
  <si>
    <t>Order in DELIVERED</t>
  </si>
  <si>
    <t>1. Try DELIVERED to PENDING
2. Try DELIVERED to CONFIRMED
3. Try REFUNDED to anything</t>
  </si>
  <si>
    <t>illegal transitions</t>
  </si>
  <si>
    <t>All are refused with a clear message; the stored status is unchanged</t>
  </si>
  <si>
    <t>QA audit ORD-03: updateStatus accepted any integer</t>
  </si>
  <si>
    <t>ORD-006</t>
  </si>
  <si>
    <t>Out-of-range status value</t>
  </si>
  <si>
    <t>Post a status outside the enum</t>
  </si>
  <si>
    <t>API client with admin rights</t>
  </si>
  <si>
    <t>1. POST update-status with status=99 and then status=0 and then status=abc</t>
  </si>
  <si>
    <t>99 | 0 | abc</t>
  </si>
  <si>
    <t>All rejected by validation; no order is written with an unknown status</t>
  </si>
  <si>
    <t>ORD-007</t>
  </si>
  <si>
    <t>Legacy status tidy-up</t>
  </si>
  <si>
    <t>An order carrying a status outside the enum</t>
  </si>
  <si>
    <t>Row seeded with an out-of-enum status</t>
  </si>
  <si>
    <t>1. Move it to a valid status</t>
  </si>
  <si>
    <t>legacy status</t>
  </si>
  <si>
    <t>It can be moved once to any valid status, and thereafter follows the normal transition rules</t>
  </si>
  <si>
    <t>ORD-008</t>
  </si>
  <si>
    <t>Status change notification</t>
  </si>
  <si>
    <t>The customer is emailed on a status change</t>
  </si>
  <si>
    <t>SMTP configured; order in CONFIRMED</t>
  </si>
  <si>
    <t>1. Move it to ON_THE_WAY
2. Check the customer inbox</t>
  </si>
  <si>
    <t>status change</t>
  </si>
  <si>
    <t>A status-update email is sent for every configured transition</t>
  </si>
  <si>
    <t>QA audit EML-02: no email on any status change</t>
  </si>
  <si>
    <t>ORD-009</t>
  </si>
  <si>
    <t>Order status history</t>
  </si>
  <si>
    <t>Every transition is recorded</t>
  </si>
  <si>
    <t>Order moved through 3 statuses</t>
  </si>
  <si>
    <t>1. Open the status history</t>
  </si>
  <si>
    <t>3 transitions</t>
  </si>
  <si>
    <t>Each entry records the from and to status, the timestamp and who made the change</t>
  </si>
  <si>
    <t>ORD-010</t>
  </si>
  <si>
    <t>Customer cancels an order</t>
  </si>
  <si>
    <t>A customer cancels while it is still cancellable</t>
  </si>
  <si>
    <t>Customer order in PENDING</t>
  </si>
  <si>
    <t>1. Open the order in the account area
2. Click Cancel and give a reason
3. Confirm</t>
  </si>
  <si>
    <t>cancellation reason</t>
  </si>
  <si>
    <t>The order moves to CANCELLED, stock returns, points and voucher usage are released, and the customer is notified</t>
  </si>
  <si>
    <t>QA audit ORD-04: cancelling changed nothing but a flag</t>
  </si>
  <si>
    <t>ORD-011</t>
  </si>
  <si>
    <t>Cancel a delivered order</t>
  </si>
  <si>
    <t>Attempt to cancel after delivery</t>
  </si>
  <si>
    <t>1. Attempt a customer cancellation</t>
  </si>
  <si>
    <t>delivered order</t>
  </si>
  <si>
    <t>Refused - only a return or refund path is offered</t>
  </si>
  <si>
    <t>ORD-012</t>
  </si>
  <si>
    <t>Cancel another customer order (IDOR)</t>
  </si>
  <si>
    <t>Cancel an order that is not yours</t>
  </si>
  <si>
    <t>Orders for A and B</t>
  </si>
  <si>
    <t>1. As A, POST cancel-order with the B order id</t>
  </si>
  <si>
    <t>B order id</t>
  </si>
  <si>
    <t>403 or 404; the B order is unchanged</t>
  </si>
  <si>
    <t>ORD-013</t>
  </si>
  <si>
    <t>Customer cannot self-refund</t>
  </si>
  <si>
    <t>A customer marks their own cancellation refunded</t>
  </si>
  <si>
    <t>Cancelled customer order</t>
  </si>
  <si>
    <t>1. As the customer, POST the refund endpoint for that order</t>
  </si>
  <si>
    <t>own order id</t>
  </si>
  <si>
    <t>Refused - only an authorised admin can mark money returned</t>
  </si>
  <si>
    <t>QA audit ORD-03: customers could mark their own cancellation refunded</t>
  </si>
  <si>
    <t>ORD-014</t>
  </si>
  <si>
    <t>Admin refund moves money</t>
  </si>
  <si>
    <t>Refund a paid order</t>
  </si>
  <si>
    <t>Paid order for 120.00</t>
  </si>
  <si>
    <t>1. Open the order in admin
2. Issue a refund
3. Check the gateway and the order record</t>
  </si>
  <si>
    <t>refund 120.00</t>
  </si>
  <si>
    <t>A real refund is raised with the gateway, the order moves to REFUNDED, stock returns and the customer is notified - it is not merely a flag</t>
  </si>
  <si>
    <t>QA audit ORD-02: refund flipped a boolean and moved no money</t>
  </si>
  <si>
    <t>ORD-015</t>
  </si>
  <si>
    <t>Partial refund</t>
  </si>
  <si>
    <t>Refund part of an order</t>
  </si>
  <si>
    <t>1. Refund 40.00
2. Check the gateway and the order</t>
  </si>
  <si>
    <t>partial 40.00</t>
  </si>
  <si>
    <t>40.00 is refunded, the balance remains, and the order shows the refunded amount distinctly from the total</t>
  </si>
  <si>
    <t>ORD-016</t>
  </si>
  <si>
    <t>Refund exceeding the order</t>
  </si>
  <si>
    <t>Attempt to refund more than was paid</t>
  </si>
  <si>
    <t>1. Attempt a refund of 200.00</t>
  </si>
  <si>
    <t>refund 200.00</t>
  </si>
  <si>
    <t>Refused with a clear message; no over-refund reaches the gateway</t>
  </si>
  <si>
    <t>ORD-017</t>
  </si>
  <si>
    <t>Double refund prevention</t>
  </si>
  <si>
    <t>Refund the same order twice</t>
  </si>
  <si>
    <t>Order already fully refunded</t>
  </si>
  <si>
    <t>1. Issue the refund again</t>
  </si>
  <si>
    <t>second refund</t>
  </si>
  <si>
    <t>Refused; only one refund is recorded and only one reaches the gateway</t>
  </si>
  <si>
    <t>ORD-018</t>
  </si>
  <si>
    <t>Delete an order permission check</t>
  </si>
  <si>
    <t>Delete an order without the permission</t>
  </si>
  <si>
    <t>Limited admin token</t>
  </si>
  <si>
    <t>1. Call the order delete endpoint as a limited admin</t>
  </si>
  <si>
    <t>403 - order deletion is permission-gated</t>
  </si>
  <si>
    <t>QA audit ORD-05: order deletion had no permission check</t>
  </si>
  <si>
    <t>ORD-019</t>
  </si>
  <si>
    <t>Delete an order cleanly</t>
  </si>
  <si>
    <t>Delete an order as an authorised admin</t>
  </si>
  <si>
    <t>Superadmin session; test order exists</t>
  </si>
  <si>
    <t>1. Delete the order
2. Query ordered_products, payments and status history for that order id</t>
  </si>
  <si>
    <t>test order</t>
  </si>
  <si>
    <t>No orphaned child rows remain in any related table</t>
  </si>
  <si>
    <t>ORD-020</t>
  </si>
  <si>
    <t>Order search and filter in admin</t>
  </si>
  <si>
    <t>Filter the admin order grid</t>
  </si>
  <si>
    <t>Many orders exist</t>
  </si>
  <si>
    <t>1. Filter by status, payment method, date range and customer
2. Search by order number</t>
  </si>
  <si>
    <t>combined filters</t>
  </si>
  <si>
    <t>Results honour every filter, the totals are accurate and clearing restores the full list</t>
  </si>
  <si>
    <t>ORD-021</t>
  </si>
  <si>
    <t>Order date filter boundaries</t>
  </si>
  <si>
    <t>Filter with edge date ranges</t>
  </si>
  <si>
    <t>Orders across several dates</t>
  </si>
  <si>
    <t>1. Filter to a single day
2. Set the from date after the to date
3. Set a range with no orders</t>
  </si>
  <si>
    <t>same-day | inverted | empty range</t>
  </si>
  <si>
    <t>The single day includes that whole day; an inverted range is rejected or returns empty gracefully; an empty range shows an empty state</t>
  </si>
  <si>
    <t>ORD-022</t>
  </si>
  <si>
    <t>Order invoice PDF</t>
  </si>
  <si>
    <t>Download an order invoice</t>
  </si>
  <si>
    <t>Completed order exists</t>
  </si>
  <si>
    <t>1. Click the invoice download
2. Open the PDF</t>
  </si>
  <si>
    <t>The PDF opens with correct order number, addresses, lines, VAT breakdown and totals matching the order</t>
  </si>
  <si>
    <t>ORD-023</t>
  </si>
  <si>
    <t>Invoice access control</t>
  </si>
  <si>
    <t>Download another customer invoice</t>
  </si>
  <si>
    <t>1. As A, request the invoice for the B order id</t>
  </si>
  <si>
    <t>Refused; no invoice is served</t>
  </si>
  <si>
    <t>ORD-024</t>
  </si>
  <si>
    <t>Customer order history</t>
  </si>
  <si>
    <t>View past orders in the account area</t>
  </si>
  <si>
    <t>Customer has 5 orders</t>
  </si>
  <si>
    <t>1. Open /user/orders
2. Open one order</t>
  </si>
  <si>
    <t>5 orders</t>
  </si>
  <si>
    <t>All five are listed newest first with the correct status and total, and only the caller own orders appear</t>
  </si>
  <si>
    <t>ORD-025</t>
  </si>
  <si>
    <t>Order detail IDOR</t>
  </si>
  <si>
    <t>Open another customer order by id</t>
  </si>
  <si>
    <t>1. As A, open /user/order/{B order id}</t>
  </si>
  <si>
    <t>Access refused; no order details are rendered</t>
  </si>
  <si>
    <t>ORD-026</t>
  </si>
  <si>
    <t>Track order as a guest</t>
  </si>
  <si>
    <t>Track an order without signing in</t>
  </si>
  <si>
    <t>Guest order placed</t>
  </si>
  <si>
    <t>1. Open /track-order
2. Enter the order number and email</t>
  </si>
  <si>
    <t>order number plus email</t>
  </si>
  <si>
    <t>The current status is shown; an order number alone, without the matching email, does not reveal anything</t>
  </si>
  <si>
    <t>ORD-027</t>
  </si>
  <si>
    <t>Track order enumeration</t>
  </si>
  <si>
    <t>Guess sequential order numbers</t>
  </si>
  <si>
    <t>Several orders exist</t>
  </si>
  <si>
    <t>1. Submit sequential order numbers with a mismatched email</t>
  </si>
  <si>
    <t>sequential numbers</t>
  </si>
  <si>
    <t>Nothing is disclosed and repeated attempts are throttled</t>
  </si>
  <si>
    <t>ORD-028</t>
  </si>
  <si>
    <t>Resend order email</t>
  </si>
  <si>
    <t>Resend the confirmation from admin</t>
  </si>
  <si>
    <t>Order exists</t>
  </si>
  <si>
    <t>1. Call send-order-email for the order
2. Check the inbox</t>
  </si>
  <si>
    <t>order id</t>
  </si>
  <si>
    <t>The email is resent with current order data</t>
  </si>
  <si>
    <t>ORD-029</t>
  </si>
  <si>
    <t>Delivered notification email</t>
  </si>
  <si>
    <t>Send the delivered notice</t>
  </si>
  <si>
    <t>Order moved to DELIVERED</t>
  </si>
  <si>
    <t>1. Call send-delivered-email for the order</t>
  </si>
  <si>
    <t>The delivered email is sent once with the correct content</t>
  </si>
  <si>
    <t>ORD-030</t>
  </si>
  <si>
    <t>Mark an order viewed</t>
  </si>
  <si>
    <t>The viewed flag updates when an admin opens an order</t>
  </si>
  <si>
    <t>Unviewed order exists</t>
  </si>
  <si>
    <t>1. Open the order in admin
2. Return to the list</t>
  </si>
  <si>
    <t>unviewed order</t>
  </si>
  <si>
    <t>The new-order indicator clears and the count of unviewed orders decreases by exactly one</t>
  </si>
  <si>
    <t>ORD-031</t>
  </si>
  <si>
    <t>Order statistics</t>
  </si>
  <si>
    <t>Dashboard order figures are accurate</t>
  </si>
  <si>
    <t>Known set of orders in a date range</t>
  </si>
  <si>
    <t>1. Open the admin dashboard
2. Compare the order count and revenue against the database</t>
  </si>
  <si>
    <t>known dataset</t>
  </si>
  <si>
    <t>The dashboard totals match the database, and cancelled and refunded orders are treated per the documented rule</t>
  </si>
  <si>
    <t>Functional / Data integrity</t>
  </si>
  <si>
    <t>ORD-032</t>
  </si>
  <si>
    <t>Cancelled orders in listings</t>
  </si>
  <si>
    <t>Cancelled orders are shown as cancelled</t>
  </si>
  <si>
    <t>Cancelled order exists</t>
  </si>
  <si>
    <t>1. View it in the admin list, the customer order list and the dashboard counts</t>
  </si>
  <si>
    <t>It reads as Cancelled everywhere - never as Pending</t>
  </si>
  <si>
    <t>QA audit ORD-01: cancelled orders kept showing as PENDING</t>
  </si>
  <si>
    <t>ORD-033</t>
  </si>
  <si>
    <t>Order export</t>
  </si>
  <si>
    <t>Export orders for a date range</t>
  </si>
  <si>
    <t>Orders exist in the range</t>
  </si>
  <si>
    <t>1. Export the range
2. Open the file</t>
  </si>
  <si>
    <t>date range</t>
  </si>
  <si>
    <t>The export downloads and its row count and totals match the on-screen figures</t>
  </si>
  <si>
    <t>ORD-034</t>
  </si>
  <si>
    <t>Return workflow</t>
  </si>
  <si>
    <t>Move a delivered order to Returned and then Refunded</t>
  </si>
  <si>
    <t>1. Move to RETURNED
2. Then to REFUNDED</t>
  </si>
  <si>
    <t>DELIVERED to RETURNED to REFUNDED</t>
  </si>
  <si>
    <t>Both transitions are allowed by the map, stock returns exactly once and the refund reaches the gateway</t>
  </si>
  <si>
    <t>ORD-035</t>
  </si>
  <si>
    <t>Cancellation request queue</t>
  </si>
  <si>
    <t>A customer cancellation request reaches admin</t>
  </si>
  <si>
    <t>Customer requested a cancellation</t>
  </si>
  <si>
    <t>1. Open the cancellations list in admin
2. Approve it</t>
  </si>
  <si>
    <t>cancellation request</t>
  </si>
  <si>
    <t>The request is listed with its reason, approval cancels the order and releases stock, and the customer is notified</t>
  </si>
  <si>
    <t>Functional / Workflow</t>
  </si>
  <si>
    <t>WAL-001</t>
  </si>
  <si>
    <t>Wallet &amp; Loyalty</t>
  </si>
  <si>
    <t>View wallet balance</t>
  </si>
  <si>
    <t>Open the wallet as a customer</t>
  </si>
  <si>
    <t>Signed-in customer with a balance</t>
  </si>
  <si>
    <t>1. GET /api/user/wallet
2. Open the wallet screen</t>
  </si>
  <si>
    <t>balance=125.00</t>
  </si>
  <si>
    <t>The balance matches the wallet_transactions ledger sum exactly</t>
  </si>
  <si>
    <t>WAL-002</t>
  </si>
  <si>
    <t>Wallet requires authentication</t>
  </si>
  <si>
    <t>Read a wallet without credentials</t>
  </si>
  <si>
    <t>No token held</t>
  </si>
  <si>
    <t>1. GET /api/user/wallet with no Authorization header
2. GET the admin wallet-overview endpoint unauthenticated</t>
  </si>
  <si>
    <t>Both return 401 - balances are never readable anonymously</t>
  </si>
  <si>
    <t>QA audit SEC-03: wallet-overview needed no credentials</t>
  </si>
  <si>
    <t>WAL-003</t>
  </si>
  <si>
    <t>Wallet top-up</t>
  </si>
  <si>
    <t>Add funds to the wallet</t>
  </si>
  <si>
    <t>Signed-in customer; a gateway is configured</t>
  </si>
  <si>
    <t>1. Open /user/topup-checkout
2. Top up 50.00
3. Pay
4. POST wallet/topup/confirm</t>
  </si>
  <si>
    <t>top-up 50.00</t>
  </si>
  <si>
    <t>The balance rises by exactly 50.00 only after the gateway confirms, and one credit transaction is recorded</t>
  </si>
  <si>
    <t>WAL-004</t>
  </si>
  <si>
    <t>Top-up without paying</t>
  </si>
  <si>
    <t>Confirm a top-up that was never paid</t>
  </si>
  <si>
    <t>Top-up initiated but abandoned</t>
  </si>
  <si>
    <t>1. POST wallet/topup/confirm directly</t>
  </si>
  <si>
    <t>unpaid top-up</t>
  </si>
  <si>
    <t>Refused - the credit only follows a verified gateway confirmation</t>
  </si>
  <si>
    <t>WAL-005</t>
  </si>
  <si>
    <t>Top-up amount validation</t>
  </si>
  <si>
    <t>Top up invalid amounts</t>
  </si>
  <si>
    <t>On the top-up screen</t>
  </si>
  <si>
    <t>1. Try each amount</t>
  </si>
  <si>
    <t>0 | -50 | abc | 0.001 | 1000000</t>
  </si>
  <si>
    <t>Zero, negative, non-numeric, sub-penny and absurdly large values are all rejected with clear messages</t>
  </si>
  <si>
    <t>WAL-006</t>
  </si>
  <si>
    <t>Pay with wallet</t>
  </si>
  <si>
    <t>Use the wallet balance at checkout</t>
  </si>
  <si>
    <t>Balance 125.00; cart 80.00</t>
  </si>
  <si>
    <t>1. Choose wallet at checkout
2. Place the order</t>
  </si>
  <si>
    <t>80.00 from a 125.00 balance</t>
  </si>
  <si>
    <t>80.00 is debited once, the balance becomes 45.00 and the order is marked paid</t>
  </si>
  <si>
    <t>WAL-007</t>
  </si>
  <si>
    <t>Wallet with insufficient balance</t>
  </si>
  <si>
    <t>Pay more than the wallet holds</t>
  </si>
  <si>
    <t>Balance 20.00; cart 80.00</t>
  </si>
  <si>
    <t>1. Attempt to pay entirely by wallet</t>
  </si>
  <si>
    <t>20.00 balance, 80.00 cart</t>
  </si>
  <si>
    <t>Either refused with a clear message, or a split payment collects the 60.00 remainder - the balance never goes negative</t>
  </si>
  <si>
    <t>WAL-008</t>
  </si>
  <si>
    <t>Concurrent wallet spend</t>
  </si>
  <si>
    <t>Spend the same balance on two orders at once</t>
  </si>
  <si>
    <t>Balance 50.00; two sessions at payment</t>
  </si>
  <si>
    <t>1. Both submit a 50.00 wallet payment simultaneously</t>
  </si>
  <si>
    <t>one balance, two orders</t>
  </si>
  <si>
    <t>Only one succeeds; the balance never goes negative and no double-spend occurs</t>
  </si>
  <si>
    <t>WAL-009</t>
  </si>
  <si>
    <t>Wallet refund on cancellation</t>
  </si>
  <si>
    <t>Cancel an order paid from the wallet</t>
  </si>
  <si>
    <t>Wallet-paid order for 80.00</t>
  </si>
  <si>
    <t>1. Cancel the order
2. Check the balance and the ledger</t>
  </si>
  <si>
    <t>cancel 80.00 order</t>
  </si>
  <si>
    <t>80.00 is credited back exactly once with a matching ledger entry</t>
  </si>
  <si>
    <t>WAL-010</t>
  </si>
  <si>
    <t>Wallet transaction list</t>
  </si>
  <si>
    <t>Review the wallet ledger</t>
  </si>
  <si>
    <t>Several wallet movements exist</t>
  </si>
  <si>
    <t>1. GET wallet/transactions</t>
  </si>
  <si>
    <t>top-ups, spends and refunds</t>
  </si>
  <si>
    <t>Every movement is listed with amount, type, date and reference, and the running balance reconciles</t>
  </si>
  <si>
    <t>WAL-011</t>
  </si>
  <si>
    <t>Wallet ledger IDOR</t>
  </si>
  <si>
    <t>Read another customer wallet transactions</t>
  </si>
  <si>
    <t>Wallets for A and B</t>
  </si>
  <si>
    <t>1. As A, request the B wallet or transactions</t>
  </si>
  <si>
    <t>B user id</t>
  </si>
  <si>
    <t>Refused; no other balance or movement is disclosed</t>
  </si>
  <si>
    <t>WAL-012</t>
  </si>
  <si>
    <t>Earn loyalty points</t>
  </si>
  <si>
    <t>Points are credited for a completed purchase</t>
  </si>
  <si>
    <t>Points scheme configured</t>
  </si>
  <si>
    <t>1. Complete and pay for an order
2. Check the points balance</t>
  </si>
  <si>
    <t>order 200.00</t>
  </si>
  <si>
    <t>Points are credited at the configured rate only after payment is confirmed - never at cart or order-creation time</t>
  </si>
  <si>
    <t>QA audit EML-03: points were credited before payment</t>
  </si>
  <si>
    <t>WAL-013</t>
  </si>
  <si>
    <t>Points reversed on cancellation</t>
  </si>
  <si>
    <t>Cancelling removes the points earned</t>
  </si>
  <si>
    <t>Order earned 200 points</t>
  </si>
  <si>
    <t>1. Cancel the order
2. Check the points balance</t>
  </si>
  <si>
    <t>cancel the earning order</t>
  </si>
  <si>
    <t>The 200 points are reversed exactly once</t>
  </si>
  <si>
    <t>QA audit: points were never reversed</t>
  </si>
  <si>
    <t>WAL-014</t>
  </si>
  <si>
    <t>Redeem points</t>
  </si>
  <si>
    <t>Spend points against an order</t>
  </si>
  <si>
    <t>Customer holds 500 redeemable points</t>
  </si>
  <si>
    <t>1. Apply points at checkout
2. Note the discount
3. Complete payment
4. Compare the gateway amount</t>
  </si>
  <si>
    <t>500 points = 5.00</t>
  </si>
  <si>
    <t>The discount is deducted from the amount actually charged and the points are debited once</t>
  </si>
  <si>
    <t>QA audit PRC-01: points discounts were displayed but never deducted</t>
  </si>
  <si>
    <t>WAL-015</t>
  </si>
  <si>
    <t>Redeem more points than held</t>
  </si>
  <si>
    <t>Apply more points than the balance</t>
  </si>
  <si>
    <t>Customer holds 100 points</t>
  </si>
  <si>
    <t>1. Attempt to redeem 500 points</t>
  </si>
  <si>
    <t>500 requested, 100 held</t>
  </si>
  <si>
    <t>Refused with a clear message; the balance never goes negative</t>
  </si>
  <si>
    <t>WAL-016</t>
  </si>
  <si>
    <t>Loyalty group membership</t>
  </si>
  <si>
    <t>Assign a customer to a loyalty group</t>
  </si>
  <si>
    <t>Loyalty group exists</t>
  </si>
  <si>
    <t>1. Open /admin/loyalty-groups
2. Add the customer
3. Sign in as that customer</t>
  </si>
  <si>
    <t>group with 5% benefit</t>
  </si>
  <si>
    <t>The customer receives the group benefit and it is visible in the account area</t>
  </si>
  <si>
    <t>WAL-017</t>
  </si>
  <si>
    <t>Savers Club page</t>
  </si>
  <si>
    <t>View the savers club benefits</t>
  </si>
  <si>
    <t>Customer is a member</t>
  </si>
  <si>
    <t>1. Open /user/savers-club</t>
  </si>
  <si>
    <t>member account</t>
  </si>
  <si>
    <t>Tier, benefits and progress render accurately for that customer only</t>
  </si>
  <si>
    <t>WAL-018</t>
  </si>
  <si>
    <t>Admin wallet overview</t>
  </si>
  <si>
    <t>Review wallet balances across customers</t>
  </si>
  <si>
    <t>Signed in with the permission</t>
  </si>
  <si>
    <t>1. Open /admin/wallet-overview</t>
  </si>
  <si>
    <t>all wallets</t>
  </si>
  <si>
    <t>Balances and totals reconcile with the ledger, and the page is only reachable with the right permission</t>
  </si>
  <si>
    <t>HOME-001</t>
  </si>
  <si>
    <t>Storefront</t>
  </si>
  <si>
    <t>Homepage renders</t>
  </si>
  <si>
    <t>Load the storefront homepage</t>
  </si>
  <si>
    <t>Site published with content configured</t>
  </si>
  <si>
    <t>1. Open the site root</t>
  </si>
  <si>
    <t>Sliders, banners, collections, featured brands and categories all render; no console errors and no broken images</t>
  </si>
  <si>
    <t>HOME-002</t>
  </si>
  <si>
    <t>Homepage with no content</t>
  </si>
  <si>
    <t>Homepage when sliders and collections are empty</t>
  </si>
  <si>
    <t>Content cleared in admin</t>
  </si>
  <si>
    <t>1. Open the homepage</t>
  </si>
  <si>
    <t>empty content</t>
  </si>
  <si>
    <t>A clean layout renders with no empty boxes, no JS errors and no 500</t>
  </si>
  <si>
    <t>HOME-003</t>
  </si>
  <si>
    <t>Home slider navigation</t>
  </si>
  <si>
    <t>Interact with the main slider</t>
  </si>
  <si>
    <t>Slider has 3 slides</t>
  </si>
  <si>
    <t>1. Let it auto-rotate
2. Use the arrows and dots
3. Swipe on mobile</t>
  </si>
  <si>
    <t>3 slides</t>
  </si>
  <si>
    <t>Rotation, arrows, dots and swipe all work; each slide links to the configured target</t>
  </si>
  <si>
    <t>HOME-004</t>
  </si>
  <si>
    <t>Banner links</t>
  </si>
  <si>
    <t>Every homepage banner links correctly</t>
  </si>
  <si>
    <t>Banners configured for category, brand, product and URL sources</t>
  </si>
  <si>
    <t>1. Click each banner</t>
  </si>
  <si>
    <t>4 source types</t>
  </si>
  <si>
    <t>Each opens its configured destination; none 404</t>
  </si>
  <si>
    <t>HOME-005</t>
  </si>
  <si>
    <t>Header navigation</t>
  </si>
  <si>
    <t>Use the main menu</t>
  </si>
  <si>
    <t>Categories configured</t>
  </si>
  <si>
    <t>1. Hover and open each top-level item
2. Follow a sub-category</t>
  </si>
  <si>
    <t>category tree</t>
  </si>
  <si>
    <t>The menu reflects the live category tree and every link resolves</t>
  </si>
  <si>
    <t>HOME-006</t>
  </si>
  <si>
    <t>Footer links</t>
  </si>
  <si>
    <t>Every footer link works</t>
  </si>
  <si>
    <t>Footer links configured</t>
  </si>
  <si>
    <t>1. Click every service, about, social and payment link</t>
  </si>
  <si>
    <t>all footer links</t>
  </si>
  <si>
    <t>Each resolves to the right page; external links open in a new tab with rel noopener</t>
  </si>
  <si>
    <t>HOME-007</t>
  </si>
  <si>
    <t>Product detail page</t>
  </si>
  <si>
    <t>Open a product page</t>
  </si>
  <si>
    <t>Published product with images, variants and reviews</t>
  </si>
  <si>
    <t>1. Open the product page</t>
  </si>
  <si>
    <t>published product</t>
  </si>
  <si>
    <t>Title, price, gallery, variants, stock state, specifications, description, reviews and related products all render correctly</t>
  </si>
  <si>
    <t>HOME-008</t>
  </si>
  <si>
    <t>Product page for a missing product</t>
  </si>
  <si>
    <t>Open a product URL that does not exist</t>
  </si>
  <si>
    <t>Site reachable</t>
  </si>
  <si>
    <t>1. Open /product/does-not-exist</t>
  </si>
  <si>
    <t>unknown slug</t>
  </si>
  <si>
    <t>A styled 404 page renders - not a stack trace and not a blank screen</t>
  </si>
  <si>
    <t>HOME-009</t>
  </si>
  <si>
    <t>Category listing page</t>
  </si>
  <si>
    <t>Browse a category</t>
  </si>
  <si>
    <t>Category with 60 products</t>
  </si>
  <si>
    <t>1. Open the category
2. Page through the results</t>
  </si>
  <si>
    <t>60 products</t>
  </si>
  <si>
    <t>Products render 25 per page per the frontend pagination setting, with accurate counts and no duplicates across pages</t>
  </si>
  <si>
    <t>HOME-010</t>
  </si>
  <si>
    <t>CMS page</t>
  </si>
  <si>
    <t>Open a content page</t>
  </si>
  <si>
    <t>Page published with a slug</t>
  </si>
  <si>
    <t>1. Open /page/{slug}</t>
  </si>
  <si>
    <t>about-us</t>
  </si>
  <si>
    <t>The page content, meta title and description render as configured</t>
  </si>
  <si>
    <t>HOME-011</t>
  </si>
  <si>
    <t>Embedded category and product widgets</t>
  </si>
  <si>
    <t>Load the embed views</t>
  </si>
  <si>
    <t>Embed routes enabled</t>
  </si>
  <si>
    <t>1. Open /embed/category/{id} and /embed/product/{id}
2. Embed one in an iframe on another origin</t>
  </si>
  <si>
    <t>embed ids</t>
  </si>
  <si>
    <t>The widget renders standalone and inside an iframe, exposing only intended public data</t>
  </si>
  <si>
    <t>HOME-012</t>
  </si>
  <si>
    <t>Newsletter subscription</t>
  </si>
  <si>
    <t>Subscribe from the footer</t>
  </si>
  <si>
    <t>Homepage open</t>
  </si>
  <si>
    <t>1. Enter an email and subscribe
2. Subscribe again with the same address
3. Try a malformed address</t>
  </si>
  <si>
    <t>valid | duplicate | malformed</t>
  </si>
  <si>
    <t>The first succeeds, the duplicate is handled without an error trace and the malformed address is rejected</t>
  </si>
  <si>
    <t>Functional / Validation</t>
  </si>
  <si>
    <t>SRCH-001</t>
  </si>
  <si>
    <t>Search &amp; Browse</t>
  </si>
  <si>
    <t>Basic search</t>
  </si>
  <si>
    <t>Search for a product by name</t>
  </si>
  <si>
    <t>Products indexed</t>
  </si>
  <si>
    <t>1. Enter a product title in the search box
2. Submit</t>
  </si>
  <si>
    <t>search=laptop</t>
  </si>
  <si>
    <t>Matching products are returned, ranked sensibly, honouring the 9-per-page search pagination</t>
  </si>
  <si>
    <t>SRCH-002</t>
  </si>
  <si>
    <t>Search with no results</t>
  </si>
  <si>
    <t>Search for a term that matches nothing</t>
  </si>
  <si>
    <t>Search available</t>
  </si>
  <si>
    <t>1. Search for zzzzqqqq</t>
  </si>
  <si>
    <t>no matches</t>
  </si>
  <si>
    <t>A friendly empty state with suggestions; no error</t>
  </si>
  <si>
    <t>SRCH-003</t>
  </si>
  <si>
    <t>Search special characters</t>
  </si>
  <si>
    <t>Search with symbols and injection payloads</t>
  </si>
  <si>
    <t>1. Search each value</t>
  </si>
  <si>
    <t>% | _ | ' OR 1=1 -- | &lt;script&gt;alert(1)&lt;/script&gt; | 500-character string</t>
  </si>
  <si>
    <t>All are handled safely - no SQL error, no script execution, no 500, and wildcards are escaped</t>
  </si>
  <si>
    <t>SRCH-004</t>
  </si>
  <si>
    <t>Search partial and case-insensitive</t>
  </si>
  <si>
    <t>Partial words and mixed case</t>
  </si>
  <si>
    <t>Product QA Test Laptop exists</t>
  </si>
  <si>
    <t>1. Search lap, LAPTOP and LaPtOp</t>
  </si>
  <si>
    <t>partial and mixed case</t>
  </si>
  <si>
    <t>All three return the product consistently</t>
  </si>
  <si>
    <t>Functional / Edge</t>
  </si>
  <si>
    <t>SRCH-005</t>
  </si>
  <si>
    <t>Search excludes private products</t>
  </si>
  <si>
    <t>A private product does not appear</t>
  </si>
  <si>
    <t>One product is private</t>
  </si>
  <si>
    <t>1. Search for its exact title</t>
  </si>
  <si>
    <t>private product</t>
  </si>
  <si>
    <t>It is absent from results and its direct URL is not reachable</t>
  </si>
  <si>
    <t>SRCH-006</t>
  </si>
  <si>
    <t>Filter by price range</t>
  </si>
  <si>
    <t>Narrow a listing by price</t>
  </si>
  <si>
    <t>Listing with a spread of prices</t>
  </si>
  <si>
    <t>1. Set a min and max price
2. Apply</t>
  </si>
  <si>
    <t>100 to 500</t>
  </si>
  <si>
    <t>Only products inside the range are shown, and the boundary values are included</t>
  </si>
  <si>
    <t>SRCH-007</t>
  </si>
  <si>
    <t>Inverted price range</t>
  </si>
  <si>
    <t>Set the minimum above the maximum</t>
  </si>
  <si>
    <t>On a listing page</t>
  </si>
  <si>
    <t>1. Set min=500 and max=100</t>
  </si>
  <si>
    <t>inverted range</t>
  </si>
  <si>
    <t>Handled gracefully - rejected or normalised, never a 500 or an unfiltered list</t>
  </si>
  <si>
    <t>SRCH-008</t>
  </si>
  <si>
    <t>Filter by brand, category and attribute</t>
  </si>
  <si>
    <t>Combine several filters</t>
  </si>
  <si>
    <t>Listing with varied products</t>
  </si>
  <si>
    <t>1. Apply brand, category and colour together
2. Clear one at a time</t>
  </si>
  <si>
    <t>3 filters</t>
  </si>
  <si>
    <t>Results satisfy all active filters, counts are accurate and clearing restores results predictably</t>
  </si>
  <si>
    <t>SRCH-009</t>
  </si>
  <si>
    <t>Sort options</t>
  </si>
  <si>
    <t>Sort a listing</t>
  </si>
  <si>
    <t>Listing with varied prices and dates</t>
  </si>
  <si>
    <t>1. Sort by price ascending, price descending, newest and popularity</t>
  </si>
  <si>
    <t>4 sort orders</t>
  </si>
  <si>
    <t>Each order is applied correctly and survives pagination</t>
  </si>
  <si>
    <t>SRCH-010</t>
  </si>
  <si>
    <t>Filters plus pagination</t>
  </si>
  <si>
    <t>Combine filtering with paging</t>
  </si>
  <si>
    <t>Filtered result set spans 3 pages</t>
  </si>
  <si>
    <t>1. Filter, then move to page 2 and back</t>
  </si>
  <si>
    <t>filter plus paging</t>
  </si>
  <si>
    <t>Filters persist across pages and the back navigation returns to the same filtered page</t>
  </si>
  <si>
    <t>Integration / UI</t>
  </si>
  <si>
    <t>SRCH-011</t>
  </si>
  <si>
    <t>Pagination boundaries</t>
  </si>
  <si>
    <t>Request out-of-range pages</t>
  </si>
  <si>
    <t>Listing has 3 pages</t>
  </si>
  <si>
    <t>1. Request page 0, page 4 and page 99999</t>
  </si>
  <si>
    <t>0 | 4 | 99999</t>
  </si>
  <si>
    <t>Handled gracefully with an empty state or a clamp to a valid page - never a 500</t>
  </si>
  <si>
    <t>SRCH-012</t>
  </si>
  <si>
    <t>Search suggestions</t>
  </si>
  <si>
    <t>The type-ahead suggests products</t>
  </si>
  <si>
    <t>Search box focused</t>
  </si>
  <si>
    <t>1. Type three characters and pause</t>
  </si>
  <si>
    <t>lap</t>
  </si>
  <si>
    <t>Suggestions appear promptly, are debounced, and selecting one opens the right product</t>
  </si>
  <si>
    <t>SRCH-013</t>
  </si>
  <si>
    <t>Flash sale listing</t>
  </si>
  <si>
    <t>Browse the flash sale pages</t>
  </si>
  <si>
    <t>Active flash sale exists</t>
  </si>
  <si>
    <t>1. Open /flash-sale and a specific sale</t>
  </si>
  <si>
    <t>active sale</t>
  </si>
  <si>
    <t>Only in-window sale products are listed at the sale price, with an accurate countdown</t>
  </si>
  <si>
    <t>SRCH-014</t>
  </si>
  <si>
    <t>Clearance listing</t>
  </si>
  <si>
    <t>Browse the clearance page</t>
  </si>
  <si>
    <t>Clearance items exist</t>
  </si>
  <si>
    <t>1. Open /clearance</t>
  </si>
  <si>
    <t>clearance items</t>
  </si>
  <si>
    <t>Only clearance products are shown at their clearance prices</t>
  </si>
  <si>
    <t>SRCH-015</t>
  </si>
  <si>
    <t>Brand and store pages</t>
  </si>
  <si>
    <t>Browse a brand page and a vendor store page</t>
  </si>
  <si>
    <t>Brand and store have products</t>
  </si>
  <si>
    <t>1. Open /brands then a brand
2. Open /shop/{slug}</t>
  </si>
  <si>
    <t>brand and store slugs</t>
  </si>
  <si>
    <t>Each page lists only that brand or store products, with working filters and pagination</t>
  </si>
  <si>
    <t>SRCH-016</t>
  </si>
  <si>
    <t>Large result set performance</t>
  </si>
  <si>
    <t>Search a term matching thousands of products</t>
  </si>
  <si>
    <t>Catalogue of 10,000+ products</t>
  </si>
  <si>
    <t>1. Search a very common term
2. Measure the response time</t>
  </si>
  <si>
    <t>broad term</t>
  </si>
  <si>
    <t>Results return within the agreed threshold (under 3 seconds) without timing out or exhausting memory</t>
  </si>
  <si>
    <t>Performance</t>
  </si>
  <si>
    <t>REV-001</t>
  </si>
  <si>
    <t>Reviews &amp; Ratings</t>
  </si>
  <si>
    <t>Submit a review</t>
  </si>
  <si>
    <t>Leave a rating and comment on a purchased product</t>
  </si>
  <si>
    <t>Customer has a delivered order for the product</t>
  </si>
  <si>
    <t>1. Open the product
2. Give 5 stars and a comment
3. Attach an image
4. Submit</t>
  </si>
  <si>
    <t>rating=5; comment=Great laptop; image=review.jpg</t>
  </si>
  <si>
    <t>The review is stored pending moderation if configured and the customer sees a confirmation</t>
  </si>
  <si>
    <t>REV-002</t>
  </si>
  <si>
    <t>Review requires a purchase</t>
  </si>
  <si>
    <t>Review a product never bought</t>
  </si>
  <si>
    <t>Customer has no order for the product</t>
  </si>
  <si>
    <t>1. Attempt to submit a review</t>
  </si>
  <si>
    <t>no purchase history</t>
  </si>
  <si>
    <t>Blocked per the configured policy, or clearly labelled as unverified - the rule is applied server-side</t>
  </si>
  <si>
    <t>REV-003</t>
  </si>
  <si>
    <t>Rating range validation</t>
  </si>
  <si>
    <t>Submit out-of-range ratings</t>
  </si>
  <si>
    <t>Review form available</t>
  </si>
  <si>
    <t>1. Submit each rating value</t>
  </si>
  <si>
    <t>0 | 6 | -1 | 2.5 | abc</t>
  </si>
  <si>
    <t>Only whole values 1 to 5 are accepted; everything else is rejected</t>
  </si>
  <si>
    <t>REV-004</t>
  </si>
  <si>
    <t>Duplicate review</t>
  </si>
  <si>
    <t>Review the same product twice</t>
  </si>
  <si>
    <t>Customer already reviewed it</t>
  </si>
  <si>
    <t>1. Submit a second review for the same product</t>
  </si>
  <si>
    <t>second review</t>
  </si>
  <si>
    <t>Blocked or the existing review is updated - the average is not skewed by duplicates</t>
  </si>
  <si>
    <t>REV-005</t>
  </si>
  <si>
    <t>Review XSS</t>
  </si>
  <si>
    <t>Submit HTML and script in a review</t>
  </si>
  <si>
    <t>1. Submit the payload
2. Approve it
3. View the product page</t>
  </si>
  <si>
    <t>&lt;script&gt;alert(1)&lt;/script&gt;</t>
  </si>
  <si>
    <t>Rendered as literal text on the storefront and in admin; no script executes</t>
  </si>
  <si>
    <t>REV-006</t>
  </si>
  <si>
    <t>Review length limits</t>
  </si>
  <si>
    <t>Very long and empty comments</t>
  </si>
  <si>
    <t>1. Submit an empty comment
2. Submit a 10,000-character comment</t>
  </si>
  <si>
    <t>empty | 10,000 chars</t>
  </si>
  <si>
    <t>Empty is rejected if required; the long comment is rejected or truncated at the documented limit with no SQL error</t>
  </si>
  <si>
    <t>REV-007</t>
  </si>
  <si>
    <t>Review image validation</t>
  </si>
  <si>
    <t>Attach invalid review images</t>
  </si>
  <si>
    <t>1. Attach a 5MB file, an .svg and a .exe renamed .jpg</t>
  </si>
  <si>
    <t>oversized, svg, disguised exe</t>
  </si>
  <si>
    <t>All are rejected with clear messages</t>
  </si>
  <si>
    <t>REV-008</t>
  </si>
  <si>
    <t>Approve a review</t>
  </si>
  <si>
    <t>Publish a pending review</t>
  </si>
  <si>
    <t>Pending review exists</t>
  </si>
  <si>
    <t>1. Open /admin/rating-reviews
2. Approve it
3. Reload the product page</t>
  </si>
  <si>
    <t>pending review</t>
  </si>
  <si>
    <t>It appears publicly and the product average rating recalculates correctly</t>
  </si>
  <si>
    <t>REV-009</t>
  </si>
  <si>
    <t>Reject or delete a review</t>
  </si>
  <si>
    <t>Remove an inappropriate review</t>
  </si>
  <si>
    <t>Published review exists</t>
  </si>
  <si>
    <t>1. Delete it
2. Reload the product page</t>
  </si>
  <si>
    <t>published review</t>
  </si>
  <si>
    <t>It disappears from the storefront and the average recalculates</t>
  </si>
  <si>
    <t>REV-010</t>
  </si>
  <si>
    <t>Average rating accuracy</t>
  </si>
  <si>
    <t>The average matches the reviews</t>
  </si>
  <si>
    <t>Product with ratings 5, 4 and 3</t>
  </si>
  <si>
    <t>1. Compare the displayed average against the arithmetic mean</t>
  </si>
  <si>
    <t>5, 4, 3 = 4.0</t>
  </si>
  <si>
    <t>The average is exactly 4.0, rounded per the documented rule, and the review count is right</t>
  </si>
  <si>
    <t>REV-011</t>
  </si>
  <si>
    <t>Review pagination</t>
  </si>
  <si>
    <t>Page through many reviews</t>
  </si>
  <si>
    <t>Product with 20 reviews</t>
  </si>
  <si>
    <t>1. Page through the review list</t>
  </si>
  <si>
    <t>20 reviews</t>
  </si>
  <si>
    <t>Six per page per the configured pagination, with no duplicates or gaps</t>
  </si>
  <si>
    <t>REV-012</t>
  </si>
  <si>
    <t>Review edit IDOR</t>
  </si>
  <si>
    <t>Edit or delete another customer review</t>
  </si>
  <si>
    <t>Reviews by A and B</t>
  </si>
  <si>
    <t>1. As A, attempt to edit or delete the B review</t>
  </si>
  <si>
    <t>B review id</t>
  </si>
  <si>
    <t>Refused; the review is unchanged</t>
  </si>
  <si>
    <t>SELL-001</t>
  </si>
  <si>
    <t>Vendor &amp; Store</t>
  </si>
  <si>
    <t>Seller registration</t>
  </si>
  <si>
    <t>Register as a seller</t>
  </si>
  <si>
    <t>Seller registration enabled</t>
  </si>
  <si>
    <t>1. Open /seller/register
2. Enter name, email, store name and password
3. Submit</t>
  </si>
  <si>
    <t>store_name=QA Store; password=Seller@12345</t>
  </si>
  <si>
    <t>The application is created pending approval and the applicant is notified</t>
  </si>
  <si>
    <t>SELL-002</t>
  </si>
  <si>
    <t>Seller registration validation</t>
  </si>
  <si>
    <t>Submit the seller form incomplete</t>
  </si>
  <si>
    <t>On /seller/register</t>
  </si>
  <si>
    <t>1. Submit with blanks and a 5-character password</t>
  </si>
  <si>
    <t>blanks; password=Abc12</t>
  </si>
  <si>
    <t>Errors on name, email, store_name and the min:6 password rule</t>
  </si>
  <si>
    <t>SELL-003</t>
  </si>
  <si>
    <t>Duplicate store name</t>
  </si>
  <si>
    <t>Register a store name already in use</t>
  </si>
  <si>
    <t>QA Store exists</t>
  </si>
  <si>
    <t>1. Register another seller with the same store name</t>
  </si>
  <si>
    <t>store_name=QA Store</t>
  </si>
  <si>
    <t>Rejected or made unique so store URLs do not collide</t>
  </si>
  <si>
    <t>SELL-004</t>
  </si>
  <si>
    <t>Approve a vendor</t>
  </si>
  <si>
    <t>Approve a pending seller application</t>
  </si>
  <si>
    <t>Pending application exists</t>
  </si>
  <si>
    <t>1. Open /admin/admins-vendors
2. Approve the vendor</t>
  </si>
  <si>
    <t>pending vendor</t>
  </si>
  <si>
    <t>The vendor can sign in, their store page goes live and they are notified</t>
  </si>
  <si>
    <t>SELL-005</t>
  </si>
  <si>
    <t>Unapproved vendor cannot trade</t>
  </si>
  <si>
    <t>A pending vendor tries to sign in and list products</t>
  </si>
  <si>
    <t>Application still pending</t>
  </si>
  <si>
    <t>1. Attempt vendor login and a product create call</t>
  </si>
  <si>
    <t>Blocked with a clear pending message; no product is created</t>
  </si>
  <si>
    <t>SELL-006</t>
  </si>
  <si>
    <t>Vendor product management</t>
  </si>
  <si>
    <t>A vendor manages their own catalogue</t>
  </si>
  <si>
    <t>Approved vendor session</t>
  </si>
  <si>
    <t>1. Create, edit and unpublish a product</t>
  </si>
  <si>
    <t>vendor product</t>
  </si>
  <si>
    <t>All three succeed and the product is attributed to that vendor store</t>
  </si>
  <si>
    <t>SELL-007</t>
  </si>
  <si>
    <t>Vendor order visibility</t>
  </si>
  <si>
    <t>A vendor sees orders for their products only</t>
  </si>
  <si>
    <t>Orders across two vendors</t>
  </si>
  <si>
    <t>1. Open the vendor order list</t>
  </si>
  <si>
    <t>mixed orders</t>
  </si>
  <si>
    <t>Only lines belonging to that vendor are visible; other vendors customers and totals are not exposed</t>
  </si>
  <si>
    <t>SELL-008</t>
  </si>
  <si>
    <t>Store settings</t>
  </si>
  <si>
    <t>Edit store details and branding</t>
  </si>
  <si>
    <t>Vendor session</t>
  </si>
  <si>
    <t>1. Open the store settings
2. Change the name, logo, banner and meta fields
3. Save</t>
  </si>
  <si>
    <t>store profile</t>
  </si>
  <si>
    <t>Changes persist and appear on /shop/{slug}</t>
  </si>
  <si>
    <t>SELL-009</t>
  </si>
  <si>
    <t>Follow a store</t>
  </si>
  <si>
    <t>Follow and unfollow a vendor store</t>
  </si>
  <si>
    <t>1. Follow the store
2. Check the following list
3. Unfollow</t>
  </si>
  <si>
    <t>store id</t>
  </si>
  <si>
    <t>The follow state toggles correctly and /user/following reflects it</t>
  </si>
  <si>
    <t>SELL-010</t>
  </si>
  <si>
    <t>Withdrawal account setup</t>
  </si>
  <si>
    <t>Add bank details for payouts</t>
  </si>
  <si>
    <t>1. Open withdrawal accounts
2. Add account details
3. Save</t>
  </si>
  <si>
    <t>bank details</t>
  </si>
  <si>
    <t>The account is saved with sensitive fields masked in the UI and never returned in full by the API</t>
  </si>
  <si>
    <t>SELL-011</t>
  </si>
  <si>
    <t>Withdrawal request</t>
  </si>
  <si>
    <t>Request a payout</t>
  </si>
  <si>
    <t>Vendor balance is 200.00; minimum is 50</t>
  </si>
  <si>
    <t>1. Request 100.00
2. Then request 25.00</t>
  </si>
  <si>
    <t>100.00 then 25.00</t>
  </si>
  <si>
    <t>The first is accepted; the second is refused against the 50.00 minimum</t>
  </si>
  <si>
    <t>SELL-012</t>
  </si>
  <si>
    <t>Withdrawal over balance</t>
  </si>
  <si>
    <t>Request more than the available balance</t>
  </si>
  <si>
    <t>Balance 200.00</t>
  </si>
  <si>
    <t>1. Request 500.00</t>
  </si>
  <si>
    <t>500.00</t>
  </si>
  <si>
    <t>Refused with a clear message; the balance is unchanged</t>
  </si>
  <si>
    <t>SELL-013</t>
  </si>
  <si>
    <t>Approve a withdrawal</t>
  </si>
  <si>
    <t>Admin approves a payout request</t>
  </si>
  <si>
    <t>Requested withdrawal exists</t>
  </si>
  <si>
    <t>1. Approve it in admin
2. Check the vendor balance and status</t>
  </si>
  <si>
    <t>withdrawal id</t>
  </si>
  <si>
    <t>The status becomes Approved, the balance is reduced once and the vendor is notified</t>
  </si>
  <si>
    <t>SELL-014</t>
  </si>
  <si>
    <t>Cancel a withdrawal</t>
  </si>
  <si>
    <t>Cancel a pending payout request</t>
  </si>
  <si>
    <t>1. Cancel it</t>
  </si>
  <si>
    <t>The status becomes Cancelled and any held balance is released exactly once</t>
  </si>
  <si>
    <t>SELL-015</t>
  </si>
  <si>
    <t>Withdrawal double approval</t>
  </si>
  <si>
    <t>Approve the same request twice</t>
  </si>
  <si>
    <t>Approved withdrawal exists</t>
  </si>
  <si>
    <t>1. Approve it again</t>
  </si>
  <si>
    <t>second approval</t>
  </si>
  <si>
    <t>Refused; the balance is debited only once</t>
  </si>
  <si>
    <t>SUP-001</t>
  </si>
  <si>
    <t>Procurement</t>
  </si>
  <si>
    <t>Create a supplier</t>
  </si>
  <si>
    <t>Add a supplier record</t>
  </si>
  <si>
    <t>1. Open /admin/procurement/suppliers
2. Add name, contact, email and categories
3. Save</t>
  </si>
  <si>
    <t>supplier profile</t>
  </si>
  <si>
    <t>The supplier is created and appears in the list with its categories</t>
  </si>
  <si>
    <t>SUP-002</t>
  </si>
  <si>
    <t>Supplier validation</t>
  </si>
  <si>
    <t>Save a supplier with missing or malformed data</t>
  </si>
  <si>
    <t>On the supplier form</t>
  </si>
  <si>
    <t>1. Submit blank
2. Submit a malformed email</t>
  </si>
  <si>
    <t>blank; not-an-email</t>
  </si>
  <si>
    <t>Required and email rules fire with field-level messages</t>
  </si>
  <si>
    <t>SUP-003</t>
  </si>
  <si>
    <t>Supplier notification</t>
  </si>
  <si>
    <t>Notify suppliers of a requirement</t>
  </si>
  <si>
    <t>Suppliers with categories exist</t>
  </si>
  <si>
    <t>1. Trigger a supplier notification for a category</t>
  </si>
  <si>
    <t>category match</t>
  </si>
  <si>
    <t>Only suppliers in that category are notified and the send is recorded</t>
  </si>
  <si>
    <t>SUP-004</t>
  </si>
  <si>
    <t>Supplier bid submission</t>
  </si>
  <si>
    <t>A supplier submits a bid via their token link</t>
  </si>
  <si>
    <t>Bid invitation issued</t>
  </si>
  <si>
    <t>1. Open /supplier/bid/{token}
2. Enter a price and lead time
3. Submit</t>
  </si>
  <si>
    <t>price=380.00; lead=5 days</t>
  </si>
  <si>
    <t>The bid is recorded against the right supplier and requirement</t>
  </si>
  <si>
    <t>SUP-005</t>
  </si>
  <si>
    <t>Bid token validity</t>
  </si>
  <si>
    <t>Use an invalid, expired or reused bid token</t>
  </si>
  <si>
    <t>Tokens available</t>
  </si>
  <si>
    <t>1. Open the bid page with a made-up token
2. Then with an expired one
3. Then reuse a submitted one</t>
  </si>
  <si>
    <t>forged | expired | used</t>
  </si>
  <si>
    <t>Each is refused with a clear message and no bid form is exposed</t>
  </si>
  <si>
    <t>SUP-006</t>
  </si>
  <si>
    <t>Bid token cross-supplier</t>
  </si>
  <si>
    <t>Use supplier A token to bid as supplier B</t>
  </si>
  <si>
    <t>Two supplier tokens</t>
  </si>
  <si>
    <t>1. Submit a bid with the A token but B identifiers</t>
  </si>
  <si>
    <t>mismatched token</t>
  </si>
  <si>
    <t>The bid is attributed strictly to the token owner or refused</t>
  </si>
  <si>
    <t>SUP-007</t>
  </si>
  <si>
    <t>Compare bids</t>
  </si>
  <si>
    <t>Review submitted bids</t>
  </si>
  <si>
    <t>Three bids on one requirement</t>
  </si>
  <si>
    <t>1. Open the bid comparison</t>
  </si>
  <si>
    <t>3 bids</t>
  </si>
  <si>
    <t>All three are listed with price and lead time and can be sorted</t>
  </si>
  <si>
    <t>SUP-008</t>
  </si>
  <si>
    <t>Trade applications review</t>
  </si>
  <si>
    <t>Approve and reject trade account applications</t>
  </si>
  <si>
    <t>Pending trade applications exist</t>
  </si>
  <si>
    <t>1. Open /admin/trade-applications
2. Approve one and reject another</t>
  </si>
  <si>
    <t>2 applications</t>
  </si>
  <si>
    <t>Approval unlocks trade pricing for that account; rejection notifies the applicant and grants nothing</t>
  </si>
  <si>
    <t>POS-001</t>
  </si>
  <si>
    <t>Point of Sale</t>
  </si>
  <si>
    <t>POS configuration</t>
  </si>
  <si>
    <t>Configure POS settings</t>
  </si>
  <si>
    <t>1. Open /admin/pos/configuration
2. Set the terminal, tax and receipt options
3. Save</t>
  </si>
  <si>
    <t>POS settings</t>
  </si>
  <si>
    <t>Settings persist and are applied on the POS order screen</t>
  </si>
  <si>
    <t>POS-002</t>
  </si>
  <si>
    <t>Create a POS sale</t>
  </si>
  <si>
    <t>Ring up an in-store sale</t>
  </si>
  <si>
    <t>POS configured</t>
  </si>
  <si>
    <t>1. Open /admin/pos/order
2. Scan or add products
3. Take cash payment
4. Complete</t>
  </si>
  <si>
    <t>2 items; cash</t>
  </si>
  <si>
    <t>A POS order is created, stock decrements once and a receipt is produced</t>
  </si>
  <si>
    <t>POS-003</t>
  </si>
  <si>
    <t>POS payment methods</t>
  </si>
  <si>
    <t>Complete sales by cash, card on delivery and offline</t>
  </si>
  <si>
    <t>1. Complete one sale per method</t>
  </si>
  <si>
    <t>posMethod 1, 2 and 3</t>
  </si>
  <si>
    <t>Each records the correct method and the totals reconcile</t>
  </si>
  <si>
    <t>POS-004</t>
  </si>
  <si>
    <t>POS out-of-stock item</t>
  </si>
  <si>
    <t>Sell an item with no stock</t>
  </si>
  <si>
    <t>Product stock is 0</t>
  </si>
  <si>
    <t>1. Add it to a POS sale and complete</t>
  </si>
  <si>
    <t>stock=0</t>
  </si>
  <si>
    <t>Blocked or explicitly overridden with a recorded reason; stock never goes negative silently</t>
  </si>
  <si>
    <t>POS-005</t>
  </si>
  <si>
    <t>POS discount</t>
  </si>
  <si>
    <t>Apply a manual discount to a POS sale</t>
  </si>
  <si>
    <t>POS sale in progress</t>
  </si>
  <si>
    <t>1. Apply a 10% manual discount
2. Complete</t>
  </si>
  <si>
    <t>10% discount</t>
  </si>
  <si>
    <t>The discount is applied, recorded and reflected in the takings report</t>
  </si>
  <si>
    <t>POS-006</t>
  </si>
  <si>
    <t>POS manager view</t>
  </si>
  <si>
    <t>Review POS sales</t>
  </si>
  <si>
    <t>POS orders exist</t>
  </si>
  <si>
    <t>1. Open /admin/pos/manager</t>
  </si>
  <si>
    <t>POS orders</t>
  </si>
  <si>
    <t>All POS sales are listed with totals reconciling against the orders table</t>
  </si>
  <si>
    <t>POS-007</t>
  </si>
  <si>
    <t>POS refund</t>
  </si>
  <si>
    <t>Refund a POS sale</t>
  </si>
  <si>
    <t>Completed POS order</t>
  </si>
  <si>
    <t>1. Refund it</t>
  </si>
  <si>
    <t>POS order id</t>
  </si>
  <si>
    <t>Stock returns once, the refund is recorded and the takings adjust</t>
  </si>
  <si>
    <t>POS-008</t>
  </si>
  <si>
    <t>POS permission</t>
  </si>
  <si>
    <t>A limited admin opens the POS</t>
  </si>
  <si>
    <t>Limited admin without the POS permission</t>
  </si>
  <si>
    <t>1. Navigate to /admin/pos/order and call the POS API</t>
  </si>
  <si>
    <t>limited admin</t>
  </si>
  <si>
    <t>Both the UI route and the API refuse access</t>
  </si>
  <si>
    <t>CMS-001</t>
  </si>
  <si>
    <t>Content Management</t>
  </si>
  <si>
    <t>Create a CMS page</t>
  </si>
  <si>
    <t>Publish a content page</t>
  </si>
  <si>
    <t>Signed in with the page permission</t>
  </si>
  <si>
    <t>1. Open /admin/pages
2. Add title, slug, component, meta title and meta description
3. Add body content
4. Save</t>
  </si>
  <si>
    <t>slug=about-us</t>
  </si>
  <si>
    <t>The page is created and reachable at /page/about-us with the configured meta tags</t>
  </si>
  <si>
    <t>CMS-002</t>
  </si>
  <si>
    <t>CMS page required fields</t>
  </si>
  <si>
    <t>Save a page with fields missing</t>
  </si>
  <si>
    <t>On the page form</t>
  </si>
  <si>
    <t>1. Submit blank</t>
  </si>
  <si>
    <t>Errors on title, slug, page_from_component, meta_title and meta_description</t>
  </si>
  <si>
    <t>CMS-003</t>
  </si>
  <si>
    <t>CMS page slug collision</t>
  </si>
  <si>
    <t>Reuse an existing page slug</t>
  </si>
  <si>
    <t>about-us exists</t>
  </si>
  <si>
    <t>1. Create another page with slug=about-us</t>
  </si>
  <si>
    <t>Rejected or auto-suffixed; both pages remain reachable at distinct URLs</t>
  </si>
  <si>
    <t>CMS-004</t>
  </si>
  <si>
    <t>CMS editor sanitisation</t>
  </si>
  <si>
    <t>Insert script and iframe content in a page</t>
  </si>
  <si>
    <t>On the page editor</t>
  </si>
  <si>
    <t>1. Paste a script tag and an iframe in source mode
2. Save
3. View the page</t>
  </si>
  <si>
    <t>&lt;script&gt; and &lt;iframe&gt;</t>
  </si>
  <si>
    <t>Dangerous markup is stripped or safely sandboxed; no script from an untrusted origin executes</t>
  </si>
  <si>
    <t>CMS-005</t>
  </si>
  <si>
    <t>WYSIWYG image upload</t>
  </si>
  <si>
    <t>Insert an image through the editor</t>
  </si>
  <si>
    <t>1. Upload and insert an image
2. Save and view the page</t>
  </si>
  <si>
    <t>page image</t>
  </si>
  <si>
    <t>The image uploads, renders on the published page and is size- and type-validated</t>
  </si>
  <si>
    <t>CMS-006</t>
  </si>
  <si>
    <t>Delete a CMS page</t>
  </si>
  <si>
    <t>Remove a published page</t>
  </si>
  <si>
    <t>Page exists and is linked from the footer</t>
  </si>
  <si>
    <t>1. Delete the page
2. Follow the footer link</t>
  </si>
  <si>
    <t>linked page</t>
  </si>
  <si>
    <t>The page is removed and the stale link is handled with a 404 or is cleaned up - never a 500</t>
  </si>
  <si>
    <t>CMS-007</t>
  </si>
  <si>
    <t>Banner management</t>
  </si>
  <si>
    <t>Create, edit and delete banners in each slot</t>
  </si>
  <si>
    <t>Signed in with the banner permission</t>
  </si>
  <si>
    <t>1. Create banners in slots 1 to 9
2. Edit one
3. Delete one</t>
  </si>
  <si>
    <t>9 banner slots</t>
  </si>
  <si>
    <t>Each slot renders in its designated homepage position and edits and deletes take effect</t>
  </si>
  <si>
    <t>CMS-008</t>
  </si>
  <si>
    <t>Banner source types</t>
  </si>
  <si>
    <t>Link a banner to each source type</t>
  </si>
  <si>
    <t>Banner form open</t>
  </si>
  <si>
    <t>1. Create banners targeting a category, sub-category, tag, brand, product and raw URL</t>
  </si>
  <si>
    <t>6 source types</t>
  </si>
  <si>
    <t>Every type resolves to the correct destination</t>
  </si>
  <si>
    <t>CMS-009</t>
  </si>
  <si>
    <t>Banner image validation</t>
  </si>
  <si>
    <t>Upload invalid banner images</t>
  </si>
  <si>
    <t>On the banner form</t>
  </si>
  <si>
    <t>1. Upload an oversized file, an .svg and a non-image</t>
  </si>
  <si>
    <t>oversized, svg, non-image</t>
  </si>
  <si>
    <t>Each is rejected against the configured size and MIME rules</t>
  </si>
  <si>
    <t>CMS-010</t>
  </si>
  <si>
    <t>Home slider management</t>
  </si>
  <si>
    <t>Manage main, right-top and right-bottom sliders</t>
  </si>
  <si>
    <t>1. Add slides to each of the three positions
2. Reorder and delete</t>
  </si>
  <si>
    <t>3 slider positions</t>
  </si>
  <si>
    <t>Each position renders its own slides in the configured order</t>
  </si>
  <si>
    <t>CMS-011</t>
  </si>
  <si>
    <t>Header links</t>
  </si>
  <si>
    <t>Manage left and right header links</t>
  </si>
  <si>
    <t>1. Add a link to each side
2. Reorder
3. Delete one</t>
  </si>
  <si>
    <t>headerLinkType 1 and 2</t>
  </si>
  <si>
    <t>Links render on the correct side in the configured order</t>
  </si>
  <si>
    <t>CMS-012</t>
  </si>
  <si>
    <t>Manage service and about footer links</t>
  </si>
  <si>
    <t>1. Add links under both groups
2. Edit and delete</t>
  </si>
  <si>
    <t>footerLinkType 1 and 2</t>
  </si>
  <si>
    <t>Links appear under the right heading and all changes take effect</t>
  </si>
  <si>
    <t>CMS-013</t>
  </si>
  <si>
    <t>Footer image links</t>
  </si>
  <si>
    <t>Manage payment and social icon links</t>
  </si>
  <si>
    <t>1. Add a payment icon and a social icon with URLs
2. Save</t>
  </si>
  <si>
    <t>footerImageLinkType 1 and 2</t>
  </si>
  <si>
    <t>Icons render in the right footer group and link out correctly in a new tab</t>
  </si>
  <si>
    <t>CMS-014</t>
  </si>
  <si>
    <t>Site features strip</t>
  </si>
  <si>
    <t>Manage the site feature highlights</t>
  </si>
  <si>
    <t>1. Create three features with icons and text
2. Reorder</t>
  </si>
  <si>
    <t>3 features</t>
  </si>
  <si>
    <t>They render in order on the storefront with their icons</t>
  </si>
  <si>
    <t>CMS-015</t>
  </si>
  <si>
    <t>Auth banners</t>
  </si>
  <si>
    <t>Configure the login and register page artwork</t>
  </si>
  <si>
    <t>1. Upload auth banners
2. Open /login and /register</t>
  </si>
  <si>
    <t>auth banners</t>
  </si>
  <si>
    <t>The configured artwork renders on both pages</t>
  </si>
  <si>
    <t>CMS-016</t>
  </si>
  <si>
    <t>Onboarding screens</t>
  </si>
  <si>
    <t>Configure and view onboarding content</t>
  </si>
  <si>
    <t>1. Create onboarding steps
2. View them as a new user</t>
  </si>
  <si>
    <t>onboarding steps</t>
  </si>
  <si>
    <t>The steps render in order for a first-time user and can be dismissed</t>
  </si>
  <si>
    <t>CMS-017</t>
  </si>
  <si>
    <t>Custom scripts</t>
  </si>
  <si>
    <t>Inject an analytics snippet</t>
  </si>
  <si>
    <t>1. Add a script under /admin/custom-scripts
2. Save
3. View the storefront source</t>
  </si>
  <si>
    <t>analytics snippet</t>
  </si>
  <si>
    <t>The snippet is injected in the configured position, and the feature is restricted to trusted admins only</t>
  </si>
  <si>
    <t>Stored-script feature - verify it is permission-gated and auditable</t>
  </si>
  <si>
    <t>CMS-018</t>
  </si>
  <si>
    <t>Media library</t>
  </si>
  <si>
    <t>Browse, upload and delete media</t>
  </si>
  <si>
    <t>Signed in with the images permission</t>
  </si>
  <si>
    <t>1. Open /admin/images
2. Upload, preview and delete a file</t>
  </si>
  <si>
    <t>media files</t>
  </si>
  <si>
    <t>All three actions work and a deleted file no longer resolves at its public URL</t>
  </si>
  <si>
    <t>CMS-019</t>
  </si>
  <si>
    <t>Delete media in use</t>
  </si>
  <si>
    <t>Delete an image still used by a product</t>
  </si>
  <si>
    <t>Image attached to a live product</t>
  </si>
  <si>
    <t>1. Delete it from the media library
2. Open the product page</t>
  </si>
  <si>
    <t>in-use image</t>
  </si>
  <si>
    <t>Either blocked with a warning, or the placeholder renders - never a broken image on a live page</t>
  </si>
  <si>
    <t>CMS-020</t>
  </si>
  <si>
    <t>Templates management</t>
  </si>
  <si>
    <t>Create and apply a product template</t>
  </si>
  <si>
    <t>1. Create a template
2. Apply it to a product
3. Edit it and re-check the product</t>
  </si>
  <si>
    <t>template</t>
  </si>
  <si>
    <t>The template applies, edits propagate and deleting a template in use is handled explicitly</t>
  </si>
  <si>
    <t>SET-001</t>
  </si>
  <si>
    <t>Settings</t>
  </si>
  <si>
    <t>Site settings</t>
  </si>
  <si>
    <t>Update the site identity</t>
  </si>
  <si>
    <t>Signed in with the site setting permission</t>
  </si>
  <si>
    <t>1. Open /admin/site-setting
2. Change the site name, logo, favicon and meta fields
3. Save</t>
  </si>
  <si>
    <t>site identity</t>
  </si>
  <si>
    <t>All changes persist and are reflected on the storefront and in the browser tab after a cache clear</t>
  </si>
  <si>
    <t>SET-002</t>
  </si>
  <si>
    <t>Store address settings</t>
  </si>
  <si>
    <t>Set the business address</t>
  </si>
  <si>
    <t>1. Open /admin/setting/address
2. Fill address_1, city, state, zip and country
3. Save</t>
  </si>
  <si>
    <t>business address</t>
  </si>
  <si>
    <t>Saved and shown on invoices and the contact page; all five fields are required</t>
  </si>
  <si>
    <t>SET-003</t>
  </si>
  <si>
    <t>SMTP configuration</t>
  </si>
  <si>
    <t>Configure outgoing mail</t>
  </si>
  <si>
    <t>1. Open /admin/setting/smtp
2. Enter host, port, encryption, username and password
3. Save
4. Send a test email</t>
  </si>
  <si>
    <t>SMTP credentials</t>
  </si>
  <si>
    <t>The test email is delivered; the stored password is never returned to the browser in plain text</t>
  </si>
  <si>
    <t>SET-004</t>
  </si>
  <si>
    <t>SMTP with bad credentials</t>
  </si>
  <si>
    <t>Save and test invalid SMTP settings</t>
  </si>
  <si>
    <t>On the SMTP form</t>
  </si>
  <si>
    <t>1. Enter a wrong password
2. Send a test email</t>
  </si>
  <si>
    <t>wrong password</t>
  </si>
  <si>
    <t>A clear failure message is shown; the application does not hang or expose the raw SMTP error to end users</t>
  </si>
  <si>
    <t>SET-005</t>
  </si>
  <si>
    <t>Payment gateway settings</t>
  </si>
  <si>
    <t>Enable and configure gateways</t>
  </si>
  <si>
    <t>1. Open /admin/setting/payment
2. Enable Stripe with test keys
3. Save
4. Check the checkout options</t>
  </si>
  <si>
    <t>Stripe test keys</t>
  </si>
  <si>
    <t>The gateway appears at checkout only when enabled and correctly configured</t>
  </si>
  <si>
    <t>SET-006</t>
  </si>
  <si>
    <t>Payment secrets masked</t>
  </si>
  <si>
    <t>Secret keys are not readable after saving</t>
  </si>
  <si>
    <t>Gateway configured</t>
  </si>
  <si>
    <t>1. Reopen the payment settings
2. Inspect the API response behind the form</t>
  </si>
  <si>
    <t>saved secrets</t>
  </si>
  <si>
    <t>Secrets are masked in the UI and not returned by the settings API</t>
  </si>
  <si>
    <t>SET-007</t>
  </si>
  <si>
    <t>Social login settings</t>
  </si>
  <si>
    <t>Configure OAuth providers</t>
  </si>
  <si>
    <t>1. Open /admin/setting/social-login
2. Enter client id and secret for a provider
3. Enable it
4. Check /login</t>
  </si>
  <si>
    <t>provider credentials</t>
  </si>
  <si>
    <t>The provider button appears only when enabled and the secret stays server-side</t>
  </si>
  <si>
    <t>SET-008</t>
  </si>
  <si>
    <t>Media storage settings</t>
  </si>
  <si>
    <t>Switch between local and cloud storage</t>
  </si>
  <si>
    <t>1. Open /admin/setting/media-storage
2. Configure cloud storage
3. Upload an image
4. Revert to local</t>
  </si>
  <si>
    <t>GCS credentials</t>
  </si>
  <si>
    <t>Uploads land in the selected backend and existing images keep resolving after the switch</t>
  </si>
  <si>
    <t>SET-009</t>
  </si>
  <si>
    <t>Analytics settings</t>
  </si>
  <si>
    <t>Configure the analytics identifiers</t>
  </si>
  <si>
    <t>1. Open /admin/setting/analytics
2. Save the tracking id
3. View the storefront source</t>
  </si>
  <si>
    <t>tracking id</t>
  </si>
  <si>
    <t>The tag is injected once, not duplicated, and only when configured</t>
  </si>
  <si>
    <t>SET-010</t>
  </si>
  <si>
    <t>Miscellaneous settings</t>
  </si>
  <si>
    <t>Toggle the miscellaneous options</t>
  </si>
  <si>
    <t>1. Open /admin/setting/miscellaneous
2. Toggle each option
3. Verify the storefront effect</t>
  </si>
  <si>
    <t>feature toggles</t>
  </si>
  <si>
    <t>Every toggle has the documented effect and persists after reload</t>
  </si>
  <si>
    <t>SET-011</t>
  </si>
  <si>
    <t>Sidebar icons</t>
  </si>
  <si>
    <t>Customise the admin sidebar icons</t>
  </si>
  <si>
    <t>1. Open /admin/setting/sidebar-icons
2. Upload and assign icons
3. Delete one</t>
  </si>
  <si>
    <t>sidebar icons</t>
  </si>
  <si>
    <t>Icons render in the sidebar and deletion falls back to a default rather than a broken image</t>
  </si>
  <si>
    <t>SET-012</t>
  </si>
  <si>
    <t>Clear cache</t>
  </si>
  <si>
    <t>Clear the application cache</t>
  </si>
  <si>
    <t>1. Change a setting
2. Open /admin/setting/clear-cache and clear
3. Reload the storefront</t>
  </si>
  <si>
    <t>cache clear</t>
  </si>
  <si>
    <t>The storefront reflects the change after the clear and the site stays available throughout</t>
  </si>
  <si>
    <t>SET-013</t>
  </si>
  <si>
    <t>Clear cache authorisation</t>
  </si>
  <si>
    <t>Clear the cache without credentials</t>
  </si>
  <si>
    <t>No admin token</t>
  </si>
  <si>
    <t>1. POST /api/admin/clear-cache and GET /api/clear-cache with no token</t>
  </si>
  <si>
    <t>Both are refused - cache control is not anonymously reachable</t>
  </si>
  <si>
    <t>SET-014</t>
  </si>
  <si>
    <t>Plugins management</t>
  </si>
  <si>
    <t>Enable, disable and activate a plugin</t>
  </si>
  <si>
    <t>1. Open /admin/setting/plugins
2. Activate one and deactivate another</t>
  </si>
  <si>
    <t>plugin list</t>
  </si>
  <si>
    <t>Each state change takes effect and a failed activation reports the reason without breaking the panel</t>
  </si>
  <si>
    <t>SET-015</t>
  </si>
  <si>
    <t>Add a language</t>
  </si>
  <si>
    <t>Add and activate a new language</t>
  </si>
  <si>
    <t>Signed in with the language permission</t>
  </si>
  <si>
    <t>1. Open /admin/setting/languages
2. Add a language with its code and direction
3. Activate it</t>
  </si>
  <si>
    <t>code=fr; direction=ltr</t>
  </si>
  <si>
    <t>The language becomes selectable on the storefront and its translation files load</t>
  </si>
  <si>
    <t>SET-016</t>
  </si>
  <si>
    <t>Delete a language in use</t>
  </si>
  <si>
    <t>Remove a language that has translated content</t>
  </si>
  <si>
    <t>Language with translations</t>
  </si>
  <si>
    <t>1. Delete it</t>
  </si>
  <si>
    <t>language in use</t>
  </si>
  <si>
    <t>Blocked or cascaded cleanly; no orphaned *_lang rows and no storefront breakage</t>
  </si>
  <si>
    <t>SET-017</t>
  </si>
  <si>
    <t>Subscription email formats</t>
  </si>
  <si>
    <t>Create and use a marketing email template</t>
  </si>
  <si>
    <t>1. Create a format
2. Send it to subscribers
3. Check delivery</t>
  </si>
  <si>
    <t>email format</t>
  </si>
  <si>
    <t>The template saves, merges fields correctly and delivers with the intended content</t>
  </si>
  <si>
    <t>SET-018</t>
  </si>
  <si>
    <t>Send to subscribers</t>
  </si>
  <si>
    <t>Bulk-send an email to the subscriber list</t>
  </si>
  <si>
    <t>Subscribers exist; SMTP configured</t>
  </si>
  <si>
    <t>1. Open /admin/subscribers/send-email
2. Choose a format and send</t>
  </si>
  <si>
    <t>subscriber list</t>
  </si>
  <si>
    <t>Emails are queued and sent without blocking the UI, and the send is logged with counts</t>
  </si>
  <si>
    <t>SET-019</t>
  </si>
  <si>
    <t>Settings permission gate</t>
  </si>
  <si>
    <t>A limited admin opens the settings module</t>
  </si>
  <si>
    <t>Limited admin without the setting permission</t>
  </si>
  <si>
    <t>1. Navigate to /admin/site-setting and call the settings API</t>
  </si>
  <si>
    <t>Both the route and the API refuse access</t>
  </si>
  <si>
    <t>SET-020</t>
  </si>
  <si>
    <t>Environment update endpoint</t>
  </si>
  <si>
    <t>Reach the env update endpoint</t>
  </si>
  <si>
    <t>1. GET /api/update-env without credentials
2. Then as a non-superadmin</t>
  </si>
  <si>
    <t>no token; limited admin</t>
  </si>
  <si>
    <t>Refused in both cases - environment configuration is never modifiable without full privilege</t>
  </si>
  <si>
    <t>USR-001</t>
  </si>
  <si>
    <t>Customer Account</t>
  </si>
  <si>
    <t>Account dashboard</t>
  </si>
  <si>
    <t>Open the customer dashboard</t>
  </si>
  <si>
    <t>Signed-in customer with orders</t>
  </si>
  <si>
    <t>1. Open /user/dashboard</t>
  </si>
  <si>
    <t>customer with history</t>
  </si>
  <si>
    <t>Recent orders, wallet, points and profile summary render accurately for that customer only</t>
  </si>
  <si>
    <t>USR-002</t>
  </si>
  <si>
    <t>Update profile</t>
  </si>
  <si>
    <t>Change name, phone and avatar</t>
  </si>
  <si>
    <t>1. Open /user/profile
2. Change the name and phone
3. Upload an avatar
4. Save</t>
  </si>
  <si>
    <t>name, phone, avatar</t>
  </si>
  <si>
    <t>Changes persist, are reflected in the header, and the avatar is size- and type-validated</t>
  </si>
  <si>
    <t>USR-003</t>
  </si>
  <si>
    <t>Change email address</t>
  </si>
  <si>
    <t>Update the account email</t>
  </si>
  <si>
    <t>1. Change the email to a new address
2. Save</t>
  </si>
  <si>
    <t>new@example.com</t>
  </si>
  <si>
    <t>The change requires verification of the new address, or is refused - the account is never silently moved to an unverified address</t>
  </si>
  <si>
    <t>USR-004</t>
  </si>
  <si>
    <t>Profile update IDOR</t>
  </si>
  <si>
    <t>Update another customer profile</t>
  </si>
  <si>
    <t>Accounts A and B</t>
  </si>
  <si>
    <t>1. As A, POST update-profile with the B user id in the payload</t>
  </si>
  <si>
    <t>The id in the payload is ignored - only the authenticated caller record is updated</t>
  </si>
  <si>
    <t>USR-005</t>
  </si>
  <si>
    <t>Add an address</t>
  </si>
  <si>
    <t>Save a new delivery address</t>
  </si>
  <si>
    <t>1. Open /user/addresses
2. Add a full address
3. Save</t>
  </si>
  <si>
    <t>UK address</t>
  </si>
  <si>
    <t>The address is saved and selectable at checkout</t>
  </si>
  <si>
    <t>USR-006</t>
  </si>
  <si>
    <t>Address validation</t>
  </si>
  <si>
    <t>Save an address with missing fields</t>
  </si>
  <si>
    <t>1. Submit with country, city, zip, address_1, email and name blank</t>
  </si>
  <si>
    <t>Field-level errors on every required field</t>
  </si>
  <si>
    <t>USR-007</t>
  </si>
  <si>
    <t>Edit and delete an address</t>
  </si>
  <si>
    <t>Modify and remove a saved address</t>
  </si>
  <si>
    <t>Customer has 2 addresses</t>
  </si>
  <si>
    <t>1. Edit one
2. Delete the other</t>
  </si>
  <si>
    <t>2 addresses</t>
  </si>
  <si>
    <t>Edits persist; the deleted address disappears and historical orders still show the address they were shipped to</t>
  </si>
  <si>
    <t>USR-008</t>
  </si>
  <si>
    <t>Default address</t>
  </si>
  <si>
    <t>Set a default delivery address</t>
  </si>
  <si>
    <t>Customer has 3 addresses</t>
  </si>
  <si>
    <t>1. Mark one as default
2. Start a checkout</t>
  </si>
  <si>
    <t>3 addresses</t>
  </si>
  <si>
    <t>The default is pre-selected at checkout and exactly one address is marked default</t>
  </si>
  <si>
    <t>USR-009</t>
  </si>
  <si>
    <t>Address IDOR</t>
  </si>
  <si>
    <t>Edit or delete another customer address</t>
  </si>
  <si>
    <t>1. As A, edit and then delete a B address id</t>
  </si>
  <si>
    <t>Both are refused; the B address is unchanged</t>
  </si>
  <si>
    <t>USR-010</t>
  </si>
  <si>
    <t>Customer voucher list</t>
  </si>
  <si>
    <t>View vouchers available to the account</t>
  </si>
  <si>
    <t>Customer has assigned vouchers</t>
  </si>
  <si>
    <t>1. Open /user/vouchers</t>
  </si>
  <si>
    <t>assigned vouchers</t>
  </si>
  <si>
    <t>Only vouchers valid for that customer are listed, with their terms and expiry</t>
  </si>
  <si>
    <t>USR-011</t>
  </si>
  <si>
    <t>Registered users list in admin</t>
  </si>
  <si>
    <t>Browse, search and filter customers</t>
  </si>
  <si>
    <t>Signed in with the user permission</t>
  </si>
  <si>
    <t>1. Open /admin/registered-users
2. Search and filter
3. Open a customer</t>
  </si>
  <si>
    <t>many customers</t>
  </si>
  <si>
    <t>Search and filters work, and the detail view shows orders and profile without exposing the password hash</t>
  </si>
  <si>
    <t>USR-012</t>
  </si>
  <si>
    <t>Guest users list</t>
  </si>
  <si>
    <t>Review guest sessions in admin</t>
  </si>
  <si>
    <t>Guest orders exist</t>
  </si>
  <si>
    <t>1. Open /admin/guest-users</t>
  </si>
  <si>
    <t>guest records</t>
  </si>
  <si>
    <t>Guests are listed with their orders and no personal data beyond what they supplied</t>
  </si>
  <si>
    <t>USR-013</t>
  </si>
  <si>
    <t>Deactivate a customer</t>
  </si>
  <si>
    <t>Disable a customer account from admin</t>
  </si>
  <si>
    <t>Active customer</t>
  </si>
  <si>
    <t>1. Deactivate the account
2. Attempt to sign in as that customer</t>
  </si>
  <si>
    <t>Login is refused and any existing token stops working</t>
  </si>
  <si>
    <t>USR-014</t>
  </si>
  <si>
    <t>Delete a customer with orders</t>
  </si>
  <si>
    <t>Remove a customer who has order history</t>
  </si>
  <si>
    <t>Customer with 3 orders</t>
  </si>
  <si>
    <t>1. Delete the customer
2. Open one of their historical orders</t>
  </si>
  <si>
    <t>customer with orders</t>
  </si>
  <si>
    <t>Orders remain intact and readable with the details captured at purchase time; no orphaned references break the admin views</t>
  </si>
  <si>
    <t>Data integrity / Edge</t>
  </si>
  <si>
    <t>USR-015</t>
  </si>
  <si>
    <t>Contact us form</t>
  </si>
  <si>
    <t>Send an enquiry through the contact form</t>
  </si>
  <si>
    <t>Contact page reachable</t>
  </si>
  <si>
    <t>1. Submit a valid enquiry
2. Then submit with blanks and with a script payload</t>
  </si>
  <si>
    <t>valid | blank | &lt;script&gt;</t>
  </si>
  <si>
    <t>The valid enquiry reaches admin and email; blanks are rejected; the payload is stored escaped</t>
  </si>
  <si>
    <t>USR-016</t>
  </si>
  <si>
    <t>Contact form spam control</t>
  </si>
  <si>
    <t>Submit the contact form repeatedly</t>
  </si>
  <si>
    <t>1. Submit 20 enquiries in a minute</t>
  </si>
  <si>
    <t>20 submissions</t>
  </si>
  <si>
    <t>Rate limiting or a captcha prevents flooding</t>
  </si>
  <si>
    <t>USR-017</t>
  </si>
  <si>
    <t>User messages in admin</t>
  </si>
  <si>
    <t>Read and reply to a customer message</t>
  </si>
  <si>
    <t>Messages exist</t>
  </si>
  <si>
    <t>1. Open /admin/user-messages
2. Open one and reply</t>
  </si>
  <si>
    <t>customer message</t>
  </si>
  <si>
    <t>The thread renders escaped, the reply is delivered and the message is marked read</t>
  </si>
  <si>
    <t>USR-018</t>
  </si>
  <si>
    <t>Subscriber list</t>
  </si>
  <si>
    <t>Review and export newsletter subscribers</t>
  </si>
  <si>
    <t>Subscribers exist</t>
  </si>
  <si>
    <t>1. Open /admin/subscribers
2. Export the list</t>
  </si>
  <si>
    <t>The list is accurate, exports cleanly and is only reachable with the subscriber permission</t>
  </si>
  <si>
    <t>SEC-001</t>
  </si>
  <si>
    <t>Debug mode disabled</t>
  </si>
  <si>
    <t>Application debug output is off outside development</t>
  </si>
  <si>
    <t>Environment configured as production</t>
  </si>
  <si>
    <t>1. Trigger a deliberate error (bad route parameter, forced DB failure)
2. Inspect the response</t>
  </si>
  <si>
    <t>forced error</t>
  </si>
  <si>
    <t>A generic styled error page is returned - no stack trace, no file paths, no database credentials</t>
  </si>
  <si>
    <t>QA audit SEC-04: debug mode was on in production, exposing DB credentials</t>
  </si>
  <si>
    <t>SEC-002</t>
  </si>
  <si>
    <t>Installer locked after install</t>
  </si>
  <si>
    <t>Installation endpoints are unreachable on a live site</t>
  </si>
  <si>
    <t>Application already installed</t>
  </si>
  <si>
    <t>1. GET /api/install/status and POST /api/install/setup
2. Open the web installer route</t>
  </si>
  <si>
    <t>All installer routes are refused or removed once installation is complete</t>
  </si>
  <si>
    <t>QA audit SEC-02</t>
  </si>
  <si>
    <t>SEC-003</t>
  </si>
  <si>
    <t>Migration endpoints protected</t>
  </si>
  <si>
    <t>Database migration routes need full privilege</t>
  </si>
  <si>
    <t>1. GET /api/migration and /api/fresh-migration with no token
2. Then with a limited admin token</t>
  </si>
  <si>
    <t>Both refused - a fresh migration must never be triggerable by an unauthorised caller</t>
  </si>
  <si>
    <t>SEC-004</t>
  </si>
  <si>
    <t>Unauthenticated admin endpoint sweep</t>
  </si>
  <si>
    <t>Every admin API route requires credentials</t>
  </si>
  <si>
    <t>List of admin routes</t>
  </si>
  <si>
    <t>1. Call each admin endpoint with no Authorization header
2. Record any that return data</t>
  </si>
  <si>
    <t>full admin route list</t>
  </si>
  <si>
    <t>Every route returns 401; none leaks data. Pay particular attention to onboarding, flash-discount and wallet-overview</t>
  </si>
  <si>
    <t>QA audit SEC-03 regression sweep</t>
  </si>
  <si>
    <t>SEC-005</t>
  </si>
  <si>
    <t>Horizontal privilege sweep</t>
  </si>
  <si>
    <t>Customer A cannot reach customer B resources</t>
  </si>
  <si>
    <t>Two customers with orders, addresses, carts, reviews and wallets</t>
  </si>
  <si>
    <t>1. For each id-addressed customer endpoint, substitute a B resource id while authenticated as A</t>
  </si>
  <si>
    <t>B resource ids</t>
  </si>
  <si>
    <t>Every request is refused; no cross-customer data is returned or modified</t>
  </si>
  <si>
    <t>SEC-006</t>
  </si>
  <si>
    <t>Vertical privilege sweep</t>
  </si>
  <si>
    <t>A customer cannot reach admin functionality</t>
  </si>
  <si>
    <t>Customer token</t>
  </si>
  <si>
    <t>1. Call a representative set of admin write endpoints with the customer token</t>
  </si>
  <si>
    <t>user-scope token</t>
  </si>
  <si>
    <t>All refused by the scope and permission middleware</t>
  </si>
  <si>
    <t>SEC-007</t>
  </si>
  <si>
    <t>Stored XSS sweep</t>
  </si>
  <si>
    <t>Script payloads in every free-text field</t>
  </si>
  <si>
    <t>Admin and customer access</t>
  </si>
  <si>
    <t>1. Store the payload in product title, description, category, review, address, order note, page content and store name
2. View each in storefront and admin</t>
  </si>
  <si>
    <t>&lt;script&gt;alert(1)&lt;/script&gt; and &lt;img src=x onerror=alert(1)&gt;</t>
  </si>
  <si>
    <t>No payload executes on any surface; all render as literal text</t>
  </si>
  <si>
    <t>SEC-008</t>
  </si>
  <si>
    <t>Reflected XSS</t>
  </si>
  <si>
    <t>Script payloads in URL parameters</t>
  </si>
  <si>
    <t>1. Inject the payload into search, filter and error query parameters</t>
  </si>
  <si>
    <t>?q=&lt;script&gt;alert(1)&lt;/script&gt;</t>
  </si>
  <si>
    <t>Payloads are escaped in the rendered output; no script executes</t>
  </si>
  <si>
    <t>SEC-009</t>
  </si>
  <si>
    <t>SQL injection sweep</t>
  </si>
  <si>
    <t>Injection payloads in search, filter and id parameters</t>
  </si>
  <si>
    <t>1. Inject the payloads into search, sort, filter, pagination and id parameters across the app</t>
  </si>
  <si>
    <t>' OR 1=1 -- | 1 UNION SELECT | 1; DROP TABLE</t>
  </si>
  <si>
    <t>No SQL error, no data leak and no schema change; parameter binding holds throughout</t>
  </si>
  <si>
    <t>SEC-010</t>
  </si>
  <si>
    <t>CSRF protection</t>
  </si>
  <si>
    <t>State-changing requests from another origin</t>
  </si>
  <si>
    <t>Signed-in session in the browser</t>
  </si>
  <si>
    <t>1. From a third-party page, submit a cross-origin POST to a state-changing endpoint</t>
  </si>
  <si>
    <t>cross-origin form post</t>
  </si>
  <si>
    <t>The request is refused - token-based endpoints do not accept ambient cookie authority, and session endpoints enforce the CSRF token</t>
  </si>
  <si>
    <t>SEC-011</t>
  </si>
  <si>
    <t>CORS policy</t>
  </si>
  <si>
    <t>Cross-origin API access is restricted</t>
  </si>
  <si>
    <t>API reachable</t>
  </si>
  <si>
    <t>1. Send a preflight and a request from an unapproved origin</t>
  </si>
  <si>
    <t>Origin: https://evil.example</t>
  </si>
  <si>
    <t>The response does not grant the untrusted origin access to authenticated data</t>
  </si>
  <si>
    <t>SEC-012</t>
  </si>
  <si>
    <t>Malicious file upload</t>
  </si>
  <si>
    <t>Upload executable and disguised content</t>
  </si>
  <si>
    <t>Any upload field</t>
  </si>
  <si>
    <t>1. Upload .php, .phtml, .html, .svg and a .php renamed .jpg
2. Try to request the uploaded path directly</t>
  </si>
  <si>
    <t>shell.php | shell.php.jpg | x.svg | x.html</t>
  </si>
  <si>
    <t>All are rejected on MIME sniffing; nothing uploaded is executable or served as HTML from the uploads path</t>
  </si>
  <si>
    <t>QA audit SEC-06</t>
  </si>
  <si>
    <t>SEC-013</t>
  </si>
  <si>
    <t>Path traversal on media routes</t>
  </si>
  <si>
    <t>Traversal sequences in file parameters</t>
  </si>
  <si>
    <t>Media endpoints reachable</t>
  </si>
  <si>
    <t>1. Request convert-image, media-storage-find and delete-image with traversal sequences</t>
  </si>
  <si>
    <t>../../.env and ..%2f..%2fconfig</t>
  </si>
  <si>
    <t>Refused; no file outside the media root is read, converted or deleted</t>
  </si>
  <si>
    <t>SEC-014</t>
  </si>
  <si>
    <t>Sensitive files not web-reachable</t>
  </si>
  <si>
    <t>Configuration and source files are not served</t>
  </si>
  <si>
    <t>1. Request /.env, /composer.json, /storage/logs/laravel.log, /service-account.json, /.git/config</t>
  </si>
  <si>
    <t>direct URLs</t>
  </si>
  <si>
    <t>Each returns 403 or 404; no configuration, credential or log content is served</t>
  </si>
  <si>
    <t>SEC-015</t>
  </si>
  <si>
    <t>Directory listing disabled</t>
  </si>
  <si>
    <t>Directories do not list their contents</t>
  </si>
  <si>
    <t>1. Request /uploads/ and /storage/</t>
  </si>
  <si>
    <t>directory URLs</t>
  </si>
  <si>
    <t>No file listing is rendered</t>
  </si>
  <si>
    <t>SEC-016</t>
  </si>
  <si>
    <t>Security response headers</t>
  </si>
  <si>
    <t>Standard protective headers are present</t>
  </si>
  <si>
    <t>1. Inspect the response headers on a storefront page and an API response</t>
  </si>
  <si>
    <t>HTTPS response</t>
  </si>
  <si>
    <t>X-Content-Type-Options, X-Frame-Options or frame-ancestors, Referrer-Policy, HSTS and a Content-Security-Policy are all present and sensible</t>
  </si>
  <si>
    <t>SEC-017</t>
  </si>
  <si>
    <t>HTTPS enforcement</t>
  </si>
  <si>
    <t>HTTP is redirected and cookies are secure</t>
  </si>
  <si>
    <t>Site served over HTTPS</t>
  </si>
  <si>
    <t>1. Request the site over http://
2. Inspect the session and auth cookie flags</t>
  </si>
  <si>
    <t>http request</t>
  </si>
  <si>
    <t>A 301 to HTTPS is returned and cookies carry Secure, HttpOnly and SameSite</t>
  </si>
  <si>
    <t>SEC-018</t>
  </si>
  <si>
    <t>Password storage</t>
  </si>
  <si>
    <t>Passwords are stored hashed</t>
  </si>
  <si>
    <t>Database access</t>
  </si>
  <si>
    <t>1. Read the password column for a test account</t>
  </si>
  <si>
    <t>test account row</t>
  </si>
  <si>
    <t>A bcrypt or argon hash is stored - never plain text, MD5 or SHA1</t>
  </si>
  <si>
    <t>Security / Data integrity</t>
  </si>
  <si>
    <t>SEC-019</t>
  </si>
  <si>
    <t>Token revocation on password change</t>
  </si>
  <si>
    <t>Old tokens die when the password changes</t>
  </si>
  <si>
    <t>1. Change the password from one session
2. Use the other session token</t>
  </si>
  <si>
    <t>old token</t>
  </si>
  <si>
    <t>The old token is rejected</t>
  </si>
  <si>
    <t>SEC-020</t>
  </si>
  <si>
    <t>Mass assignment</t>
  </si>
  <si>
    <t>Protected columns cannot be set through request payloads</t>
  </si>
  <si>
    <t>API access</t>
  </si>
  <si>
    <t>1. Include is_admin, role_id, status, balance and points in profile and signup payloads</t>
  </si>
  <si>
    <t>privileged fields</t>
  </si>
  <si>
    <t>All are ignored; the stored record is unchanged in those columns</t>
  </si>
  <si>
    <t>SEC-021</t>
  </si>
  <si>
    <t>Rate limiting on write endpoints</t>
  </si>
  <si>
    <t>High-frequency writes are throttled</t>
  </si>
  <si>
    <t>1. Send 200 requests in a minute to signup, contact, review and cart endpoints</t>
  </si>
  <si>
    <t>200 rapid requests</t>
  </si>
  <si>
    <t>Throttling returns 429 with a Retry-After; the database is not flooded</t>
  </si>
  <si>
    <t>SEC-022</t>
  </si>
  <si>
    <t>Enumeration timing</t>
  </si>
  <si>
    <t>Response timing does not reveal account existence</t>
  </si>
  <si>
    <t>Known and unknown emails</t>
  </si>
  <si>
    <t>1. Time 20 login and forgot-password requests for each</t>
  </si>
  <si>
    <t>known vs unknown email</t>
  </si>
  <si>
    <t>Timing distributions overlap - no reliable oracle</t>
  </si>
  <si>
    <t>SEC-023</t>
  </si>
  <si>
    <t>Session fixation</t>
  </si>
  <si>
    <t>A session identifier is rotated at login</t>
  </si>
  <si>
    <t>Pre-login session captured</t>
  </si>
  <si>
    <t>1. Note the pre-login identifier
2. Sign in
3. Compare</t>
  </si>
  <si>
    <t>pre and post login</t>
  </si>
  <si>
    <t>A new identifier is issued at login; the pre-login value grants nothing</t>
  </si>
  <si>
    <t>SEC-024</t>
  </si>
  <si>
    <t>Clickjacking</t>
  </si>
  <si>
    <t>The site cannot be framed by a third party</t>
  </si>
  <si>
    <t>1. Embed the login and checkout pages in an iframe on another origin</t>
  </si>
  <si>
    <t>third-party iframe</t>
  </si>
  <si>
    <t>Framing is blocked by X-Frame-Options or frame-ancestors</t>
  </si>
  <si>
    <t>SEC-025</t>
  </si>
  <si>
    <t>Open redirect</t>
  </si>
  <si>
    <t>Redirect parameters cannot send users off-site</t>
  </si>
  <si>
    <t>Redirect parameters exist on auth and social routes</t>
  </si>
  <si>
    <t>1. Set the redirect target to an external domain</t>
  </si>
  <si>
    <t>?redirect=https://evil.example</t>
  </si>
  <si>
    <t>Only same-origin or allowlisted targets are honoured</t>
  </si>
  <si>
    <t>SEC-026</t>
  </si>
  <si>
    <t>Server-side request forgery</t>
  </si>
  <si>
    <t>URL inputs cannot reach internal hosts</t>
  </si>
  <si>
    <t>Any field accepting a URL</t>
  </si>
  <si>
    <t>1. Submit internal and metadata URLs where a remote URL is accepted</t>
  </si>
  <si>
    <t>http://127.0.0.1 and http://169.254.169.254</t>
  </si>
  <si>
    <t>Internal targets are refused; no internal response content is returned</t>
  </si>
  <si>
    <t>SEC-027</t>
  </si>
  <si>
    <t>Error message leakage</t>
  </si>
  <si>
    <t>Errors do not reveal internals</t>
  </si>
  <si>
    <t>1. Force validation, authorisation, database and gateway errors</t>
  </si>
  <si>
    <t>assorted failures</t>
  </si>
  <si>
    <t>Messages are user-appropriate; SQL, file paths, framework versions and gateway secrets never surface</t>
  </si>
  <si>
    <t>SEC-028</t>
  </si>
  <si>
    <t>Version disclosure</t>
  </si>
  <si>
    <t>Server and framework versions are not advertised</t>
  </si>
  <si>
    <t>1. Inspect response headers and default error pages</t>
  </si>
  <si>
    <t>response headers</t>
  </si>
  <si>
    <t>No Server, X-Powered-By or framework version banner is disclosed</t>
  </si>
  <si>
    <t>SEC-029</t>
  </si>
  <si>
    <t>Dependency vulnerabilities</t>
  </si>
  <si>
    <t>Known vulnerable packages are identified</t>
  </si>
  <si>
    <t>Repository access</t>
  </si>
  <si>
    <t>1. Run composer audit
2. Run npm audit on both panels</t>
  </si>
  <si>
    <t>dependency manifests</t>
  </si>
  <si>
    <t>No unpatched high or critical advisory remains unaddressed, or each is explicitly risk-accepted</t>
  </si>
  <si>
    <t>SEC-030</t>
  </si>
  <si>
    <t>Audit trail</t>
  </si>
  <si>
    <t>Privileged actions are attributable</t>
  </si>
  <si>
    <t>Admin actions performed</t>
  </si>
  <si>
    <t>1. Change a price, refund an order, change a role and clear the cache
2. Review the audit log</t>
  </si>
  <si>
    <t>4 privileged actions</t>
  </si>
  <si>
    <t>Each records the actor, action, target and timestamp</t>
  </si>
  <si>
    <t>Security / Audit</t>
  </si>
  <si>
    <t>SEC-031</t>
  </si>
  <si>
    <t>Personal data exposure in API</t>
  </si>
  <si>
    <t>API payloads carry only what the client needs</t>
  </si>
  <si>
    <t>Customer and admin tokens</t>
  </si>
  <si>
    <t>1. Inspect product, order, review and user API responses for surplus fields</t>
  </si>
  <si>
    <t>API responses</t>
  </si>
  <si>
    <t>No password hash, remember token, internal note or unrelated customer data is present</t>
  </si>
  <si>
    <t>SEC-032</t>
  </si>
  <si>
    <t>Brute force on the admin login</t>
  </si>
  <si>
    <t>Repeated admin login failures</t>
  </si>
  <si>
    <t>1. Send 30 wrong passwords in a minute</t>
  </si>
  <si>
    <t>30 attempts</t>
  </si>
  <si>
    <t>Lockout or throttling engages and the attempts are logged and alertable</t>
  </si>
  <si>
    <t>API-001</t>
  </si>
  <si>
    <t>API</t>
  </si>
  <si>
    <t>Response envelope consistency</t>
  </si>
  <si>
    <t>All endpoints share a predictable response shape</t>
  </si>
  <si>
    <t>1. Call a representative success and failure on 20 endpoints
2. Compare the payload shape</t>
  </si>
  <si>
    <t>20 endpoints</t>
  </si>
  <si>
    <t>Success and error responses follow one documented envelope; clients can parse them uniformly</t>
  </si>
  <si>
    <t>API-002</t>
  </si>
  <si>
    <t>HTTP status correctness</t>
  </si>
  <si>
    <t>Status codes match the outcome</t>
  </si>
  <si>
    <t>1. Trigger success, validation failure, unauthenticated, forbidden, not found and server error</t>
  </si>
  <si>
    <t>6 outcomes</t>
  </si>
  <si>
    <t>200/201, 422, 401, 403, 404 and 500 respectively - not 200 for every case</t>
  </si>
  <si>
    <t>API-003</t>
  </si>
  <si>
    <t>Malformed JSON</t>
  </si>
  <si>
    <t>Send a syntactically invalid body</t>
  </si>
  <si>
    <t>1. POST a body with broken JSON</t>
  </si>
  <si>
    <t>{"a":</t>
  </si>
  <si>
    <t>A clean 400 with a parse error message - not a stack trace and not a 500</t>
  </si>
  <si>
    <t>API-004</t>
  </si>
  <si>
    <t>Missing content type</t>
  </si>
  <si>
    <t>Post without a Content-Type header</t>
  </si>
  <si>
    <t>1. POST a JSON body with no Content-Type</t>
  </si>
  <si>
    <t>no header</t>
  </si>
  <si>
    <t>Handled with a clear error rather than an unhandled exception</t>
  </si>
  <si>
    <t>API-005</t>
  </si>
  <si>
    <t>Unsupported HTTP method</t>
  </si>
  <si>
    <t>Use a method a route does not define</t>
  </si>
  <si>
    <t>1. Send DELETE to a GET-only route</t>
  </si>
  <si>
    <t>wrong method</t>
  </si>
  <si>
    <t>405 Method Not Allowed with an Allow header</t>
  </si>
  <si>
    <t>API-006</t>
  </si>
  <si>
    <t>Oversized payload</t>
  </si>
  <si>
    <t>Post a body far larger than expected</t>
  </si>
  <si>
    <t>1. POST a 50MB JSON body</t>
  </si>
  <si>
    <t>50MB payload</t>
  </si>
  <si>
    <t>Rejected with 413 or a clear limit error; the server does not exhaust memory</t>
  </si>
  <si>
    <t>Boundary / Performance</t>
  </si>
  <si>
    <t>API-007</t>
  </si>
  <si>
    <t>Unicode and emoji handling</t>
  </si>
  <si>
    <t>Multi-byte content round-trips correctly</t>
  </si>
  <si>
    <t>1. Store names, addresses and reviews containing accents, CJK characters and emoji
2. Read them back through API, admin and storefront</t>
  </si>
  <si>
    <t>Zoe, 東京, family emoji</t>
  </si>
  <si>
    <t>Values round-trip byte-for-byte with no mojibake and no truncation mid-character</t>
  </si>
  <si>
    <t>API-008</t>
  </si>
  <si>
    <t>Null and empty handling</t>
  </si>
  <si>
    <t>Optional fields sent as null or empty</t>
  </si>
  <si>
    <t>1. Post null, empty string and omitted values for optional fields</t>
  </si>
  <si>
    <t>null | "" | omitted</t>
  </si>
  <si>
    <t>Each is handled consistently per the documented contract with no 500</t>
  </si>
  <si>
    <t>API-009</t>
  </si>
  <si>
    <t>Type coercion</t>
  </si>
  <si>
    <t>Wrong types in request fields</t>
  </si>
  <si>
    <t>1. Send a string where an integer is expected and an array where a scalar is expected</t>
  </si>
  <si>
    <t>quantity="abc"; id=[1,2]</t>
  </si>
  <si>
    <t>Rejected by validation with a field-level message, never a type error</t>
  </si>
  <si>
    <t>API-010</t>
  </si>
  <si>
    <t>Pagination contract</t>
  </si>
  <si>
    <t>Paged endpoints report totals consistently</t>
  </si>
  <si>
    <t>Dataset larger than one page</t>
  </si>
  <si>
    <t>1. Request pages 1 and 2 and inspect the metadata</t>
  </si>
  <si>
    <t>paged endpoint</t>
  </si>
  <si>
    <t>Total, per-page, current-page and last-page are present and arithmetically consistent</t>
  </si>
  <si>
    <t>API-011</t>
  </si>
  <si>
    <t>Localisation parameter</t>
  </si>
  <si>
    <t>Endpoints honour the requested language</t>
  </si>
  <si>
    <t>Multiple languages active</t>
  </si>
  <si>
    <t>1. Call product, category and page endpoints with each language parameter</t>
  </si>
  <si>
    <t>en | fr | ar</t>
  </si>
  <si>
    <t>Translated content and localised validation messages are returned per language</t>
  </si>
  <si>
    <t>Functional / i18n</t>
  </si>
  <si>
    <t>API-012</t>
  </si>
  <si>
    <t>Optional authentication routes</t>
  </si>
  <si>
    <t>Routes behind optionalAuth work for both guests and customers</t>
  </si>
  <si>
    <t>Guest token and customer token</t>
  </si>
  <si>
    <t>1. Call the same endpoint anonymously, with a guest token and with a customer token</t>
  </si>
  <si>
    <t>3 caller types</t>
  </si>
  <si>
    <t>Each returns the appropriate scope of data with no error, and the customer sees their own personalised data only</t>
  </si>
  <si>
    <t>API-013</t>
  </si>
  <si>
    <t>Session activity middleware</t>
  </si>
  <si>
    <t>Activity is recorded without breaking requests</t>
  </si>
  <si>
    <t>1. Make 10 authenticated calls
2. Review the session record</t>
  </si>
  <si>
    <t>10 calls</t>
  </si>
  <si>
    <t>Last-active updates and no request fails or slows materially because of the middleware</t>
  </si>
  <si>
    <t>Functional / Performance</t>
  </si>
  <si>
    <t>API-014</t>
  </si>
  <si>
    <t>Concurrent identical writes</t>
  </si>
  <si>
    <t>The same write submitted twice in parallel</t>
  </si>
  <si>
    <t>1. Fire two identical order, cart and review creations simultaneously</t>
  </si>
  <si>
    <t>duplicate parallel writes</t>
  </si>
  <si>
    <t>Exactly one record results, or duplicates are explicitly permitted per the contract - the outcome is deterministic</t>
  </si>
  <si>
    <t>Concurrency</t>
  </si>
  <si>
    <t>PERF-001</t>
  </si>
  <si>
    <t>Homepage load time</t>
  </si>
  <si>
    <t>Measure homepage performance</t>
  </si>
  <si>
    <t>Production-like data volume</t>
  </si>
  <si>
    <t>1. Load the homepage cold and warm
2. Record LCP and total load time</t>
  </si>
  <si>
    <t>production-like catalogue</t>
  </si>
  <si>
    <t>LCP under 2.5 seconds and full load under 4 seconds on a broadband profile</t>
  </si>
  <si>
    <t>PERF-002</t>
  </si>
  <si>
    <t>Product listing at scale</t>
  </si>
  <si>
    <t>Listing performance with a large catalogue</t>
  </si>
  <si>
    <t>10,000+ products</t>
  </si>
  <si>
    <t>1. Load a category with thousands of matches
2. Page deep into the results</t>
  </si>
  <si>
    <t>deep pagination</t>
  </si>
  <si>
    <t>Response stays within the agreed threshold and does not degrade sharply on later pages</t>
  </si>
  <si>
    <t>PERF-003</t>
  </si>
  <si>
    <t>Search response time</t>
  </si>
  <si>
    <t>Search under load</t>
  </si>
  <si>
    <t>Large catalogue</t>
  </si>
  <si>
    <t>1. Run 50 concurrent searches</t>
  </si>
  <si>
    <t>50 concurrent users</t>
  </si>
  <si>
    <t>95th percentile under 3 seconds with no timeouts or errors</t>
  </si>
  <si>
    <t>Performance / Load</t>
  </si>
  <si>
    <t>PERF-004</t>
  </si>
  <si>
    <t>Concurrent checkout load</t>
  </si>
  <si>
    <t>Many shoppers checking out at once</t>
  </si>
  <si>
    <t>Load tool configured</t>
  </si>
  <si>
    <t>1. Drive 100 concurrent checkouts against seeded stock</t>
  </si>
  <si>
    <t>100 concurrent checkouts</t>
  </si>
  <si>
    <t>No deadlocks, no oversold stock, no duplicate orders, and error rate under 1%</t>
  </si>
  <si>
    <t>PERF-005</t>
  </si>
  <si>
    <t>Admin list performance</t>
  </si>
  <si>
    <t>Large admin grids stay responsive</t>
  </si>
  <si>
    <t>100,000 orders seeded</t>
  </si>
  <si>
    <t>1. Open the order list and apply filters</t>
  </si>
  <si>
    <t>100k orders</t>
  </si>
  <si>
    <t>The grid loads within 5 seconds and filtering does not time out</t>
  </si>
  <si>
    <t>PERF-006</t>
  </si>
  <si>
    <t>N+1 query detection</t>
  </si>
  <si>
    <t>Listing pages do not issue per-row queries</t>
  </si>
  <si>
    <t>Query logging enabled</t>
  </si>
  <si>
    <t>1. Load product listing, order list and cart with the query log on
2. Count the queries</t>
  </si>
  <si>
    <t>query log</t>
  </si>
  <si>
    <t>Query counts stay flat as row counts grow - relations are eager-loaded</t>
  </si>
  <si>
    <t>PERF-007</t>
  </si>
  <si>
    <t>Image delivery</t>
  </si>
  <si>
    <t>Images are optimised and cached</t>
  </si>
  <si>
    <t>Storefront reachable</t>
  </si>
  <si>
    <t>1. Inspect image sizes, formats and cache headers on the homepage and a product page</t>
  </si>
  <si>
    <t>homepage images</t>
  </si>
  <si>
    <t>Images are appropriately sized and compressed with long-lived cache headers; no multi-megabyte originals are served to a phone</t>
  </si>
  <si>
    <t>PERF-008</t>
  </si>
  <si>
    <t>Bundle size</t>
  </si>
  <si>
    <t>Front-end payload is reasonable</t>
  </si>
  <si>
    <t>1. Measure the transferred JS and CSS on first load</t>
  </si>
  <si>
    <t>cold cache</t>
  </si>
  <si>
    <t>The initial bundle is within the agreed budget and code-splitting is in effect</t>
  </si>
  <si>
    <t>PERF-009</t>
  </si>
  <si>
    <t>Bulk import performance</t>
  </si>
  <si>
    <t>Import a large product file</t>
  </si>
  <si>
    <t>Import ready</t>
  </si>
  <si>
    <t>1. Import 5,000 rows</t>
  </si>
  <si>
    <t>5,000 rows</t>
  </si>
  <si>
    <t>The import completes without a timeout, reports progress and does not exhaust memory</t>
  </si>
  <si>
    <t>PERF-010</t>
  </si>
  <si>
    <t>Bulk email send</t>
  </si>
  <si>
    <t>Send to a large subscriber list</t>
  </si>
  <si>
    <t>10,000 subscribers</t>
  </si>
  <si>
    <t>1. Send a campaign</t>
  </si>
  <si>
    <t>10,000 recipients</t>
  </si>
  <si>
    <t>Sending is queued in the background; the admin UI stays responsive and no request times out</t>
  </si>
  <si>
    <t>Performance / Integration</t>
  </si>
  <si>
    <t>PERF-011</t>
  </si>
  <si>
    <t>Cache effectiveness</t>
  </si>
  <si>
    <t>Caching reduces repeat load</t>
  </si>
  <si>
    <t>Cache warm</t>
  </si>
  <si>
    <t>1. Load a heavy page cold, then warm
2. Compare the timings</t>
  </si>
  <si>
    <t>cold vs warm</t>
  </si>
  <si>
    <t>Warm loads are materially faster and content is still correct after an admin change plus a cache clear</t>
  </si>
  <si>
    <t>PERF-012</t>
  </si>
  <si>
    <t>Sustained soak</t>
  </si>
  <si>
    <t>Behaviour over a prolonged run</t>
  </si>
  <si>
    <t>1. Run a mixed workload for 2 hours</t>
  </si>
  <si>
    <t>2-hour soak</t>
  </si>
  <si>
    <t>No memory growth, no connection-pool exhaustion and no degradation in response times</t>
  </si>
  <si>
    <t>RESP-001</t>
  </si>
  <si>
    <t>Responsive &amp; UI</t>
  </si>
  <si>
    <t>Mobile portrait storefront</t>
  </si>
  <si>
    <t>Browse the storefront on a small phone</t>
  </si>
  <si>
    <t>375x667 viewport</t>
  </si>
  <si>
    <t>1. Visit homepage, listing, product, cart and checkout</t>
  </si>
  <si>
    <t>No horizontal scrolling, no clipped text, tap targets at least 44px and images scaled correctly</t>
  </si>
  <si>
    <t>Responsive / UI</t>
  </si>
  <si>
    <t>RESP-002</t>
  </si>
  <si>
    <t>Mobile landscape</t>
  </si>
  <si>
    <t>Rotate to landscape mid-journey</t>
  </si>
  <si>
    <t>Phone viewport</t>
  </si>
  <si>
    <t>1. Rotate on the product and checkout pages</t>
  </si>
  <si>
    <t>landscape orientation</t>
  </si>
  <si>
    <t>The layout reflows without loss of content or entered form data</t>
  </si>
  <si>
    <t>Responsive</t>
  </si>
  <si>
    <t>RESP-003</t>
  </si>
  <si>
    <t>Tablet layout</t>
  </si>
  <si>
    <t>Browse on a tablet viewport</t>
  </si>
  <si>
    <t>768x1024 viewport</t>
  </si>
  <si>
    <t>1. Visit the main storefront pages</t>
  </si>
  <si>
    <t>iPad viewport</t>
  </si>
  <si>
    <t>Grids reflow to the tablet breakpoint with no overlap and no wasted whitespace</t>
  </si>
  <si>
    <t>RESP-004</t>
  </si>
  <si>
    <t>Large desktop</t>
  </si>
  <si>
    <t>Browse on a wide monitor</t>
  </si>
  <si>
    <t>2560px viewport</t>
  </si>
  <si>
    <t>1. Visit the main pages</t>
  </si>
  <si>
    <t>2560px wide</t>
  </si>
  <si>
    <t>Content is constrained to a sensible maximum width and does not stretch illegibly</t>
  </si>
  <si>
    <t>RESP-005</t>
  </si>
  <si>
    <t>Mobile navigation</t>
  </si>
  <si>
    <t>Use the mobile menu</t>
  </si>
  <si>
    <t>1. Open the burger menu
2. Drill into a category
3. Close it</t>
  </si>
  <si>
    <t>The menu opens, scrolls, drills down and closes; background scrolling is locked while it is open</t>
  </si>
  <si>
    <t>RESP-006</t>
  </si>
  <si>
    <t>Admin panel on tablet</t>
  </si>
  <si>
    <t>Operate the admin panel on a tablet</t>
  </si>
  <si>
    <t>768px viewport</t>
  </si>
  <si>
    <t>1. Open the product list, a form and the sidebar</t>
  </si>
  <si>
    <t>admin on tablet</t>
  </si>
  <si>
    <t>Tables scroll horizontally within their container, forms are usable and the sidebar collapses correctly</t>
  </si>
  <si>
    <t>RESP-007</t>
  </si>
  <si>
    <t>Wide table overflow</t>
  </si>
  <si>
    <t>Data tables on narrow screens</t>
  </si>
  <si>
    <t>1. Open the admin order list and the customer order history</t>
  </si>
  <si>
    <t>wide tables</t>
  </si>
  <si>
    <t>Tables scroll inside their own container - the page body never scrolls horizontally</t>
  </si>
  <si>
    <t>RESP-008</t>
  </si>
  <si>
    <t>Form field behaviour on mobile</t>
  </si>
  <si>
    <t>Mobile keyboards and inputs</t>
  </si>
  <si>
    <t>1. Focus email, phone, number and card fields</t>
  </si>
  <si>
    <t>assorted input types</t>
  </si>
  <si>
    <t>The correct keyboard type appears per field, and the focused field is not hidden behind the keyboard</t>
  </si>
  <si>
    <t>Responsive / UX</t>
  </si>
  <si>
    <t>RESP-009</t>
  </si>
  <si>
    <t>Loading states</t>
  </si>
  <si>
    <t>Feedback during slow operations</t>
  </si>
  <si>
    <t>Throttled network</t>
  </si>
  <si>
    <t>1. Load listings and submit checkout on a slow connection</t>
  </si>
  <si>
    <t>Slow 3G profile</t>
  </si>
  <si>
    <t>Skeletons or spinners appear, buttons disable while in flight and no double submission is possible</t>
  </si>
  <si>
    <t>UI / UX</t>
  </si>
  <si>
    <t>RESP-010</t>
  </si>
  <si>
    <t>Empty states</t>
  </si>
  <si>
    <t>Every list has a designed empty state</t>
  </si>
  <si>
    <t>Empty data sets</t>
  </si>
  <si>
    <t>1. View empty cart, wishlist, orders, search results, reviews and admin grids</t>
  </si>
  <si>
    <t>no records</t>
  </si>
  <si>
    <t>Each shows a designed empty state with a clear next action - never a blank panel</t>
  </si>
  <si>
    <t>RESP-011</t>
  </si>
  <si>
    <t>Long content handling</t>
  </si>
  <si>
    <t>Very long titles and names in the layout</t>
  </si>
  <si>
    <t>Product with a 200-character title</t>
  </si>
  <si>
    <t>1. View it in listing, cart, order and admin grid</t>
  </si>
  <si>
    <t>200-character title</t>
  </si>
  <si>
    <t>Text truncates or wraps cleanly without breaking the layout</t>
  </si>
  <si>
    <t>UI / Boundary</t>
  </si>
  <si>
    <t>RESP-012</t>
  </si>
  <si>
    <t>Form validation presentation</t>
  </si>
  <si>
    <t>Errors are visible and associated</t>
  </si>
  <si>
    <t>Any form</t>
  </si>
  <si>
    <t>1. Submit an invalid form
2. Observe the error presentation</t>
  </si>
  <si>
    <t>invalid form</t>
  </si>
  <si>
    <t>Errors are adjacent to their fields, the first invalid field receives focus and the message is legible against the background</t>
  </si>
  <si>
    <t>RESP-013</t>
  </si>
  <si>
    <t>Cross-panel visual consistency</t>
  </si>
  <si>
    <t>Shared elements look consistent</t>
  </si>
  <si>
    <t>Storefront and admin reachable</t>
  </si>
  <si>
    <t>1. Compare buttons, form controls, spacing and typography across pages</t>
  </si>
  <si>
    <t>visual review</t>
  </si>
  <si>
    <t>Components follow one design system with no ad-hoc variants or inconsistent spacing</t>
  </si>
  <si>
    <t>UI</t>
  </si>
  <si>
    <t>RESP-014</t>
  </si>
  <si>
    <t>Print styles</t>
  </si>
  <si>
    <t>Print an invoice and an order</t>
  </si>
  <si>
    <t>1. Print-preview the invoice and the order confirmation</t>
  </si>
  <si>
    <t>print preview</t>
  </si>
  <si>
    <t>Content fits the page, navigation is suppressed and text is legible in black and white</t>
  </si>
  <si>
    <t>RESP-015</t>
  </si>
  <si>
    <t>PWA behaviour</t>
  </si>
  <si>
    <t>Install and use the progressive web app</t>
  </si>
  <si>
    <t>PWA manifest and service worker present</t>
  </si>
  <si>
    <t>1. Install to the home screen
2. Open it
3. Go offline and reopen</t>
  </si>
  <si>
    <t>PWA install</t>
  </si>
  <si>
    <t>The app installs with the correct icon and name, launches standalone, and shows a designed offline page rather than a browser error</t>
  </si>
  <si>
    <t>Functional / Compatibility</t>
  </si>
  <si>
    <t>A11Y-001</t>
  </si>
  <si>
    <t>Accessibility</t>
  </si>
  <si>
    <t>Keyboard navigation</t>
  </si>
  <si>
    <t>Complete a purchase using only the keyboard</t>
  </si>
  <si>
    <t>Keyboard only</t>
  </si>
  <si>
    <t>1. Tab through homepage, product, cart and checkout
2. Place an order without a mouse</t>
  </si>
  <si>
    <t>keyboard only</t>
  </si>
  <si>
    <t>Every interactive element is reachable and operable in a logical order, with no keyboard trap</t>
  </si>
  <si>
    <t>A11Y-002</t>
  </si>
  <si>
    <t>Visible focus indicator</t>
  </si>
  <si>
    <t>Focus is always visible</t>
  </si>
  <si>
    <t>1. Tab through every page</t>
  </si>
  <si>
    <t>keyboard focus</t>
  </si>
  <si>
    <t>A clear focus indicator is visible on every focusable element against its background</t>
  </si>
  <si>
    <t>A11Y-003</t>
  </si>
  <si>
    <t>Form labels</t>
  </si>
  <si>
    <t>Every input has a programmatic label</t>
  </si>
  <si>
    <t>Forms reachable</t>
  </si>
  <si>
    <t>1. Inspect registration, checkout, contact and admin forms with an accessibility tool</t>
  </si>
  <si>
    <t>all forms</t>
  </si>
  <si>
    <t>Every control has an associated label or accessible name; placeholders are not used as the only label</t>
  </si>
  <si>
    <t>A11Y-004</t>
  </si>
  <si>
    <t>Error announcement</t>
  </si>
  <si>
    <t>Validation errors reach assistive technology</t>
  </si>
  <si>
    <t>Screen reader active</t>
  </si>
  <si>
    <t>1. Submit an invalid form with a screen reader running</t>
  </si>
  <si>
    <t>invalid submission</t>
  </si>
  <si>
    <t>Errors are announced and programmatically associated with their fields via aria-describedby or a live region</t>
  </si>
  <si>
    <t>A11Y-005</t>
  </si>
  <si>
    <t>Image alternative text</t>
  </si>
  <si>
    <t>Images carry meaningful alt text</t>
  </si>
  <si>
    <t>1. Inspect product, banner, logo and decorative images</t>
  </si>
  <si>
    <t>page images</t>
  </si>
  <si>
    <t>Informative images have descriptive alt text; decorative images have empty alt</t>
  </si>
  <si>
    <t>A11Y-006</t>
  </si>
  <si>
    <t>Colour contrast</t>
  </si>
  <si>
    <t>Text meets the contrast minimum</t>
  </si>
  <si>
    <t>1. Measure contrast on body text, buttons, links, badges and error text</t>
  </si>
  <si>
    <t>contrast checker</t>
  </si>
  <si>
    <t>All text meets at least 4.5:1, and large text 3:1</t>
  </si>
  <si>
    <t>A11Y-007</t>
  </si>
  <si>
    <t>Colour is not the only cue</t>
  </si>
  <si>
    <t>Meaning is conveyed beyond colour</t>
  </si>
  <si>
    <t>1. Review order status badges, stock indicators and form errors in greyscale</t>
  </si>
  <si>
    <t>greyscale rendering</t>
  </si>
  <si>
    <t>Each state remains distinguishable through text or iconography</t>
  </si>
  <si>
    <t>A11Y-008</t>
  </si>
  <si>
    <t>Heading structure</t>
  </si>
  <si>
    <t>Headings form a logical outline</t>
  </si>
  <si>
    <t>1. Inspect the heading levels on the main pages</t>
  </si>
  <si>
    <t>heading outline</t>
  </si>
  <si>
    <t>Exactly one h1 per page and no skipped levels</t>
  </si>
  <si>
    <t>A11Y-009</t>
  </si>
  <si>
    <t>Screen reader journey</t>
  </si>
  <si>
    <t>Complete a purchase with a screen reader</t>
  </si>
  <si>
    <t>NVDA or VoiceOver active</t>
  </si>
  <si>
    <t>1. Browse, add to cart and check out entirely by screen reader</t>
  </si>
  <si>
    <t>screen reader</t>
  </si>
  <si>
    <t>Every step is understandable and completable; prices, stock states and totals are announced</t>
  </si>
  <si>
    <t>A11Y-010</t>
  </si>
  <si>
    <t>Modal accessibility</t>
  </si>
  <si>
    <t>Dialogs manage focus correctly</t>
  </si>
  <si>
    <t>Modals present</t>
  </si>
  <si>
    <t>1. Open the cart drawer, a confirmation dialog and the quick view</t>
  </si>
  <si>
    <t>modal dialogs</t>
  </si>
  <si>
    <t>Focus moves into the dialog and is trapped there, Escape closes it and focus returns to the trigger</t>
  </si>
  <si>
    <t>A11Y-011</t>
  </si>
  <si>
    <t>Text resizing</t>
  </si>
  <si>
    <t>Content survives 200% zoom</t>
  </si>
  <si>
    <t>Browser zoom</t>
  </si>
  <si>
    <t>1. Zoom to 200% and browse the main pages</t>
  </si>
  <si>
    <t>200% zoom</t>
  </si>
  <si>
    <t>No content is lost or overlapped and no horizontal scrolling is required</t>
  </si>
  <si>
    <t>A11Y-012</t>
  </si>
  <si>
    <t>Reduced motion</t>
  </si>
  <si>
    <t>Animations respect the user preference</t>
  </si>
  <si>
    <t>OS reduced-motion enabled</t>
  </si>
  <si>
    <t>1. Browse with prefers-reduced-motion set</t>
  </si>
  <si>
    <t>reduced motion</t>
  </si>
  <si>
    <t>Auto-rotating carousels and non-essential animation are suppressed</t>
  </si>
  <si>
    <t>COMP-001</t>
  </si>
  <si>
    <t>Compatibility</t>
  </si>
  <si>
    <t>Chrome</t>
  </si>
  <si>
    <t>Full regression pass on Chrome</t>
  </si>
  <si>
    <t>Latest Chrome</t>
  </si>
  <si>
    <t>1. Run the critical-path suite</t>
  </si>
  <si>
    <t>Chrome 126 on Windows 11</t>
  </si>
  <si>
    <t>All critical paths pass with no console errors</t>
  </si>
  <si>
    <t>COMP-002</t>
  </si>
  <si>
    <t>Firefox</t>
  </si>
  <si>
    <t>Full regression pass on Firefox</t>
  </si>
  <si>
    <t>Latest Firefox</t>
  </si>
  <si>
    <t>Firefox 127</t>
  </si>
  <si>
    <t>All critical paths pass with consistent rendering</t>
  </si>
  <si>
    <t>COMP-003</t>
  </si>
  <si>
    <t>Safari desktop</t>
  </si>
  <si>
    <t>Full regression pass on Safari</t>
  </si>
  <si>
    <t>macOS Safari 17</t>
  </si>
  <si>
    <t>1. Run the critical-path suite, with attention to date inputs and payment sheets</t>
  </si>
  <si>
    <t>Safari 17 on macOS</t>
  </si>
  <si>
    <t>All critical paths pass; date and payment controls behave correctly</t>
  </si>
  <si>
    <t>COMP-004</t>
  </si>
  <si>
    <t>Full regression pass on Edge</t>
  </si>
  <si>
    <t>Latest Edge</t>
  </si>
  <si>
    <t>Edge 126</t>
  </si>
  <si>
    <t>All critical paths pass</t>
  </si>
  <si>
    <t>COMP-005</t>
  </si>
  <si>
    <t>iOS Safari</t>
  </si>
  <si>
    <t>Mobile pass on iOS</t>
  </si>
  <si>
    <t>iPhone with iOS 17</t>
  </si>
  <si>
    <t>1. Run the mobile critical-path suite</t>
  </si>
  <si>
    <t>iPhone 13, iOS 17</t>
  </si>
  <si>
    <t>All paths pass; sticky elements, viewport height and the payment sheet all behave</t>
  </si>
  <si>
    <t>COMP-006</t>
  </si>
  <si>
    <t>Android Chrome</t>
  </si>
  <si>
    <t>Mobile pass on Android</t>
  </si>
  <si>
    <t>Android 13 device</t>
  </si>
  <si>
    <t>Pixel, Android 13</t>
  </si>
  <si>
    <t>All paths pass</t>
  </si>
  <si>
    <t>COMP-007</t>
  </si>
  <si>
    <t>Older browser fallback</t>
  </si>
  <si>
    <t>Behaviour on an unsupported browser</t>
  </si>
  <si>
    <t>Legacy browser</t>
  </si>
  <si>
    <t>1. Open the site on a browser below the support baseline</t>
  </si>
  <si>
    <t>legacy browser</t>
  </si>
  <si>
    <t>The site degrades gracefully or shows a clear upgrade notice - it does not render a broken page silently</t>
  </si>
  <si>
    <t>COMP-008</t>
  </si>
  <si>
    <t>Cookies disabled</t>
  </si>
  <si>
    <t>Browse with cookies blocked</t>
  </si>
  <si>
    <t>1. Browse, add to cart and attempt to sign in</t>
  </si>
  <si>
    <t>no cookies</t>
  </si>
  <si>
    <t>A clear explanation is given where functionality requires cookies; no infinite redirect loop occurs</t>
  </si>
  <si>
    <t>Compatibility / Negative</t>
  </si>
  <si>
    <t>COMP-009</t>
  </si>
  <si>
    <t>JavaScript disabled</t>
  </si>
  <si>
    <t>Browse with JavaScript off</t>
  </si>
  <si>
    <t>JS disabled</t>
  </si>
  <si>
    <t>1. Open the homepage and a product page</t>
  </si>
  <si>
    <t>no JavaScript</t>
  </si>
  <si>
    <t>Either server-rendered content is shown or a clear message explains the requirement - never a blank white page</t>
  </si>
  <si>
    <t>COMP-010</t>
  </si>
  <si>
    <t>Ad blocker and privacy extensions</t>
  </si>
  <si>
    <t>Browse with common blockers active</t>
  </si>
  <si>
    <t>uBlock Origin installed</t>
  </si>
  <si>
    <t>1. Complete a purchase with the blocker on</t>
  </si>
  <si>
    <t>ad blocker</t>
  </si>
  <si>
    <t>Core commerce functionality is unaffected; only analytics is blocked</t>
  </si>
  <si>
    <t>COMP-011</t>
  </si>
  <si>
    <t>Slow network</t>
  </si>
  <si>
    <t>Use the site on a poor connection</t>
  </si>
  <si>
    <t>Slow 3G throttle</t>
  </si>
  <si>
    <t>1. Complete a purchase under throttling</t>
  </si>
  <si>
    <t>Slow 3G</t>
  </si>
  <si>
    <t>The journey completes with clear loading feedback and no premature timeout or duplicate submission</t>
  </si>
  <si>
    <t>Compatibility / Performance</t>
  </si>
  <si>
    <t>COMP-012</t>
  </si>
  <si>
    <t>Email client rendering</t>
  </si>
  <si>
    <t>Transactional emails render correctly</t>
  </si>
  <si>
    <t>Test inboxes available</t>
  </si>
  <si>
    <t>1. Open the confirmation, status and reset emails in Gmail, Outlook and Apple Mail, on desktop and mobile</t>
  </si>
  <si>
    <t>3 clients, 2 form factors</t>
  </si>
  <si>
    <t>Layout, images, links and totals render correctly in every client, and a plain-text alternative exists</t>
  </si>
  <si>
    <t>Compatibility / Integration</t>
  </si>
  <si>
    <t>I18N-001</t>
  </si>
  <si>
    <t>Localisation</t>
  </si>
  <si>
    <t>Language switching</t>
  </si>
  <si>
    <t>Switch the storefront language</t>
  </si>
  <si>
    <t>1. Switch from English to French
2. Browse the main pages</t>
  </si>
  <si>
    <t>en to fr</t>
  </si>
  <si>
    <t>All translated strings change, the selection persists across pages and untranslated strings fall back rather than showing a key</t>
  </si>
  <si>
    <t>I18N-002</t>
  </si>
  <si>
    <t>Translated catalogue content</t>
  </si>
  <si>
    <t>Product and category translations are served</t>
  </si>
  <si>
    <t>Translations entered for French</t>
  </si>
  <si>
    <t>1. Switch to French
2. Open a translated product and category</t>
  </si>
  <si>
    <t>fr translations</t>
  </si>
  <si>
    <t>The translated title, description and meta content are shown, with a clean fallback where a translation is missing</t>
  </si>
  <si>
    <t>I18N-003</t>
  </si>
  <si>
    <t>Right-to-left layout</t>
  </si>
  <si>
    <t>Browse in a right-to-left language</t>
  </si>
  <si>
    <t>Arabic active</t>
  </si>
  <si>
    <t>1. Switch to Arabic
2. Browse homepage, product, cart and checkout</t>
  </si>
  <si>
    <t>ar</t>
  </si>
  <si>
    <t>The layout mirrors correctly, text aligns right, icons and carousels flip, and no element overlaps</t>
  </si>
  <si>
    <t>UI / i18n</t>
  </si>
  <si>
    <t>I18N-004</t>
  </si>
  <si>
    <t>Localised validation messages</t>
  </si>
  <si>
    <t>Errors appear in the selected language</t>
  </si>
  <si>
    <t>Non-English language active</t>
  </si>
  <si>
    <t>1. Submit an invalid form</t>
  </si>
  <si>
    <t>fr locale</t>
  </si>
  <si>
    <t>Validation messages are translated, not English fallbacks</t>
  </si>
  <si>
    <t>i18n / Validation</t>
  </si>
  <si>
    <t>I18N-005</t>
  </si>
  <si>
    <t>Localised emails</t>
  </si>
  <si>
    <t>Transactional emails follow the customer language</t>
  </si>
  <si>
    <t>Customer language set to French</t>
  </si>
  <si>
    <t>1. Place an order and read the confirmation email</t>
  </si>
  <si>
    <t>fr customer</t>
  </si>
  <si>
    <t>The email is sent in French with correctly localised dates and currency</t>
  </si>
  <si>
    <t>i18n / Integration</t>
  </si>
  <si>
    <t>I18N-006</t>
  </si>
  <si>
    <t>Date and number formats</t>
  </si>
  <si>
    <t>Dates and numbers respect the locale</t>
  </si>
  <si>
    <t>Multiple locales active</t>
  </si>
  <si>
    <t>1. Compare order dates and totals across locales</t>
  </si>
  <si>
    <t>en, fr, ar</t>
  </si>
  <si>
    <t>Each locale formats dates, decimal separators and thousands separators correctly and unambiguously</t>
  </si>
  <si>
    <t>i18n / Boundary</t>
  </si>
  <si>
    <t>I18N-007</t>
  </si>
  <si>
    <t>Currency symbol placement</t>
  </si>
  <si>
    <t>Currency renders per the configured position</t>
  </si>
  <si>
    <t>Currency position configured</t>
  </si>
  <si>
    <t>1. Compare price rendering across locales and surfaces</t>
  </si>
  <si>
    <t>PRE and POST positions</t>
  </si>
  <si>
    <t>The symbol sits on the configured side consistently in listing, cart, checkout, invoice and email</t>
  </si>
  <si>
    <t>i18n / UI</t>
  </si>
  <si>
    <t>I18N-008</t>
  </si>
  <si>
    <t>Missing translation key</t>
  </si>
  <si>
    <t>A string with no translation</t>
  </si>
  <si>
    <t>Language missing some keys</t>
  </si>
  <si>
    <t>1. Open a page containing an untranslated string</t>
  </si>
  <si>
    <t>missing key</t>
  </si>
  <si>
    <t>The default-language text is shown - never a raw key such as lang.some_key</t>
  </si>
  <si>
    <t>i18n / Edge</t>
  </si>
  <si>
    <t>I18N-009</t>
  </si>
  <si>
    <t>Language-specific URLs</t>
  </si>
  <si>
    <t>Localised routes resolve</t>
  </si>
  <si>
    <t>Localised route prefixes exist</t>
  </si>
  <si>
    <t>1. Open the /fr, /ar, /hi and /tr prefixed routes</t>
  </si>
  <si>
    <t>4 locale prefixes</t>
  </si>
  <si>
    <t>Each resolves to the correct localised page with the right language active</t>
  </si>
  <si>
    <t>i18n / Functional</t>
  </si>
  <si>
    <t>I18N-010</t>
  </si>
  <si>
    <t>Language switch mid-journey</t>
  </si>
  <si>
    <t>Change language with a full cart</t>
  </si>
  <si>
    <t>Cart has 3 items</t>
  </si>
  <si>
    <t>1. Switch language from the cart
2. Continue to checkout</t>
  </si>
  <si>
    <t>3 items</t>
  </si>
  <si>
    <t>The cart, prices and progress are preserved across the language change</t>
  </si>
  <si>
    <t>I18N-011</t>
  </si>
  <si>
    <t>Admin panel language</t>
  </si>
  <si>
    <t>Switch the admin panel language</t>
  </si>
  <si>
    <t>Admin translations available</t>
  </si>
  <si>
    <t>1. Switch the language in admin
2. Browse the main sections</t>
  </si>
  <si>
    <t>admin locale</t>
  </si>
  <si>
    <t>Labels, table headers and validation messages translate consistently</t>
  </si>
  <si>
    <t>i18n</t>
  </si>
  <si>
    <t>I18N-012</t>
  </si>
  <si>
    <t>Long translated strings</t>
  </si>
  <si>
    <t>Translations longer than the source</t>
  </si>
  <si>
    <t>Verbose locale active</t>
  </si>
  <si>
    <t>1. Review buttons, badges and navigation in the verbose locale</t>
  </si>
  <si>
    <t>long translations</t>
  </si>
  <si>
    <t>No text overflows or is clipped; layouts absorb the extra length</t>
  </si>
  <si>
    <t>DB-001</t>
  </si>
  <si>
    <t>Database</t>
  </si>
  <si>
    <t>Referential integrity on delete</t>
  </si>
  <si>
    <t>Deleting a parent leaves no orphans</t>
  </si>
  <si>
    <t>Test data across products, orders, carts, categories and inventories</t>
  </si>
  <si>
    <t>1. Delete a product, category, brand, user and order in turn
2. Query every child table for orphaned references</t>
  </si>
  <si>
    <t>5 parent deletions</t>
  </si>
  <si>
    <t>No orphaned child rows remain anywhere</t>
  </si>
  <si>
    <t>DB-002</t>
  </si>
  <si>
    <t>Transaction atomicity</t>
  </si>
  <si>
    <t>A failure mid-write rolls everything back</t>
  </si>
  <si>
    <t>Ability to force a mid-transaction failure</t>
  </si>
  <si>
    <t>1. Force a failure part-way through order creation
2. Inspect orders, ordered_products, inventories and payments</t>
  </si>
  <si>
    <t>forced failure</t>
  </si>
  <si>
    <t>No partial order remains - every table is rolled back together</t>
  </si>
  <si>
    <t>DB-003</t>
  </si>
  <si>
    <t>Monetary column precision</t>
  </si>
  <si>
    <t>Money is stored at the right precision</t>
  </si>
  <si>
    <t>Orders with awkward amounts</t>
  </si>
  <si>
    <t>1. Store and read back totals such as 1234.56, 0.01 and 999999.99</t>
  </si>
  <si>
    <t>3 amounts</t>
  </si>
  <si>
    <t>Values round-trip exactly with two-decimal precision and no floating-point drift</t>
  </si>
  <si>
    <t>Data integrity / Boundary</t>
  </si>
  <si>
    <t>DB-004</t>
  </si>
  <si>
    <t>Order total reconciliation</t>
  </si>
  <si>
    <t>Stored totals match their line items</t>
  </si>
  <si>
    <t>Set of live orders</t>
  </si>
  <si>
    <t>1. For each order, sum the line items with discounts, shipping and tax and compare against the stored total</t>
  </si>
  <si>
    <t>Every stored total reconciles exactly with its components</t>
  </si>
  <si>
    <t>DB-005</t>
  </si>
  <si>
    <t>Stock ledger reconciliation</t>
  </si>
  <si>
    <t>Stock levels match the movement history</t>
  </si>
  <si>
    <t>Products with purchase and cancellation history</t>
  </si>
  <si>
    <t>1. Replay stock movements and compare against the current quantity</t>
  </si>
  <si>
    <t>movement history</t>
  </si>
  <si>
    <t>Current stock equals opening stock plus all recorded movements</t>
  </si>
  <si>
    <t>DB-006</t>
  </si>
  <si>
    <t>Wallet ledger reconciliation</t>
  </si>
  <si>
    <t>Balances match the transaction ledger</t>
  </si>
  <si>
    <t>Wallets with movement history</t>
  </si>
  <si>
    <t>1. Sum each wallet ledger and compare against the stored balance</t>
  </si>
  <si>
    <t>Every balance equals the sum of its transactions</t>
  </si>
  <si>
    <t>DB-007</t>
  </si>
  <si>
    <t>Unique constraints</t>
  </si>
  <si>
    <t>Duplicate keys are refused at the database level</t>
  </si>
  <si>
    <t>Direct database access</t>
  </si>
  <si>
    <t>1. Attempt to insert duplicate emails, slugs and SKUs directly</t>
  </si>
  <si>
    <t>duplicate keys</t>
  </si>
  <si>
    <t>The database itself rejects them - uniqueness is not enforced only in application code</t>
  </si>
  <si>
    <t>DB-008</t>
  </si>
  <si>
    <t>Timezone consistency</t>
  </si>
  <si>
    <t>Timestamps are stored and displayed consistently</t>
  </si>
  <si>
    <t>Records created across a day boundary</t>
  </si>
  <si>
    <t>1. Create records at 23:50 and 00:10
2. Compare storage, admin display and customer display</t>
  </si>
  <si>
    <t>boundary timestamps</t>
  </si>
  <si>
    <t>All surfaces agree; sale windows and voucher expiry use the same timezone basis</t>
  </si>
  <si>
    <t>DB-009</t>
  </si>
  <si>
    <t>Character set handling</t>
  </si>
  <si>
    <t>Multi-byte data is stored intact</t>
  </si>
  <si>
    <t>Unicode test data</t>
  </si>
  <si>
    <t>1. Store emoji and CJK text in names, addresses and reviews
2. Read them back</t>
  </si>
  <si>
    <t>utf8mb4 content</t>
  </si>
  <si>
    <t>Values are stored and returned intact with no truncation or replacement characters</t>
  </si>
  <si>
    <t>DB-010</t>
  </si>
  <si>
    <t>Migration safety</t>
  </si>
  <si>
    <t>Pending migrations run cleanly</t>
  </si>
  <si>
    <t>Staging database copy</t>
  </si>
  <si>
    <t>1. Run the pending migrations with --path on a production-like copy
2. Verify data and run a smoke test</t>
  </si>
  <si>
    <t>staging copy</t>
  </si>
  <si>
    <t>Migrations complete without data loss and the application functions afterwards</t>
  </si>
  <si>
    <t>Data integrity / Deployment</t>
  </si>
  <si>
    <t>Run new migrations with --path; a bare migrate fails on unrelated pending migrations</t>
  </si>
  <si>
    <t>DB-011</t>
  </si>
  <si>
    <t>Backup and restore</t>
  </si>
  <si>
    <t>A backup restores to a working system</t>
  </si>
  <si>
    <t>Backup available</t>
  </si>
  <si>
    <t>1. Restore the backup to a clean environment
2. Run a smoke test</t>
  </si>
  <si>
    <t>recent backup</t>
  </si>
  <si>
    <t>The restored system is complete and functional and the data is current to the backup point</t>
  </si>
  <si>
    <t>Recovery</t>
  </si>
  <si>
    <t>DB-012</t>
  </si>
  <si>
    <t>Soft delete behaviour</t>
  </si>
  <si>
    <t>Soft-deleted records stay out of active views</t>
  </si>
  <si>
    <t>Soft-deleted products and orders</t>
  </si>
  <si>
    <t>1. Soft-delete records
2. Browse listings, search and reports</t>
  </si>
  <si>
    <t>soft-deleted rows</t>
  </si>
  <si>
    <t>They disappear from active views but remain available to historical orders and reporting</t>
  </si>
  <si>
    <t>ERR-001</t>
  </si>
  <si>
    <t>Error Handling</t>
  </si>
  <si>
    <t>404 page</t>
  </si>
  <si>
    <t>Request a URL that does not exist</t>
  </si>
  <si>
    <t>1. Open a nonsense storefront URL and a nonsense admin URL</t>
  </si>
  <si>
    <t>unknown routes</t>
  </si>
  <si>
    <t>A styled 404 with navigation back into the site - not a framework error page</t>
  </si>
  <si>
    <t>Error handling</t>
  </si>
  <si>
    <t>ERR-002</t>
  </si>
  <si>
    <t>500 page</t>
  </si>
  <si>
    <t>Force an unhandled server error</t>
  </si>
  <si>
    <t>Ability to force a failure</t>
  </si>
  <si>
    <t>1. Trigger an unhandled exception</t>
  </si>
  <si>
    <t>forced exception</t>
  </si>
  <si>
    <t>A styled generic error page is shown, the detail is logged server-side and nothing internal is disclosed</t>
  </si>
  <si>
    <t>Error handling / Security</t>
  </si>
  <si>
    <t>ERR-003</t>
  </si>
  <si>
    <t>Database unavailable</t>
  </si>
  <si>
    <t>The database goes down mid-session</t>
  </si>
  <si>
    <t>Ability to stop the database</t>
  </si>
  <si>
    <t>1. Stop the database
2. Browse and attempt an order</t>
  </si>
  <si>
    <t>database down</t>
  </si>
  <si>
    <t>A maintenance-style message is shown; no credentials or connection strings appear and the app recovers when the database returns</t>
  </si>
  <si>
    <t>ERR-004</t>
  </si>
  <si>
    <t>Mail server unavailable</t>
  </si>
  <si>
    <t>SMTP is unreachable when an email is due</t>
  </si>
  <si>
    <t>SMTP misconfigured</t>
  </si>
  <si>
    <t>1. Place an order</t>
  </si>
  <si>
    <t>SMTP down</t>
  </si>
  <si>
    <t>The order still completes, the email failure is logged and retried, and the customer is not shown a raw SMTP error</t>
  </si>
  <si>
    <t>Error handling / Integration</t>
  </si>
  <si>
    <t>ERR-005</t>
  </si>
  <si>
    <t>Storage unavailable</t>
  </si>
  <si>
    <t>Cloud storage is unreachable during an upload</t>
  </si>
  <si>
    <t>Cloud storage misconfigured</t>
  </si>
  <si>
    <t>1. Upload a product image</t>
  </si>
  <si>
    <t>storage down</t>
  </si>
  <si>
    <t>A clear error is shown, no half-written record is left and the admin can retry</t>
  </si>
  <si>
    <t>ERR-006</t>
  </si>
  <si>
    <t>Maintenance mode</t>
  </si>
  <si>
    <t>Enable maintenance mode</t>
  </si>
  <si>
    <t>Application reachable</t>
  </si>
  <si>
    <t>1. Enable maintenance mode
2. Browse as a visitor and as an admin</t>
  </si>
  <si>
    <t>maintenance mode</t>
  </si>
  <si>
    <t>Visitors see the maintenance page while permitted admins retain access; disabling it restores service cleanly</t>
  </si>
  <si>
    <t>Functional / Error handling</t>
  </si>
  <si>
    <t>ERR-007</t>
  </si>
  <si>
    <t>Concurrent edit conflict</t>
  </si>
  <si>
    <t>Two admins edit the same record</t>
  </si>
  <si>
    <t>Two admin sessions on one product</t>
  </si>
  <si>
    <t>1. Both open the product
2. Both save different changes</t>
  </si>
  <si>
    <t>two concurrent edits</t>
  </si>
  <si>
    <t>The conflict is detected or the last write wins predictably - no silent data loss and no corrupted record</t>
  </si>
  <si>
    <t>Concurrency / Error handling</t>
  </si>
  <si>
    <t>ERR-008</t>
  </si>
  <si>
    <t>Browser refresh mid-operation</t>
  </si>
  <si>
    <t>Refresh during a long-running action</t>
  </si>
  <si>
    <t>Bulk import in progress</t>
  </si>
  <si>
    <t>1. Refresh the page mid-import</t>
  </si>
  <si>
    <t>refresh during import</t>
  </si>
  <si>
    <t>The operation completes or fails cleanly server-side; the UI reports the true state on return</t>
  </si>
  <si>
    <t>ERR-009</t>
  </si>
  <si>
    <t>Multi-tab consistency</t>
  </si>
  <si>
    <t>The same account open in two tabs</t>
  </si>
  <si>
    <t>Two tabs signed in</t>
  </si>
  <si>
    <t>1. Add to cart in tab A
2. Check out in tab B
3. Return to tab A</t>
  </si>
  <si>
    <t>two tabs</t>
  </si>
  <si>
    <t>Tab A reflects the real state on its next interaction; no phantom cart and no duplicate order</t>
  </si>
  <si>
    <t>ERR-010</t>
  </si>
  <si>
    <t>Back and forward navigation</t>
  </si>
  <si>
    <t>Use browser history across the journey</t>
  </si>
  <si>
    <t>Journey in progress</t>
  </si>
  <si>
    <t>1. Move back and forward across listing, product, cart and checkout</t>
  </si>
  <si>
    <t>history navigation</t>
  </si>
  <si>
    <t>State restores correctly at each step with no stale prices or resubmitted forms</t>
  </si>
  <si>
    <t>Edge / UX</t>
  </si>
  <si>
    <t>ERR-011</t>
  </si>
  <si>
    <t>Deep link into a protected page</t>
  </si>
  <si>
    <t>Open a protected URL while signed out</t>
  </si>
  <si>
    <t>1. Open /user/orders directly
2. Sign in when prompted</t>
  </si>
  <si>
    <t>protected URL</t>
  </si>
  <si>
    <t>Redirected to login and then returned to the originally requested page</t>
  </si>
  <si>
    <t>Functional / UX</t>
  </si>
  <si>
    <t>ERR-012</t>
  </si>
  <si>
    <t>Client-side error logging</t>
  </si>
  <si>
    <t>Front-end errors are captured</t>
  </si>
  <si>
    <t>Error monitoring in place</t>
  </si>
  <si>
    <t>1. Force a front-end exception</t>
  </si>
  <si>
    <t>forced JS error</t>
  </si>
  <si>
    <t>The error is captured with enough context to diagnose it and the user sees a graceful fallback</t>
  </si>
  <si>
    <t>INST-001</t>
  </si>
  <si>
    <t>Installation</t>
  </si>
  <si>
    <t>Fresh installation</t>
  </si>
  <si>
    <t>Install the application from scratch</t>
  </si>
  <si>
    <t>Clean environment with a blank database</t>
  </si>
  <si>
    <t>1. Run the installer
2. Supply database and site details
3. Complete</t>
  </si>
  <si>
    <t>clean environment</t>
  </si>
  <si>
    <t>Installation completes, the schema is created, an admin account is set up and the storefront loads</t>
  </si>
  <si>
    <t>Functional / Deployment</t>
  </si>
  <si>
    <t>INST-002</t>
  </si>
  <si>
    <t>Installer environment checks</t>
  </si>
  <si>
    <t>The installer verifies prerequisites</t>
  </si>
  <si>
    <t>Environment missing an extension</t>
  </si>
  <si>
    <t>1. Start the installer with a required PHP extension disabled</t>
  </si>
  <si>
    <t>missing extension</t>
  </si>
  <si>
    <t>The installer reports the missing prerequisite clearly and refuses to proceed</t>
  </si>
  <si>
    <t>Negative / Deployment</t>
  </si>
  <si>
    <t>INST-003</t>
  </si>
  <si>
    <t>Installer database check</t>
  </si>
  <si>
    <t>Validate database credentials during install</t>
  </si>
  <si>
    <t>Installer running</t>
  </si>
  <si>
    <t>1. Enter wrong credentials
2. Then correct ones</t>
  </si>
  <si>
    <t>wrong then correct</t>
  </si>
  <si>
    <t>The wrong credentials are reported clearly without exposing the connection string; the correct ones proceed</t>
  </si>
  <si>
    <t>INST-004</t>
  </si>
  <si>
    <t>Installer lockout after install</t>
  </si>
  <si>
    <t>The installer cannot be re-run</t>
  </si>
  <si>
    <t>Installation complete</t>
  </si>
  <si>
    <t>1. Attempt to reach the installer again</t>
  </si>
  <si>
    <t>installed system</t>
  </si>
  <si>
    <t>Refused - re-running must not be possible</t>
  </si>
  <si>
    <t>Security / Deployment</t>
  </si>
  <si>
    <t>INST-005</t>
  </si>
  <si>
    <t>Licence activation</t>
  </si>
  <si>
    <t>Activate and deactivate the licence</t>
  </si>
  <si>
    <t>Licence keys available</t>
  </si>
  <si>
    <t>1. Activate with a valid key
2. Then with an invalid key
3. Deactivate</t>
  </si>
  <si>
    <t>valid and invalid keys</t>
  </si>
  <si>
    <t>Valid activation succeeds, invalid is refused with a clear message and deactivation releases the licence</t>
  </si>
  <si>
    <t>INST-006</t>
  </si>
  <si>
    <t>Seeder execution</t>
  </si>
  <si>
    <t>Reference data seeds correctly</t>
  </si>
  <si>
    <t>1. Run the seeders
2. Inspect roles, permissions, payment methods and settings</t>
  </si>
  <si>
    <t>seeder run</t>
  </si>
  <si>
    <t>All reference data is present and consistent with the configuration constants</t>
  </si>
  <si>
    <t>Deployment / Data integrity</t>
  </si>
  <si>
    <t>INST-007</t>
  </si>
  <si>
    <t>Upgrade path</t>
  </si>
  <si>
    <t>Upgrade an existing installation</t>
  </si>
  <si>
    <t>Previous version installed with data</t>
  </si>
  <si>
    <t>1. Deploy the new version
2. Run migrations with --path
3. Smoke-test the critical paths</t>
  </si>
  <si>
    <t>existing data</t>
  </si>
  <si>
    <t>The upgrade preserves all data and the critical paths pass afterwards</t>
  </si>
  <si>
    <t>Deployment</t>
  </si>
  <si>
    <t>INST-008</t>
  </si>
  <si>
    <t>Rollback</t>
  </si>
  <si>
    <t>Roll back a failed deployment</t>
  </si>
  <si>
    <t>Backup and previous release available</t>
  </si>
  <si>
    <t>1. Roll back to the previous release and restore the database
2. Smoke-test</t>
  </si>
  <si>
    <t>previous release</t>
  </si>
  <si>
    <t>The system returns to its prior working state within the agreed recovery window</t>
  </si>
  <si>
    <t>Recovery / Deployment</t>
  </si>
  <si>
    <t>E2E-001</t>
  </si>
  <si>
    <t>End-to-End</t>
  </si>
  <si>
    <t>New customer first purchase</t>
  </si>
  <si>
    <t>Register, browse, buy and receive confirmation</t>
  </si>
  <si>
    <t>Clean customer email; products in stock</t>
  </si>
  <si>
    <t>1. Register a personal account
2. Verify the email
3. Search and open a product
4. Add to cart
5. Check out with a card
6. Confirm the order and the email
7. Track the order</t>
  </si>
  <si>
    <t>full new-customer journey</t>
  </si>
  <si>
    <t>Every step completes; the order is created with correct line items and totals, stock decrements once, the confirmation email arrives and tracking shows the right status</t>
  </si>
  <si>
    <t>E2E / Functional</t>
  </si>
  <si>
    <t>E2E-002</t>
  </si>
  <si>
    <t>Guest purchase</t>
  </si>
  <si>
    <t>Buy without an account</t>
  </si>
  <si>
    <t>Guest session; products in stock</t>
  </si>
  <si>
    <t>1. Browse and add to cart as a guest
2. Check out with delivery details
3. Pay
4. Track the order by number and email</t>
  </si>
  <si>
    <t>guest journey</t>
  </si>
  <si>
    <t>The order completes with no server error, the confirmation arrives and tracking works</t>
  </si>
  <si>
    <t>E2E-003</t>
  </si>
  <si>
    <t>Discounted purchase</t>
  </si>
  <si>
    <t>Buy with every discount type applied</t>
  </si>
  <si>
    <t>Flash sale, voucher, points and loyalty group all active</t>
  </si>
  <si>
    <t>1. Cart a flash-sale product
2. Apply a voucher
3. Redeem points
4. Complete payment
5. Reconcile the cart total, the confirmation, the gateway amount and the stored order</t>
  </si>
  <si>
    <t>all discounts stacked</t>
  </si>
  <si>
    <t>All four figures agree exactly and every discount is reflected in the amount actually charged</t>
  </si>
  <si>
    <t>E2E / Integration</t>
  </si>
  <si>
    <t>Primary reconciliation journey for the QA audit pricing findings</t>
  </si>
  <si>
    <t>E2E-004</t>
  </si>
  <si>
    <t>Cancellation and refund</t>
  </si>
  <si>
    <t>Buy, cancel and get the money back</t>
  </si>
  <si>
    <t>Card payment gateway in test mode</t>
  </si>
  <si>
    <t>1. Place and pay for an order
2. Cancel it
3. Admin approves and refunds
4. Verify stock, points, voucher usage, the gateway refund and the customer notification</t>
  </si>
  <si>
    <t>full cancellation journey</t>
  </si>
  <si>
    <t>Stock returns once, points are reversed, the voucher redemption is released, a real refund reaches the gateway and the customer is notified</t>
  </si>
  <si>
    <t>E2E-005</t>
  </si>
  <si>
    <t>Return and refund</t>
  </si>
  <si>
    <t>Buy, receive, return and refund</t>
  </si>
  <si>
    <t>Delivered order</t>
  </si>
  <si>
    <t>1. Move the order to DELIVERED
2. Move it to RETURNED
3. Then to REFUNDED
4. Verify stock, money and notifications</t>
  </si>
  <si>
    <t>return journey</t>
  </si>
  <si>
    <t>Both transitions are permitted, stock returns exactly once and the refund is real</t>
  </si>
  <si>
    <t>E2E-006</t>
  </si>
  <si>
    <t>Payment failure recovery</t>
  </si>
  <si>
    <t>Fail a payment then succeed on retry</t>
  </si>
  <si>
    <t>Test cards available</t>
  </si>
  <si>
    <t>1. Reach payment and fail with a declined card
2. Verify no order is paid and stock is released
3. Retry with a good card
4. Verify exactly one paid order</t>
  </si>
  <si>
    <t>decline then success</t>
  </si>
  <si>
    <t>No orphaned paid order, stock is correct throughout and exactly one charge exists at the gateway</t>
  </si>
  <si>
    <t>E2E / Negative</t>
  </si>
  <si>
    <t>E2E-007</t>
  </si>
  <si>
    <t>Admin product to sale</t>
  </si>
  <si>
    <t>Publish a product and sell it</t>
  </si>
  <si>
    <t>Admin and customer accounts ready</t>
  </si>
  <si>
    <t>1. Create and publish a product with variants and stock
2. As a customer, find it by search
3. Buy a variant
4. As admin, fulfil through to DELIVERED
5. Verify stock and reporting</t>
  </si>
  <si>
    <t>full catalogue-to-sale journey</t>
  </si>
  <si>
    <t>The product is discoverable, purchasable and fulfillable, and stock and revenue reporting reconcile</t>
  </si>
  <si>
    <t>E2E-008</t>
  </si>
  <si>
    <t>Vendor lifecycle</t>
  </si>
  <si>
    <t>Register a vendor through to payout</t>
  </si>
  <si>
    <t>1. Register a seller
2. Admin approves
3. Vendor lists a product
4. A customer buys it
5. Vendor requests a withdrawal
6. Admin approves the payout</t>
  </si>
  <si>
    <t>vendor journey</t>
  </si>
  <si>
    <t>Every stage completes, the vendor sees only their own data and the payout debits the balance exactly once</t>
  </si>
  <si>
    <t>E2E-009</t>
  </si>
  <si>
    <t>Wallet lifecycle</t>
  </si>
  <si>
    <t>Top up, spend, cancel and be refunded</t>
  </si>
  <si>
    <t>Wallet enabled</t>
  </si>
  <si>
    <t>1. Top up 100.00
2. Spend 60.00 on an order
3. Cancel the order
4. Verify the balance and the ledger</t>
  </si>
  <si>
    <t>wallet journey</t>
  </si>
  <si>
    <t>The balance moves 100, 40, 100 with a matching ledger entry at each step</t>
  </si>
  <si>
    <t>E2E-010</t>
  </si>
  <si>
    <t>Trade account lifecycle</t>
  </si>
  <si>
    <t>Apply for trade, be approved and buy at trade prices</t>
  </si>
  <si>
    <t>Trade pricing configured</t>
  </si>
  <si>
    <t>1. Register a trade account
2. Admin approves the application
3. Sign in and confirm trade prices
4. Buy and confirm the charged amount</t>
  </si>
  <si>
    <t>trade journey</t>
  </si>
  <si>
    <t>Trade pricing applies only after approval and is the amount actually charged</t>
  </si>
  <si>
    <t>E2E-011</t>
  </si>
  <si>
    <t>Multi-item multi-vendor order</t>
  </si>
  <si>
    <t>One order spanning several vendors</t>
  </si>
  <si>
    <t>Products from two vendors</t>
  </si>
  <si>
    <t>1. Cart products from two vendors
2. Check out in one transaction
3. Verify the order split, each vendor view and stock</t>
  </si>
  <si>
    <t>2 vendors in one order</t>
  </si>
  <si>
    <t>The order is attributed correctly per vendor, each vendor sees only their lines and stock decrements per vendor product</t>
  </si>
  <si>
    <t>E2E-012</t>
  </si>
  <si>
    <t>Mobile end-to-end purchase</t>
  </si>
  <si>
    <t>Complete a purchase entirely on a phone</t>
  </si>
  <si>
    <t>Mobile device</t>
  </si>
  <si>
    <t>1. Complete registration through to order confirmation on a phone</t>
  </si>
  <si>
    <t>mobile journey</t>
  </si>
  <si>
    <t>Every step is usable and the order completes with correct data</t>
  </si>
  <si>
    <t>E2E / Responsive</t>
  </si>
  <si>
    <t>E2E-013</t>
  </si>
  <si>
    <t>Abandoned cart recovery</t>
  </si>
  <si>
    <t>Leave a cart and return later</t>
  </si>
  <si>
    <t>Cart abandonment handling configured</t>
  </si>
  <si>
    <t>1. Build a cart and leave
2. Return the next day and sign in</t>
  </si>
  <si>
    <t>abandoned cart</t>
  </si>
  <si>
    <t>The cart persists with current prices and stock, and any recovery email links back to a valid cart</t>
  </si>
  <si>
    <t>E2E-014</t>
  </si>
  <si>
    <t>Regression smoke suite</t>
  </si>
  <si>
    <t>Fast confidence check after any deployment</t>
  </si>
  <si>
    <t>Deployment complete</t>
  </si>
  <si>
    <t>1. Homepage loads
2. Search returns results
3. Product page opens
4. Add to cart
5. Sign in
6. Place a COD order
7. Admin sees the order
8. Status change emails</t>
  </si>
  <si>
    <t>smoke path</t>
  </si>
  <si>
    <t>All eight checks pass within 15 minutes; any failure blocks the release</t>
  </si>
  <si>
    <t>E2E / Smoke</t>
  </si>
  <si>
    <t>Run on every deployment to staging and production</t>
  </si>
  <si>
    <t>EXECUTION DASHBOARD</t>
  </si>
  <si>
    <t>All figures are live formulas over the Test Cases sheet. Fill in Status there and these update automatically.</t>
  </si>
  <si>
    <t>OVERALL</t>
  </si>
  <si>
    <t>Metric</t>
  </si>
  <si>
    <t>Count</t>
  </si>
  <si>
    <t>% of Total</t>
  </si>
  <si>
    <t>Passed</t>
  </si>
  <si>
    <t>Failed</t>
  </si>
  <si>
    <t>Blocked</t>
  </si>
  <si>
    <t>Deferred</t>
  </si>
  <si>
    <t>Not applicable</t>
  </si>
  <si>
    <t>Executed</t>
  </si>
  <si>
    <t>Execution progress</t>
  </si>
  <si>
    <t>Pass rate (of executed)</t>
  </si>
  <si>
    <t>BY PRIORITY</t>
  </si>
  <si>
    <t>Total</t>
  </si>
  <si>
    <t>BY SEVERITY</t>
  </si>
  <si>
    <t>BY MODULE</t>
  </si>
  <si>
    <t>TOTAL</t>
  </si>
  <si>
    <t>BY TEST TYPE (primary)</t>
  </si>
  <si>
    <t>Validation</t>
  </si>
  <si>
    <t>E2E</t>
  </si>
  <si>
    <t>ID Prefix</t>
  </si>
  <si>
    <t>High Priority</t>
  </si>
  <si>
    <t>Blocker + Critical</t>
  </si>
  <si>
    <t>Primary Application Area</t>
  </si>
  <si>
    <t>Key Risk Focus</t>
  </si>
  <si>
    <t>routes/api.php contract surface</t>
  </si>
  <si>
    <t>Response consistency, status codes, type handling, concurrency</t>
  </si>
  <si>
    <t>A11Y</t>
  </si>
  <si>
    <t>Cross-cutting - storefront and admin</t>
  </si>
  <si>
    <t>Keyboard operation, labels, contrast, screen reader journeys</t>
  </si>
  <si>
    <t>ADM</t>
  </si>
  <si>
    <t>AdminsController, admin-panel/pages/login.vue</t>
  </si>
  <si>
    <t>Unauthenticated admin creation, session handling, direct URL access</t>
  </si>
  <si>
    <t>AUTH</t>
  </si>
  <si>
    <t>app/Http/Controllers/UsersController.php, TwoFactorController, routes/api.php user group</t>
  </si>
  <si>
    <t>Account takeover, code brute force, enumeration, guest token forgery, scope enforcement</t>
  </si>
  <si>
    <t>CART</t>
  </si>
  <si>
    <t>CartsController, SaveForLaterController, UserWishlistsController, CompareListsController</t>
  </si>
  <si>
    <t>Client-supplied prices, quantity bounds, IDOR on cart rows, buy-now scope</t>
  </si>
  <si>
    <t>CAT</t>
  </si>
  <si>
    <t>CategoriesController, SubCategoriesController, BrandsController, AttributesController</t>
  </si>
  <si>
    <t>Slug integrity, cascade deletes, image upload safety, stored XSS</t>
  </si>
  <si>
    <t>CHK</t>
  </si>
  <si>
    <t>OrdersController, Validation::order, frontend-panel/pages/checkout.vue</t>
  </si>
  <si>
    <t>Payload tampering, guest path, double submit, stock re-check, confirmation email</t>
  </si>
  <si>
    <t>COMP</t>
  </si>
  <si>
    <t>Cross-cutting - browsers, devices, email clients</t>
  </si>
  <si>
    <t>Rendering parity, blockers, degraded modes</t>
  </si>
  <si>
    <t>CMS</t>
  </si>
  <si>
    <t>PagesController, BannersController, HomeSlidersController, CustomScriptsController</t>
  </si>
  <si>
    <t>Editor sanitisation, upload validation, stored script feature control</t>
  </si>
  <si>
    <t>USR</t>
  </si>
  <si>
    <t>UsersController, UserAddressesController, ContactUsController</t>
  </si>
  <si>
    <t>Profile and address IDOR, email change verification, data retention</t>
  </si>
  <si>
    <t>DB</t>
  </si>
  <si>
    <t>database/migrations, models and relations</t>
  </si>
  <si>
    <t>Referential integrity, atomicity, monetary precision, reconciliation</t>
  </si>
  <si>
    <t>Full stack across all modules</t>
  </si>
  <si>
    <t>Journey completeness and money, stock and notification reconciliation</t>
  </si>
  <si>
    <t>ERR</t>
  </si>
  <si>
    <t>app/Exceptions, middleware, front-end error states</t>
  </si>
  <si>
    <t>Graceful degradation, no internal disclosure, recovery</t>
  </si>
  <si>
    <t>INST</t>
  </si>
  <si>
    <t>InstallController, database/seeders, migrations</t>
  </si>
  <si>
    <t>Installer lockout, upgrade safety, rollback</t>
  </si>
  <si>
    <t>INV</t>
  </si>
  <si>
    <t>InventoriesController, UpdatedInventoriesController, Order::restoreStockAndRewards</t>
  </si>
  <si>
    <t>Oversell, negative quantity, restock on cancel, concurrency on the last unit</t>
  </si>
  <si>
    <t>I18N</t>
  </si>
  <si>
    <t>LanguageController, lang/, *_lang tables</t>
  </si>
  <si>
    <t>Translation fallback, RTL layout, formats, localised emails</t>
  </si>
  <si>
    <t>ORD</t>
  </si>
  <si>
    <t>OrdersController, Order::allowedTransitions, CancellationsController</t>
  </si>
  <si>
    <t>Transition rules, real refunds, deletion permissions, orphaned records</t>
  </si>
  <si>
    <t>PAY</t>
  </si>
  <si>
    <t>PaymentsController, IyzicoPaymentController, PayFastController, SumupPaymentController</t>
  </si>
  <si>
    <t>Server-side gateway verification, amount reconciliation, duplicate charges</t>
  </si>
  <si>
    <t>PERF</t>
  </si>
  <si>
    <t>Cross-cutting - listing, search, checkout, bulk operations</t>
  </si>
  <si>
    <t>Load behaviour, N+1 queries, asset weight, soak stability</t>
  </si>
  <si>
    <t>POS</t>
  </si>
  <si>
    <t>PosOrdersController, PosSettingsController</t>
  </si>
  <si>
    <t>Stock handling, refunds, permission gating</t>
  </si>
  <si>
    <t>PRC</t>
  </si>
  <si>
    <t>FlashSalesController, FlashDiscountController, ClearancesController, TaxRulesController</t>
  </si>
  <si>
    <t>Displayed total vs charged total, promotion stacking, tax and rounding</t>
  </si>
  <si>
    <t>SUP</t>
  </si>
  <si>
    <t>SupplierController, BidController, TradeApplicationsController</t>
  </si>
  <si>
    <t>Bid token validity and binding, trade approval gating</t>
  </si>
  <si>
    <t>PROD</t>
  </si>
  <si>
    <t>ProductsController, BulkController, admin-panel/pages/products</t>
  </si>
  <si>
    <t>Price validation, offer-price ceiling, upload safety, bulk import integrity</t>
  </si>
  <si>
    <t>RESP</t>
  </si>
  <si>
    <t>admin-panel and frontend-panel components and styles</t>
  </si>
  <si>
    <t>Breakpoints, overflow, loading and empty states, PWA</t>
  </si>
  <si>
    <t>REV</t>
  </si>
  <si>
    <t>RatingReviewsController, ReviewImagesController</t>
  </si>
  <si>
    <t>Purchase verification, stored XSS, average accuracy, review IDOR</t>
  </si>
  <si>
    <t>RBAC</t>
  </si>
  <si>
    <t>RolesController, spatie/laravel-permission, RolePermissionSeeder</t>
  </si>
  <si>
    <t>Server-side permission enforcement, vendor data isolation, privilege escalation</t>
  </si>
  <si>
    <t>SRCH</t>
  </si>
  <si>
    <t>FrontendController search and listing endpoints</t>
  </si>
  <si>
    <t>Injection safety, filter correctness, pagination bounds, performance at scale</t>
  </si>
  <si>
    <t>SEC</t>
  </si>
  <si>
    <t>Cross-cutting - middleware, uploads, headers, dependencies</t>
  </si>
  <si>
    <t>Debug exposure, installer lockout, IDOR sweeps, XSS and SQLi, file upload</t>
  </si>
  <si>
    <t>SET</t>
  </si>
  <si>
    <t>SettingsController, SiteSettingController, LanguageController, PluginsController</t>
  </si>
  <si>
    <t>Secret masking, permission gating, env and cache endpoint exposure</t>
  </si>
  <si>
    <t>HOME</t>
  </si>
  <si>
    <t>FrontendController, frontend-panel/pages</t>
  </si>
  <si>
    <t>Rendering, navigation, empty states, private product exposure</t>
  </si>
  <si>
    <t>SELL</t>
  </si>
  <si>
    <t>SellerController, StoreController, WithdrawalsController, WithdrawalAccountsController</t>
  </si>
  <si>
    <t>Vendor data isolation, payout limits, double approval</t>
  </si>
  <si>
    <t>VOU</t>
  </si>
  <si>
    <t>VouchersController, GiftVoucherController, Validation::voucherValidity</t>
  </si>
  <si>
    <t>Expiry enforcement, server-side cart value, usage counting, redemption races</t>
  </si>
  <si>
    <t>WAL</t>
  </si>
  <si>
    <t>WalletController, WalletOverviewController, LoyaltyGroupController</t>
  </si>
  <si>
    <t>Balance integrity, unauthenticated access, points timing, concurrent spend</t>
  </si>
  <si>
    <t>Defect ID</t>
  </si>
  <si>
    <t>Summary</t>
  </si>
  <si>
    <t>Steps to Reproduce</t>
  </si>
  <si>
    <t>Expected</t>
  </si>
  <si>
    <t>Actual</t>
  </si>
  <si>
    <t>Reported By</t>
  </si>
  <si>
    <t>Reported On</t>
  </si>
  <si>
    <t>Assigned To</t>
  </si>
  <si>
    <t>Fixed In Build</t>
  </si>
  <si>
    <t>Retest Result</t>
  </si>
  <si>
    <t>DEF-001</t>
  </si>
  <si>
    <t>Example row - delete before use. One defect per row; always reference the Test Case ID it came from.</t>
  </si>
  <si>
    <t>Category</t>
  </si>
  <si>
    <t>Item</t>
  </si>
  <si>
    <t>Value / Detail</t>
  </si>
  <si>
    <t>Notes</t>
  </si>
  <si>
    <t>Accounts</t>
  </si>
  <si>
    <t>Superadmin</t>
  </si>
  <si>
    <t>Full permissions. Used for every admin-only case.</t>
  </si>
  <si>
    <t>Limited admin (Catalogue Editor)</t>
  </si>
  <si>
    <t>qa.editor@fixmypc.test / Editor@12345</t>
  </si>
  <si>
    <t>Product permissions only. Used for permission-enforcement cases.</t>
  </si>
  <si>
    <t>Vendor A</t>
  </si>
  <si>
    <t>vendor.a@fixmypc.test / Vendor@12345</t>
  </si>
  <si>
    <t>Approved vendor with products, orders and a payout balance.</t>
  </si>
  <si>
    <t>Vendor B</t>
  </si>
  <si>
    <t>vendor.b@fixmypc.test / Vendor@12345</t>
  </si>
  <si>
    <t>Second vendor - the counterparty for cross-vendor isolation cases.</t>
  </si>
  <si>
    <t>Customer A (personal)</t>
  </si>
  <si>
    <t>Verified, has order history, saved addresses, wallet balance and points.</t>
  </si>
  <si>
    <t>Customer B (personal)</t>
  </si>
  <si>
    <t>qa.personal02@example.com / Passw0rdTest1</t>
  </si>
  <si>
    <t>The counterparty for every IDOR case - never share resources with A.</t>
  </si>
  <si>
    <t>Customer (business)</t>
  </si>
  <si>
    <t>qa.business01@example.com / Passw0rdTest1</t>
  </si>
  <si>
    <t>Approved business account with a company profile.</t>
  </si>
  <si>
    <t>Customer (trade)</t>
  </si>
  <si>
    <t>qa.trade01@example.com / Passw0rdTest1</t>
  </si>
  <si>
    <t>Approved trade account - used for trade pricing cases.</t>
  </si>
  <si>
    <t>Unverified customer</t>
  </si>
  <si>
    <t>qa.unverified@example.com / Passw0rdTest1</t>
  </si>
  <si>
    <t>Registered but never verified. Do not verify it.</t>
  </si>
  <si>
    <t>Deactivated customer</t>
  </si>
  <si>
    <t>qa.disabled@example.com / Passw0rdTest1</t>
  </si>
  <si>
    <t>Set to inactive. Used for blocked-login cases.</t>
  </si>
  <si>
    <t>2FA-enabled customer</t>
  </si>
  <si>
    <t>qa.twofactor@example.com / Passw0rdTest1</t>
  </si>
  <si>
    <t>TOTP configured. Keep the seed with the QA lead.</t>
  </si>
  <si>
    <t>Passwords</t>
  </si>
  <si>
    <t>Valid (registration rule)</t>
  </si>
  <si>
    <t>Passw0rdTest1</t>
  </si>
  <si>
    <t>At least 10 chars, one capital, one digit.</t>
  </si>
  <si>
    <t>Too short</t>
  </si>
  <si>
    <t>Passwor1A</t>
  </si>
  <si>
    <t>9 characters - must be rejected.</t>
  </si>
  <si>
    <t>No capital</t>
  </si>
  <si>
    <t>password12345</t>
  </si>
  <si>
    <t>Must be rejected.</t>
  </si>
  <si>
    <t>No digit</t>
  </si>
  <si>
    <t>PasswordTest</t>
  </si>
  <si>
    <t>Cards (Stripe test)</t>
  </si>
  <si>
    <t>Success</t>
  </si>
  <si>
    <t>4242 4242 4242 4242</t>
  </si>
  <si>
    <t>Any future expiry, any CVC, any postcode.</t>
  </si>
  <si>
    <t>Generic decline</t>
  </si>
  <si>
    <t>Used for decline and rollback cases.</t>
  </si>
  <si>
    <t>Insufficient funds</t>
  </si>
  <si>
    <t>Specific decline reason.</t>
  </si>
  <si>
    <t>3D Secure required</t>
  </si>
  <si>
    <t>Used for authentication challenge cases.</t>
  </si>
  <si>
    <t>Expired card</t>
  </si>
  <si>
    <t>4000 0000 0000 0069</t>
  </si>
  <si>
    <t>Used for gateway error handling.</t>
  </si>
  <si>
    <t>Gateways</t>
  </si>
  <si>
    <t>PayPal sandbox</t>
  </si>
  <si>
    <t>Sandbox buyer account held by the QA lead</t>
  </si>
  <si>
    <t>Never point at live credentials.</t>
  </si>
  <si>
    <t>Razorpay / Flutterwave / Iyzico / PayFast / SumUp</t>
  </si>
  <si>
    <t>Test keys per gateway</t>
  </si>
  <si>
    <t>All configured in Settings &gt; Payment on staging only.</t>
  </si>
  <si>
    <t>Products</t>
  </si>
  <si>
    <t>Simple in-stock product</t>
  </si>
  <si>
    <t>QA Test Laptop - 599.99, stock 50</t>
  </si>
  <si>
    <t>The default happy-path product.</t>
  </si>
  <si>
    <t>Variant product</t>
  </si>
  <si>
    <t>QA Test Phone - 2 colours x 3 sizes</t>
  </si>
  <si>
    <t>Used for variant, image mapping and stock cases.</t>
  </si>
  <si>
    <t>Last-unit product</t>
  </si>
  <si>
    <t>QA Scarce Item - stock 1</t>
  </si>
  <si>
    <t>Reserved for concurrency and oversell cases. Reset stock after each run.</t>
  </si>
  <si>
    <t>Zero-stock product</t>
  </si>
  <si>
    <t>QA Sold Out - stock 0</t>
  </si>
  <si>
    <t>Used for out-of-stock display and negative cases.</t>
  </si>
  <si>
    <t>Private product</t>
  </si>
  <si>
    <t>QA Hidden Item - status private</t>
  </si>
  <si>
    <t>Must never appear in search or listings.</t>
  </si>
  <si>
    <t>Bundle</t>
  </si>
  <si>
    <t>QA Bundle - 3 components at 799.00</t>
  </si>
  <si>
    <t>Used for bundle pricing and stock cases.</t>
  </si>
  <si>
    <t>Vouchers</t>
  </si>
  <si>
    <t>Percentage</t>
  </si>
  <si>
    <t>QA10 - 10%, min spend 50.00, limit 100</t>
  </si>
  <si>
    <t>General discount cases.</t>
  </si>
  <si>
    <t>Flat</t>
  </si>
  <si>
    <t>QAFLAT20 - 20.00 off</t>
  </si>
  <si>
    <t>Fixed-amount cases.</t>
  </si>
  <si>
    <t>Capped percentage</t>
  </si>
  <si>
    <t>QACAP - 20% capped at 25.50</t>
  </si>
  <si>
    <t>Cap-rounding boundary case.</t>
  </si>
  <si>
    <t>Expired</t>
  </si>
  <si>
    <t>QAEXPIRED - expiry yesterday</t>
  </si>
  <si>
    <t>Must always be refused.</t>
  </si>
  <si>
    <t>Future</t>
  </si>
  <si>
    <t>QAFUTURE - starts tomorrow</t>
  </si>
  <si>
    <t>Single use</t>
  </si>
  <si>
    <t>QAONCE - limit 1</t>
  </si>
  <si>
    <t>Used for redemption race and reuse cases.</t>
  </si>
  <si>
    <t>Addresses</t>
  </si>
  <si>
    <t>UK valid</t>
  </si>
  <si>
    <t>1 High Street, London, SW1A 1AA, GB</t>
  </si>
  <si>
    <t>The default delivery address.</t>
  </si>
  <si>
    <t>Uncovered country</t>
  </si>
  <si>
    <t>Rua Teste 1, Sao Paulo, 01000-000, BR</t>
  </si>
  <si>
    <t>No shipping rule covers it.</t>
  </si>
  <si>
    <t>Injection payloads</t>
  </si>
  <si>
    <t>XSS</t>
  </si>
  <si>
    <t>Store in every free-text field; must render as text.</t>
  </si>
  <si>
    <t>SQL</t>
  </si>
  <si>
    <t>' OR 1=1 -- and 1 UNION SELECT null</t>
  </si>
  <si>
    <t>Must never produce a SQL error or leak.</t>
  </si>
  <si>
    <t>Traversal</t>
  </si>
  <si>
    <t>Used on media and file endpoints.</t>
  </si>
  <si>
    <t>Formula</t>
  </si>
  <si>
    <t>=cmd|calc</t>
  </si>
  <si>
    <t>Used for spreadsheet import and export cases.</t>
  </si>
  <si>
    <t>Files</t>
  </si>
  <si>
    <t>Valid image</t>
  </si>
  <si>
    <t>product.jpg - 400KB, 1200x800</t>
  </si>
  <si>
    <t>Under the 1024KB image limit.</t>
  </si>
  <si>
    <t>Oversized image</t>
  </si>
  <si>
    <t>large.jpg - 3MB</t>
  </si>
  <si>
    <t>Disguised executable</t>
  </si>
  <si>
    <t>shell.php renamed shell.php.jpg</t>
  </si>
  <si>
    <t>Must be rejected on MIME sniffing.</t>
  </si>
  <si>
    <t>SVG</t>
  </si>
  <si>
    <t>icon.svg</t>
  </si>
  <si>
    <t>Must be rejected - scriptable format.</t>
  </si>
  <si>
    <t>Valid video</t>
  </si>
  <si>
    <t>clip.mp4 - 1.5MB</t>
  </si>
  <si>
    <t>Under the 2048KB video limit.</t>
  </si>
  <si>
    <t>Import sheet - valid</t>
  </si>
  <si>
    <t>products_valid_20.xlsx</t>
  </si>
  <si>
    <t>20 well-formed rows.</t>
  </si>
  <si>
    <t>Import sheet - mixed</t>
  </si>
  <si>
    <t>products_mixed_20.xlsx</t>
  </si>
  <si>
    <t>Rows 3 and 7 deliberately invalid.</t>
  </si>
  <si>
    <t>Unicode</t>
  </si>
  <si>
    <t>Accented</t>
  </si>
  <si>
    <t>Zoe Muller</t>
  </si>
  <si>
    <t>Round-trip check.</t>
  </si>
  <si>
    <t>CJK</t>
  </si>
  <si>
    <t>東京テスト</t>
  </si>
  <si>
    <t>utf8mb4 storage check.</t>
  </si>
  <si>
    <t>Emoji</t>
  </si>
  <si>
    <t>Test order family emoji</t>
  </si>
  <si>
    <t>Boundaries</t>
  </si>
  <si>
    <t>Max cart line quantity</t>
  </si>
  <si>
    <t>999</t>
  </si>
  <si>
    <t>MAX_LINE_QUANTITY - 1000 must be rejected.</t>
  </si>
  <si>
    <t>Max product images</t>
  </si>
  <si>
    <t>10</t>
  </si>
  <si>
    <t>MAX_IMG_UPLOAD - the 11th must be rejected.</t>
  </si>
  <si>
    <t>Minimum withdrawal</t>
  </si>
  <si>
    <t>50.00</t>
  </si>
  <si>
    <t>Requests below this must be refused.</t>
  </si>
  <si>
    <t>Awkward money values</t>
  </si>
  <si>
    <t>0.01, 19.99, 1234.56, 999999.99</t>
  </si>
  <si>
    <t>Precision and rounding checks.</t>
  </si>
  <si>
    <t>Environment Label</t>
  </si>
  <si>
    <t>Type</t>
  </si>
  <si>
    <t>Operating System</t>
  </si>
  <si>
    <t>Browser / Client</t>
  </si>
  <si>
    <t>Viewport / Device</t>
  </si>
  <si>
    <t>Purpose</t>
  </si>
  <si>
    <t>Web UI</t>
  </si>
  <si>
    <t>Windows 11</t>
  </si>
  <si>
    <t>Chrome 126</t>
  </si>
  <si>
    <t>1920x1080</t>
  </si>
  <si>
    <t>Primary execution environment for functional, UI and validation cases.</t>
  </si>
  <si>
    <t>Any</t>
  </si>
  <si>
    <t>Postman / curl</t>
  </si>
  <si>
    <t>n/a</t>
  </si>
  <si>
    <t>Direct API cases - security, contract, IDOR and concurrency.</t>
  </si>
  <si>
    <t>Web UI (mobile)</t>
  </si>
  <si>
    <t>iOS 17 / Android 13</t>
  </si>
  <si>
    <t>Safari 17 / Chrome 126</t>
  </si>
  <si>
    <t>iPhone 13, Pixel 6</t>
  </si>
  <si>
    <t>Responsive, mobile end-to-end and PWA cases.</t>
  </si>
  <si>
    <t>Linux</t>
  </si>
  <si>
    <t>phpMyAdmin / CLI</t>
  </si>
  <si>
    <t>Data integrity, reconciliation, migration and backup cases.</t>
  </si>
  <si>
    <t>Staging - Firefox 127</t>
  </si>
  <si>
    <t>Cross-browser compatibility pass.</t>
  </si>
  <si>
    <t>Staging - Safari 17 (macOS)</t>
  </si>
  <si>
    <t>macOS Sonoma</t>
  </si>
  <si>
    <t>Safari 17</t>
  </si>
  <si>
    <t>1440x900</t>
  </si>
  <si>
    <t>Cross-browser compatibility pass, payment sheet behaviour.</t>
  </si>
  <si>
    <t>Staging - Edge 126</t>
  </si>
  <si>
    <t>Staging - Tablet</t>
  </si>
  <si>
    <t>iPadOS 17</t>
  </si>
  <si>
    <t>768x1024</t>
  </si>
  <si>
    <t>Tablet breakpoint and admin-on-tablet cases.</t>
  </si>
  <si>
    <t>Staging - Load harness</t>
  </si>
  <si>
    <t>k6 / JMeter</t>
  </si>
  <si>
    <t>Load, soak and concurrency cases.</t>
  </si>
  <si>
    <t>Staging - Assistive tech</t>
  </si>
  <si>
    <t>Windows 11 / macOS</t>
  </si>
  <si>
    <t>NVDA / VoiceOver</t>
  </si>
  <si>
    <t>Screen reader and keyboard-only cases.</t>
  </si>
  <si>
    <t>Pre-production</t>
  </si>
  <si>
    <t>Full stack</t>
  </si>
  <si>
    <t>Production parity</t>
  </si>
  <si>
    <t>Release-candidate smoke and end-to-end regression only.</t>
  </si>
  <si>
    <t>ENTRY AND EXIT CRITERIA</t>
  </si>
  <si>
    <t>Entry criteria</t>
  </si>
  <si>
    <t>The build is deployed to staging, seed data is loaded, all gateways are in test mode, and the smoke suite E2E-014 passes.</t>
  </si>
  <si>
    <t>Exit criteria</t>
  </si>
  <si>
    <t>Every High priority case is executed; no Blocker or Critical defect is open; at least 95% of executed cases pass; all remaining defects are triaged and accepted by the product owner.</t>
  </si>
  <si>
    <t>Suspension criteria</t>
  </si>
  <si>
    <t>The smoke suite fails, the environment is unavailable for more than half a day, or a Blocker defect prevents more than 30% of the suite from running.</t>
  </si>
  <si>
    <t>Resumption criteria</t>
  </si>
  <si>
    <t>The blocking defect is fixed and verified, and the smoke suite passes again.</t>
  </si>
  <si>
    <t>Execution order</t>
  </si>
  <si>
    <t>Run the QA-audit regression cases first (those citing an audit reference in Remarks), then all remaining High priority cases, then Medium, then Low.</t>
  </si>
</sst>
</file>

<file path=xl/styles.xml><?xml version="1.0" encoding="utf-8"?>
<styleSheet xmlns="http://schemas.openxmlformats.org/spreadsheetml/2006/main" xml:space="preserve">
  <numFmts count="2">
    <numFmt numFmtId="164" formatCode="0.0%"/>
    <numFmt numFmtId="165" formatCode="dd/mm/yyyy"/>
  </numFmts>
  <fonts count="13">
    <font>
      <b val="0"/>
      <i val="0"/>
      <strike val="0"/>
      <u val="none"/>
      <sz val="11"/>
      <color rgb="FF000000"/>
      <name val="Calibri"/>
    </font>
    <font>
      <b val="1"/>
      <i val="0"/>
      <strike val="0"/>
      <u val="none"/>
      <sz val="11"/>
      <color rgb="FF000000"/>
      <name val="Calibri"/>
    </font>
    <font>
      <b val="1"/>
      <i val="0"/>
      <strike val="0"/>
      <u val="none"/>
      <sz val="22"/>
      <color rgb="FF1F3864"/>
      <name val="Calibri"/>
    </font>
    <font>
      <b val="0"/>
      <i val="1"/>
      <strike val="0"/>
      <u val="none"/>
      <sz val="11"/>
      <color rgb="FF44546A"/>
      <name val="Calibri"/>
    </font>
    <font>
      <b val="1"/>
      <i val="0"/>
      <strike val="0"/>
      <u val="none"/>
      <sz val="11"/>
      <color rgb="FF1F3864"/>
      <name val="Calibri"/>
    </font>
    <font>
      <b val="1"/>
      <i val="0"/>
      <strike val="0"/>
      <u val="none"/>
      <sz val="13"/>
      <color rgb="FF1F3864"/>
      <name val="Calibri"/>
    </font>
    <font>
      <b val="1"/>
      <i val="0"/>
      <strike val="0"/>
      <u val="none"/>
      <sz val="12"/>
      <color rgb="FF1F3864"/>
      <name val="Calibri"/>
    </font>
    <font>
      <b val="0"/>
      <i val="1"/>
      <strike val="0"/>
      <u val="none"/>
      <sz val="11"/>
      <color rgb="FF000000"/>
      <name val="Calibri"/>
    </font>
    <font>
      <b val="1"/>
      <i val="0"/>
      <strike val="0"/>
      <u val="none"/>
      <sz val="11"/>
      <color rgb="FFFFFFFF"/>
      <name val="Calibri"/>
    </font>
    <font>
      <b val="0"/>
      <i val="0"/>
      <strike val="0"/>
      <u val="none"/>
      <sz val="10"/>
      <color rgb="FF000000"/>
      <name val="Calibri"/>
    </font>
    <font>
      <b val="1"/>
      <i val="0"/>
      <strike val="0"/>
      <u val="none"/>
      <sz val="10"/>
      <color rgb="FF000000"/>
      <name val="Calibri"/>
    </font>
    <font>
      <b val="1"/>
      <i val="0"/>
      <strike val="0"/>
      <u val="none"/>
      <sz val="18"/>
      <color rgb="FF1F3864"/>
      <name val="Calibri"/>
    </font>
    <font>
      <b val="1"/>
      <i val="0"/>
      <strike val="0"/>
      <u val="none"/>
      <sz val="12"/>
      <color rgb="FF000000"/>
      <name val="Calibri"/>
    </font>
  </fonts>
  <fills count="5">
    <fill>
      <patternFill patternType="none"/>
    </fill>
    <fill>
      <patternFill patternType="gray125"/>
    </fill>
    <fill>
      <patternFill patternType="solid">
        <fgColor rgb="FF1F3864"/>
        <bgColor rgb="FF000000"/>
      </patternFill>
    </fill>
    <fill>
      <patternFill patternType="solid">
        <fgColor rgb="FFF7F9FC"/>
        <bgColor rgb="FF000000"/>
      </patternFill>
    </fill>
    <fill>
      <patternFill patternType="solid">
        <fgColor rgb="FFEFF3F9"/>
        <bgColor rgb="FF000000"/>
      </patternFill>
    </fill>
  </fills>
  <borders count="2">
    <border>
      <left/>
      <right/>
      <top/>
      <bottom/>
      <diagonal/>
    </border>
    <border>
      <left style="thin">
        <color rgb="FFBFC9D9"/>
      </left>
      <right style="thin">
        <color rgb="FFBFC9D9"/>
      </right>
      <top style="thin">
        <color rgb="FFBFC9D9"/>
      </top>
      <bottom style="thin">
        <color rgb="FFBFC9D9"/>
      </bottom>
      <diagonal/>
    </border>
  </borders>
  <cellStyleXfs count="1">
    <xf numFmtId="0" fontId="0" fillId="0" borderId="0"/>
  </cellStyleXfs>
  <cellXfs count="38">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center" textRotation="0" wrapText="false" shrinkToFit="false"/>
    </xf>
    <xf xfId="0" fontId="3" numFmtId="0" fillId="0" borderId="0" applyFont="1" applyNumberFormat="0" applyFill="0" applyBorder="0" applyAlignment="0"/>
    <xf xfId="0" fontId="4" numFmtId="0" fillId="0" borderId="0" applyFont="1" applyNumberFormat="0" applyFill="0" applyBorder="0" applyAlignment="0"/>
    <xf xfId="0" fontId="0" numFmtId="0" fillId="0" borderId="0" applyFont="0" applyNumberFormat="0" applyFill="0" applyBorder="0" applyAlignment="1">
      <alignment vertical="top" textRotation="0" wrapText="true" shrinkToFit="false"/>
    </xf>
    <xf xfId="0" fontId="5" numFmtId="0" fillId="0" borderId="0" applyFont="1" applyNumberFormat="0" applyFill="0" applyBorder="0" applyAlignment="0"/>
    <xf xfId="0" fontId="6" numFmtId="0" fillId="0" borderId="0" applyFont="1" applyNumberFormat="0" applyFill="0" applyBorder="0" applyAlignment="0"/>
    <xf xfId="0" fontId="7" numFmtId="0" fillId="0" borderId="0" applyFont="1" applyNumberFormat="0" applyFill="0" applyBorder="0" applyAlignment="1">
      <alignment vertical="top" textRotation="0" wrapText="true" shrinkToFit="false"/>
    </xf>
    <xf xfId="0" fontId="8" numFmtId="0" fillId="2" borderId="0" applyFont="1" applyNumberFormat="0" applyFill="1" applyBorder="0" applyAlignment="1">
      <alignment horizontal="center" vertical="center" textRotation="0" wrapText="true" shrinkToFit="false"/>
    </xf>
    <xf xfId="0" fontId="9" numFmtId="0" fillId="0" borderId="1" applyFont="1" applyNumberFormat="0" applyFill="0" applyBorder="1" applyAlignment="1">
      <alignment vertical="top" textRotation="0" wrapText="true" shrinkToFit="false"/>
    </xf>
    <xf xfId="0" fontId="10" numFmtId="0" fillId="0" borderId="1" applyFont="1" applyNumberFormat="0" applyFill="0" applyBorder="1" applyAlignment="1">
      <alignment vertical="top" textRotation="0" wrapText="true" shrinkToFit="false"/>
    </xf>
    <xf xfId="0" fontId="10" numFmtId="0" fillId="0" borderId="1" applyFont="1" applyNumberFormat="0" applyFill="0" applyBorder="1" applyAlignment="1">
      <alignment horizontal="left" vertical="top" textRotation="0" wrapText="true" shrinkToFit="false"/>
    </xf>
    <xf xfId="0" fontId="9" numFmtId="0" fillId="0" borderId="1" applyFont="1" applyNumberFormat="0" applyFill="0" applyBorder="1" applyAlignment="1">
      <alignment horizontal="center" vertical="top" textRotation="0" wrapText="true" shrinkToFit="false"/>
    </xf>
    <xf xfId="0" fontId="10" numFmtId="0" fillId="0" borderId="1" applyFont="1" applyNumberFormat="0" applyFill="0" applyBorder="1" applyAlignment="1">
      <alignment horizontal="center" vertical="top" textRotation="0" wrapText="true" shrinkToFit="false"/>
    </xf>
    <xf xfId="0" fontId="10" numFmtId="0" fillId="3" borderId="1" applyFont="1" applyNumberFormat="0" applyFill="1" applyBorder="1" applyAlignment="1">
      <alignment horizontal="left" vertical="top" textRotation="0" wrapText="true" shrinkToFit="false"/>
    </xf>
    <xf xfId="0" fontId="9" numFmtId="0" fillId="3" borderId="1" applyFont="1" applyNumberFormat="0" applyFill="1" applyBorder="1" applyAlignment="1">
      <alignment vertical="top" textRotation="0" wrapText="true" shrinkToFit="false"/>
    </xf>
    <xf xfId="0" fontId="9" numFmtId="0" fillId="3" borderId="1" applyFont="1" applyNumberFormat="0" applyFill="1" applyBorder="1" applyAlignment="1">
      <alignment horizontal="center" vertical="top" textRotation="0" wrapText="true" shrinkToFit="false"/>
    </xf>
    <xf xfId="0" fontId="10" numFmtId="0" fillId="3" borderId="1" applyFont="1" applyNumberFormat="0" applyFill="1" applyBorder="1" applyAlignment="1">
      <alignment horizontal="center" vertical="top" textRotation="0" wrapText="true" shrinkToFit="false"/>
    </xf>
    <xf xfId="0" fontId="11" numFmtId="0" fillId="0" borderId="0" applyFont="1" applyNumberFormat="0" applyFill="0" applyBorder="0" applyAlignment="0"/>
    <xf xfId="0" fontId="8" numFmtId="0" fillId="2" borderId="0" applyFont="1" applyNumberFormat="0" applyFill="1" applyBorder="0" applyAlignment="1">
      <alignment horizontal="center" vertical="bottom" textRotation="0" wrapText="false" shrinkToFit="false"/>
    </xf>
    <xf xfId="0" fontId="0" numFmtId="0" fillId="0" borderId="1" applyFont="0" applyNumberFormat="0" applyFill="0" applyBorder="1" applyAlignment="0"/>
    <xf xfId="0" fontId="0" numFmtId="164" fillId="0" borderId="1" applyFont="0" applyNumberFormat="1" applyFill="0" applyBorder="1" applyAlignment="0"/>
    <xf xfId="0" fontId="0" numFmtId="0" fillId="0" borderId="1" applyFont="0" applyNumberFormat="0" applyFill="0" applyBorder="1" applyAlignment="1">
      <alignment horizontal="center" vertical="bottom" textRotation="0" wrapText="false" shrinkToFit="false"/>
    </xf>
    <xf xfId="0" fontId="1" numFmtId="0" fillId="0" borderId="1" applyFont="1" applyNumberFormat="0" applyFill="0" applyBorder="1" applyAlignment="0"/>
    <xf xfId="0" fontId="1" numFmtId="0" fillId="0" borderId="1" applyFont="1" applyNumberFormat="0" applyFill="0" applyBorder="1" applyAlignment="1">
      <alignment horizontal="center" vertical="bottom" textRotation="0" wrapText="false" shrinkToFit="false"/>
    </xf>
    <xf xfId="0" fontId="1" numFmtId="164" fillId="0" borderId="1" applyFont="1" applyNumberFormat="1" applyFill="0" applyBorder="1" applyAlignment="0"/>
    <xf xfId="0" fontId="12" numFmtId="164" fillId="0" borderId="1" applyFont="1" applyNumberFormat="1" applyFill="0" applyBorder="1" applyAlignment="1">
      <alignment horizontal="center" vertical="bottom" textRotation="0" wrapText="false" shrinkToFit="false"/>
    </xf>
    <xf xfId="0" fontId="1" numFmtId="0" fillId="4" borderId="1" applyFont="1" applyNumberFormat="0" applyFill="1" applyBorder="1" applyAlignment="0"/>
    <xf xfId="0" fontId="1" numFmtId="0" fillId="4" borderId="1" applyFont="1" applyNumberFormat="0" applyFill="1" applyBorder="1" applyAlignment="1">
      <alignment horizontal="center" vertical="bottom" textRotation="0" wrapText="false" shrinkToFit="false"/>
    </xf>
    <xf xfId="0" fontId="10" numFmtId="0" fillId="4" borderId="1" applyFont="1" applyNumberFormat="0" applyFill="1" applyBorder="1" applyAlignment="1">
      <alignment vertical="top" textRotation="0" wrapText="true" shrinkToFit="false"/>
    </xf>
    <xf xfId="0" fontId="10" numFmtId="0" fillId="4" borderId="1" applyFont="1" applyNumberFormat="0" applyFill="1" applyBorder="1" applyAlignment="1">
      <alignment horizontal="center" vertical="top" textRotation="0" wrapText="true" shrinkToFit="false"/>
    </xf>
    <xf xfId="0" fontId="3" numFmtId="0" fillId="0" borderId="1" applyFont="1" applyNumberFormat="0" applyFill="0" applyBorder="1" applyAlignment="1">
      <alignment vertical="top" textRotation="0" wrapText="true" shrinkToFit="false"/>
    </xf>
    <xf xfId="0" fontId="0" numFmtId="0" fillId="0" borderId="1" applyFont="0" applyNumberFormat="0" applyFill="0" applyBorder="1" applyAlignment="1">
      <alignment vertical="top" textRotation="0" wrapText="true" shrinkToFit="false"/>
    </xf>
    <xf xfId="0" fontId="3" numFmtId="165" fillId="0" borderId="1" applyFont="1" applyNumberFormat="1" applyFill="0" applyBorder="1" applyAlignment="1">
      <alignment vertical="top" textRotation="0" wrapText="true" shrinkToFit="false"/>
    </xf>
    <xf xfId="0" fontId="0" numFmtId="165" fillId="0" borderId="1" applyFont="0" applyNumberFormat="1" applyFill="0" applyBorder="1" applyAlignment="1">
      <alignment vertical="top" textRotation="0" wrapText="true" shrinkToFit="false"/>
    </xf>
    <xf xfId="0" fontId="10" numFmtId="0" fillId="3" borderId="1" applyFont="1" applyNumberFormat="0" applyFill="1" applyBorder="1" applyAlignment="1">
      <alignment vertical="top" textRotation="0" wrapText="true" shrinkToFit="false"/>
    </xf>
    <xf xfId="0" fontId="8" numFmtId="0" fillId="2" borderId="0" applyFont="1" applyNumberFormat="0" applyFill="1" applyBorder="0" applyAlignment="1">
      <alignment horizontal="center" vertical="bottom" textRotation="0" wrapText="true" shrinkToFit="false"/>
    </xf>
  </cellXfs>
  <cellStyles count="1">
    <cellStyle name="Normal" xfId="0" builtinId="0"/>
  </cellStyles>
  <dxfs count="12">
    <dxf>
      <font>
        <b val="1"/>
        <color rgb="FF1E7B34"/>
      </font>
      <fill>
        <patternFill patternType="solid">
          <bgColor rgb="FFE3F5E7"/>
        </patternFill>
      </fill>
      <border/>
    </dxf>
    <dxf>
      <font>
        <b val="1"/>
        <color rgb="FFB01212"/>
      </font>
      <fill>
        <patternFill patternType="solid">
          <bgColor rgb="FFFCE4E4"/>
        </patternFill>
      </fill>
      <border/>
    </dxf>
    <dxf>
      <font>
        <b val="1"/>
        <color rgb="FF9A6100"/>
      </font>
      <fill>
        <patternFill patternType="solid">
          <bgColor rgb="FFFFF1D6"/>
        </patternFill>
      </fill>
      <border/>
    </dxf>
    <dxf>
      <font>
        <b val="1"/>
        <color rgb="FF4B4B4B"/>
      </font>
      <fill>
        <patternFill patternType="solid">
          <bgColor rgb="FFEDEDED"/>
        </patternFill>
      </fill>
      <border/>
    </dxf>
    <dxf>
      <font>
        <b val="1"/>
        <color rgb="FF5A6472"/>
      </font>
      <fill>
        <patternFill patternType="solid">
          <bgColor rgb="FFF2F4F7"/>
        </patternFill>
      </fill>
      <border/>
    </dxf>
    <dxf>
      <font>
        <b val="1"/>
        <color rgb="FF8B0000"/>
      </font>
      <fill>
        <patternFill patternType="solid">
          <bgColor rgb="FFF8D7D7"/>
        </patternFill>
      </fill>
      <border/>
    </dxf>
    <dxf>
      <font>
        <b val="1"/>
        <color rgb="FFB01212"/>
      </font>
      <fill>
        <patternFill patternType="solid">
          <bgColor rgb="FFFCE4E4"/>
        </patternFill>
      </fill>
      <border/>
    </dxf>
    <dxf>
      <font>
        <b val="1"/>
        <color rgb="FF9A6100"/>
      </font>
      <fill>
        <patternFill patternType="solid">
          <bgColor rgb="FFFFF1D6"/>
        </patternFill>
      </fill>
      <border/>
    </dxf>
    <dxf>
      <font>
        <b val="1"/>
        <color rgb="FF5A6472"/>
      </font>
      <fill>
        <patternFill patternType="solid">
          <bgColor rgb="FFF2F4F7"/>
        </patternFill>
      </fill>
      <border/>
    </dxf>
    <dxf>
      <font>
        <b val="1"/>
        <color rgb="FFB01212"/>
      </font>
      <fill>
        <patternFill patternType="solid">
          <bgColor rgb="FFFCE4E4"/>
        </patternFill>
      </fill>
      <border/>
    </dxf>
    <dxf>
      <font>
        <b val="1"/>
        <color rgb="FF9A6100"/>
      </font>
      <fill>
        <patternFill patternType="solid">
          <bgColor rgb="FFFFF1D6"/>
        </patternFill>
      </fill>
      <border/>
    </dxf>
    <dxf>
      <font>
        <b val="1"/>
        <color rgb="FF5A6472"/>
      </font>
      <fill>
        <patternFill patternType="solid">
          <bgColor rgb="FFF2F4F7"/>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6"/>
  <sheetViews>
    <sheetView tabSelected="1" workbookViewId="0" showGridLines="false" showRowColHeaders="1">
      <selection activeCell="A1" sqref="A1"/>
    </sheetView>
  </sheetViews>
  <sheetFormatPr defaultRowHeight="14.4" outlineLevelRow="0" outlineLevelCol="0"/>
  <cols>
    <col min="1" max="1" width="3" customWidth="true" style="0"/>
    <col min="2" max="2" width="30" customWidth="true" style="0"/>
    <col min="3" max="3" width="95" customWidth="true" style="0"/>
  </cols>
  <sheetData>
    <row r="2" spans="1:3">
      <c r="B2" s="2" t="s">
        <v>0</v>
      </c>
    </row>
    <row r="4" spans="1:3">
      <c r="B4" s="3" t="s">
        <v>1</v>
      </c>
    </row>
    <row r="6" spans="1:3">
      <c r="B6" s="4" t="s">
        <v>2</v>
      </c>
      <c r="C6" s="5" t="s">
        <v>3</v>
      </c>
    </row>
    <row r="7" spans="1:3">
      <c r="B7" s="4" t="s">
        <v>4</v>
      </c>
      <c r="C7" s="5">
        <v>1.0</v>
      </c>
    </row>
    <row r="8" spans="1:3">
      <c r="B8" s="4" t="s">
        <v>5</v>
      </c>
      <c r="C8" s="5" t="s">
        <v>6</v>
      </c>
    </row>
    <row r="9" spans="1:3">
      <c r="B9" s="4" t="s">
        <v>7</v>
      </c>
      <c r="C9" s="5">
        <v>642</v>
      </c>
    </row>
    <row r="10" spans="1:3">
      <c r="B10" s="4" t="s">
        <v>8</v>
      </c>
      <c r="C10" s="5" t="s">
        <v>9</v>
      </c>
    </row>
    <row r="11" spans="1:3" customHeight="1" ht="58">
      <c r="B11" s="4" t="s">
        <v>10</v>
      </c>
      <c r="C11" s="5" t="s">
        <v>11</v>
      </c>
    </row>
    <row r="12" spans="1:3" customHeight="1" ht="30">
      <c r="B12" s="4" t="s">
        <v>12</v>
      </c>
      <c r="C12" s="5" t="s">
        <v>13</v>
      </c>
    </row>
    <row r="14" spans="1:3">
      <c r="B14" s="6" t="s">
        <v>14</v>
      </c>
    </row>
    <row r="15" spans="1:3" customHeight="1" ht="30">
      <c r="B15" s="1" t="s">
        <v>15</v>
      </c>
      <c r="C15" s="5" t="s">
        <v>16</v>
      </c>
    </row>
    <row r="16" spans="1:3" customHeight="1" ht="30">
      <c r="B16" s="1" t="s">
        <v>17</v>
      </c>
      <c r="C16" s="5" t="s">
        <v>18</v>
      </c>
    </row>
    <row r="17" spans="1:3" customHeight="1" ht="30">
      <c r="B17" s="1" t="s">
        <v>19</v>
      </c>
      <c r="C17" s="5" t="s">
        <v>20</v>
      </c>
    </row>
    <row r="18" spans="1:3" customHeight="1" ht="30">
      <c r="B18" s="1" t="s">
        <v>21</v>
      </c>
      <c r="C18" s="5" t="s">
        <v>22</v>
      </c>
    </row>
    <row r="19" spans="1:3" customHeight="1" ht="30">
      <c r="B19" s="1" t="s">
        <v>23</v>
      </c>
      <c r="C19" s="5" t="s">
        <v>24</v>
      </c>
    </row>
    <row r="20" spans="1:3" customHeight="1" ht="30">
      <c r="B20" s="1" t="s">
        <v>25</v>
      </c>
      <c r="C20" s="5" t="s">
        <v>26</v>
      </c>
    </row>
    <row r="21" spans="1:3" customHeight="1" ht="30">
      <c r="B21" s="1" t="s">
        <v>27</v>
      </c>
      <c r="C21" s="5" t="s">
        <v>28</v>
      </c>
    </row>
    <row r="22" spans="1:3" customHeight="1" ht="30">
      <c r="B22" s="1" t="s">
        <v>29</v>
      </c>
      <c r="C22" s="5" t="s">
        <v>30</v>
      </c>
    </row>
    <row r="23" spans="1:3" customHeight="1" ht="30">
      <c r="B23" s="1" t="s">
        <v>31</v>
      </c>
      <c r="C23" s="5" t="s">
        <v>32</v>
      </c>
    </row>
    <row r="25" spans="1:3">
      <c r="B25" s="7" t="s">
        <v>33</v>
      </c>
    </row>
    <row r="26" spans="1:3" customHeight="1" ht="46">
      <c r="B26" s="8" t="s">
        <v>34</v>
      </c>
    </row>
  </sheetData>
  <mergeCells>
    <mergeCell ref="B2:C3"/>
    <mergeCell ref="B4:C4"/>
    <mergeCell ref="B25:C25"/>
    <mergeCell ref="B26:C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pageSetUpPr fitToPage="1"/>
  </sheetPr>
  <dimension ref="A1:O643"/>
  <sheetViews>
    <sheetView tabSelected="0" workbookViewId="0" showGridLines="true" showRowColHeaders="1">
      <pane xSplit="3" ySplit="1" topLeftCell="D2" activePane="bottomRight" state="frozen"/>
      <selection pane="topRight"/>
      <selection pane="bottomLeft"/>
      <selection pane="bottomRight" activeCell="J2" sqref="J2:J643"/>
    </sheetView>
  </sheetViews>
  <sheetFormatPr defaultRowHeight="14.4" outlineLevelRow="0" outlineLevelCol="0"/>
  <cols>
    <col min="1" max="1" width="14" customWidth="true" style="0"/>
    <col min="2" max="2" width="22" customWidth="true" style="0"/>
    <col min="3" max="3" width="28" customWidth="true" style="0"/>
    <col min="4" max="4" width="40" customWidth="true" style="0"/>
    <col min="5" max="5" width="32" customWidth="true" style="0"/>
    <col min="6" max="6" width="52" customWidth="true" style="0"/>
    <col min="7" max="7" width="34" customWidth="true" style="0"/>
    <col min="8" max="8" width="56" customWidth="true" style="0"/>
    <col min="9" max="9" width="26" customWidth="true" style="0"/>
    <col min="10" max="10" width="10" customWidth="true" style="0"/>
    <col min="11" max="11" width="11" customWidth="true" style="0"/>
    <col min="12" max="12" width="22" customWidth="true" style="0"/>
    <col min="13" max="13" width="26" customWidth="true" style="0"/>
    <col min="14" max="14" width="14" customWidth="true" style="0"/>
    <col min="15" max="15" width="34" customWidth="true" style="0"/>
  </cols>
  <sheetData>
    <row r="1" spans="1:15" customHeight="1" ht="34">
      <c r="A1" s="9" t="s">
        <v>35</v>
      </c>
      <c r="B1" s="9" t="s">
        <v>36</v>
      </c>
      <c r="C1" s="9" t="s">
        <v>37</v>
      </c>
      <c r="D1" s="9" t="s">
        <v>38</v>
      </c>
      <c r="E1" s="9" t="s">
        <v>39</v>
      </c>
      <c r="F1" s="9" t="s">
        <v>40</v>
      </c>
      <c r="G1" s="9" t="s">
        <v>27</v>
      </c>
      <c r="H1" s="9" t="s">
        <v>41</v>
      </c>
      <c r="I1" s="9" t="s">
        <v>42</v>
      </c>
      <c r="J1" s="9" t="s">
        <v>19</v>
      </c>
      <c r="K1" s="9" t="s">
        <v>21</v>
      </c>
      <c r="L1" s="9" t="s">
        <v>43</v>
      </c>
      <c r="M1" s="9" t="s">
        <v>44</v>
      </c>
      <c r="N1" s="9" t="s">
        <v>45</v>
      </c>
      <c r="O1" s="9" t="s">
        <v>46</v>
      </c>
    </row>
    <row r="2" spans="1:15">
      <c r="A2" s="15" t="s">
        <v>47</v>
      </c>
      <c r="B2" s="16" t="s">
        <v>48</v>
      </c>
      <c r="C2" s="16" t="s">
        <v>49</v>
      </c>
      <c r="D2" s="16" t="s">
        <v>50</v>
      </c>
      <c r="E2" s="16" t="s">
        <v>51</v>
      </c>
      <c r="F2" s="16" t="s">
        <v>52</v>
      </c>
      <c r="G2" s="16" t="s">
        <v>53</v>
      </c>
      <c r="H2" s="16" t="s">
        <v>54</v>
      </c>
      <c r="I2" s="16"/>
      <c r="J2" s="17" t="s">
        <v>55</v>
      </c>
      <c r="K2" s="17" t="s">
        <v>56</v>
      </c>
      <c r="L2" s="17" t="s">
        <v>57</v>
      </c>
      <c r="M2" s="16" t="s">
        <v>58</v>
      </c>
      <c r="N2" s="18" t="s">
        <v>59</v>
      </c>
      <c r="O2" s="16"/>
    </row>
    <row r="3" spans="1:15">
      <c r="A3" s="15" t="s">
        <v>60</v>
      </c>
      <c r="B3" s="16" t="s">
        <v>48</v>
      </c>
      <c r="C3" s="16" t="s">
        <v>61</v>
      </c>
      <c r="D3" s="16" t="s">
        <v>62</v>
      </c>
      <c r="E3" s="16" t="s">
        <v>63</v>
      </c>
      <c r="F3" s="16" t="s">
        <v>64</v>
      </c>
      <c r="G3" s="16" t="s">
        <v>65</v>
      </c>
      <c r="H3" s="16" t="s">
        <v>66</v>
      </c>
      <c r="I3" s="16"/>
      <c r="J3" s="17" t="s">
        <v>55</v>
      </c>
      <c r="K3" s="17" t="s">
        <v>67</v>
      </c>
      <c r="L3" s="17" t="s">
        <v>57</v>
      </c>
      <c r="M3" s="16" t="s">
        <v>58</v>
      </c>
      <c r="N3" s="18" t="s">
        <v>59</v>
      </c>
      <c r="O3" s="16"/>
    </row>
    <row r="4" spans="1:15">
      <c r="A4" s="15" t="s">
        <v>68</v>
      </c>
      <c r="B4" s="16" t="s">
        <v>48</v>
      </c>
      <c r="C4" s="16" t="s">
        <v>69</v>
      </c>
      <c r="D4" s="16" t="s">
        <v>70</v>
      </c>
      <c r="E4" s="16" t="s">
        <v>63</v>
      </c>
      <c r="F4" s="16" t="s">
        <v>71</v>
      </c>
      <c r="G4" s="16" t="s">
        <v>72</v>
      </c>
      <c r="H4" s="16" t="s">
        <v>73</v>
      </c>
      <c r="I4" s="16"/>
      <c r="J4" s="17" t="s">
        <v>55</v>
      </c>
      <c r="K4" s="17" t="s">
        <v>67</v>
      </c>
      <c r="L4" s="17" t="s">
        <v>57</v>
      </c>
      <c r="M4" s="16" t="s">
        <v>58</v>
      </c>
      <c r="N4" s="18" t="s">
        <v>59</v>
      </c>
      <c r="O4" s="16"/>
    </row>
    <row r="5" spans="1:15">
      <c r="A5" s="15" t="s">
        <v>74</v>
      </c>
      <c r="B5" s="16" t="s">
        <v>48</v>
      </c>
      <c r="C5" s="16" t="s">
        <v>75</v>
      </c>
      <c r="D5" s="16" t="s">
        <v>76</v>
      </c>
      <c r="E5" s="16" t="s">
        <v>77</v>
      </c>
      <c r="F5" s="16" t="s">
        <v>78</v>
      </c>
      <c r="G5" s="16" t="s">
        <v>79</v>
      </c>
      <c r="H5" s="16" t="s">
        <v>80</v>
      </c>
      <c r="I5" s="16"/>
      <c r="J5" s="17" t="s">
        <v>55</v>
      </c>
      <c r="K5" s="17" t="s">
        <v>67</v>
      </c>
      <c r="L5" s="17" t="s">
        <v>81</v>
      </c>
      <c r="M5" s="16" t="s">
        <v>58</v>
      </c>
      <c r="N5" s="18" t="s">
        <v>59</v>
      </c>
      <c r="O5" s="16"/>
    </row>
    <row r="6" spans="1:15">
      <c r="A6" s="15" t="s">
        <v>82</v>
      </c>
      <c r="B6" s="16" t="s">
        <v>48</v>
      </c>
      <c r="C6" s="16" t="s">
        <v>83</v>
      </c>
      <c r="D6" s="16" t="s">
        <v>84</v>
      </c>
      <c r="E6" s="16" t="s">
        <v>77</v>
      </c>
      <c r="F6" s="16" t="s">
        <v>85</v>
      </c>
      <c r="G6" s="16" t="s">
        <v>86</v>
      </c>
      <c r="H6" s="16" t="s">
        <v>87</v>
      </c>
      <c r="I6" s="16"/>
      <c r="J6" s="17" t="s">
        <v>55</v>
      </c>
      <c r="K6" s="17" t="s">
        <v>67</v>
      </c>
      <c r="L6" s="17" t="s">
        <v>81</v>
      </c>
      <c r="M6" s="16" t="s">
        <v>58</v>
      </c>
      <c r="N6" s="18" t="s">
        <v>59</v>
      </c>
      <c r="O6" s="16"/>
    </row>
    <row r="7" spans="1:15">
      <c r="A7" s="15" t="s">
        <v>88</v>
      </c>
      <c r="B7" s="16" t="s">
        <v>48</v>
      </c>
      <c r="C7" s="16" t="s">
        <v>89</v>
      </c>
      <c r="D7" s="16" t="s">
        <v>90</v>
      </c>
      <c r="E7" s="16" t="s">
        <v>77</v>
      </c>
      <c r="F7" s="16" t="s">
        <v>91</v>
      </c>
      <c r="G7" s="16" t="s">
        <v>92</v>
      </c>
      <c r="H7" s="16" t="s">
        <v>93</v>
      </c>
      <c r="I7" s="16"/>
      <c r="J7" s="17" t="s">
        <v>55</v>
      </c>
      <c r="K7" s="17" t="s">
        <v>67</v>
      </c>
      <c r="L7" s="17" t="s">
        <v>81</v>
      </c>
      <c r="M7" s="16" t="s">
        <v>58</v>
      </c>
      <c r="N7" s="18" t="s">
        <v>59</v>
      </c>
      <c r="O7" s="16"/>
    </row>
    <row r="8" spans="1:15">
      <c r="A8" s="15" t="s">
        <v>94</v>
      </c>
      <c r="B8" s="16" t="s">
        <v>48</v>
      </c>
      <c r="C8" s="16" t="s">
        <v>95</v>
      </c>
      <c r="D8" s="16" t="s">
        <v>96</v>
      </c>
      <c r="E8" s="16" t="s">
        <v>77</v>
      </c>
      <c r="F8" s="16" t="s">
        <v>97</v>
      </c>
      <c r="G8" s="16" t="s">
        <v>98</v>
      </c>
      <c r="H8" s="16" t="s">
        <v>99</v>
      </c>
      <c r="I8" s="16"/>
      <c r="J8" s="17" t="s">
        <v>100</v>
      </c>
      <c r="K8" s="17" t="s">
        <v>101</v>
      </c>
      <c r="L8" s="17" t="s">
        <v>102</v>
      </c>
      <c r="M8" s="16" t="s">
        <v>58</v>
      </c>
      <c r="N8" s="18" t="s">
        <v>59</v>
      </c>
      <c r="O8" s="16"/>
    </row>
    <row r="9" spans="1:15">
      <c r="A9" s="15" t="s">
        <v>103</v>
      </c>
      <c r="B9" s="16" t="s">
        <v>48</v>
      </c>
      <c r="C9" s="16" t="s">
        <v>104</v>
      </c>
      <c r="D9" s="16" t="s">
        <v>105</v>
      </c>
      <c r="E9" s="16" t="s">
        <v>106</v>
      </c>
      <c r="F9" s="16" t="s">
        <v>107</v>
      </c>
      <c r="G9" s="16" t="s">
        <v>108</v>
      </c>
      <c r="H9" s="16" t="s">
        <v>109</v>
      </c>
      <c r="I9" s="16"/>
      <c r="J9" s="17" t="s">
        <v>55</v>
      </c>
      <c r="K9" s="17" t="s">
        <v>67</v>
      </c>
      <c r="L9" s="17" t="s">
        <v>110</v>
      </c>
      <c r="M9" s="16" t="s">
        <v>58</v>
      </c>
      <c r="N9" s="18" t="s">
        <v>59</v>
      </c>
      <c r="O9" s="16"/>
    </row>
    <row r="10" spans="1:15">
      <c r="A10" s="15" t="s">
        <v>111</v>
      </c>
      <c r="B10" s="16" t="s">
        <v>48</v>
      </c>
      <c r="C10" s="16" t="s">
        <v>112</v>
      </c>
      <c r="D10" s="16" t="s">
        <v>113</v>
      </c>
      <c r="E10" s="16" t="s">
        <v>114</v>
      </c>
      <c r="F10" s="16" t="s">
        <v>115</v>
      </c>
      <c r="G10" s="16" t="s">
        <v>116</v>
      </c>
      <c r="H10" s="16" t="s">
        <v>117</v>
      </c>
      <c r="I10" s="16"/>
      <c r="J10" s="17" t="s">
        <v>100</v>
      </c>
      <c r="K10" s="17" t="s">
        <v>67</v>
      </c>
      <c r="L10" s="17" t="s">
        <v>118</v>
      </c>
      <c r="M10" s="16" t="s">
        <v>58</v>
      </c>
      <c r="N10" s="18" t="s">
        <v>59</v>
      </c>
      <c r="O10" s="16"/>
    </row>
    <row r="11" spans="1:15">
      <c r="A11" s="15" t="s">
        <v>119</v>
      </c>
      <c r="B11" s="16" t="s">
        <v>48</v>
      </c>
      <c r="C11" s="16" t="s">
        <v>120</v>
      </c>
      <c r="D11" s="16" t="s">
        <v>121</v>
      </c>
      <c r="E11" s="16" t="s">
        <v>122</v>
      </c>
      <c r="F11" s="16" t="s">
        <v>123</v>
      </c>
      <c r="G11" s="16" t="s">
        <v>124</v>
      </c>
      <c r="H11" s="16" t="s">
        <v>125</v>
      </c>
      <c r="I11" s="16"/>
      <c r="J11" s="17" t="s">
        <v>100</v>
      </c>
      <c r="K11" s="17" t="s">
        <v>101</v>
      </c>
      <c r="L11" s="17" t="s">
        <v>81</v>
      </c>
      <c r="M11" s="16" t="s">
        <v>58</v>
      </c>
      <c r="N11" s="18" t="s">
        <v>59</v>
      </c>
      <c r="O11" s="16"/>
    </row>
    <row r="12" spans="1:15">
      <c r="A12" s="15" t="s">
        <v>126</v>
      </c>
      <c r="B12" s="16" t="s">
        <v>48</v>
      </c>
      <c r="C12" s="16" t="s">
        <v>127</v>
      </c>
      <c r="D12" s="16" t="s">
        <v>128</v>
      </c>
      <c r="E12" s="16" t="s">
        <v>129</v>
      </c>
      <c r="F12" s="16" t="s">
        <v>130</v>
      </c>
      <c r="G12" s="16" t="s">
        <v>131</v>
      </c>
      <c r="H12" s="16" t="s">
        <v>132</v>
      </c>
      <c r="I12" s="16"/>
      <c r="J12" s="17" t="s">
        <v>100</v>
      </c>
      <c r="K12" s="17" t="s">
        <v>101</v>
      </c>
      <c r="L12" s="17" t="s">
        <v>81</v>
      </c>
      <c r="M12" s="16" t="s">
        <v>58</v>
      </c>
      <c r="N12" s="18" t="s">
        <v>59</v>
      </c>
      <c r="O12" s="16"/>
    </row>
    <row r="13" spans="1:15">
      <c r="A13" s="15" t="s">
        <v>133</v>
      </c>
      <c r="B13" s="16" t="s">
        <v>48</v>
      </c>
      <c r="C13" s="16" t="s">
        <v>134</v>
      </c>
      <c r="D13" s="16" t="s">
        <v>135</v>
      </c>
      <c r="E13" s="16" t="s">
        <v>136</v>
      </c>
      <c r="F13" s="16" t="s">
        <v>137</v>
      </c>
      <c r="G13" s="16" t="s">
        <v>138</v>
      </c>
      <c r="H13" s="16" t="s">
        <v>139</v>
      </c>
      <c r="I13" s="16"/>
      <c r="J13" s="17" t="s">
        <v>55</v>
      </c>
      <c r="K13" s="17" t="s">
        <v>56</v>
      </c>
      <c r="L13" s="17" t="s">
        <v>140</v>
      </c>
      <c r="M13" s="16" t="s">
        <v>141</v>
      </c>
      <c r="N13" s="18" t="s">
        <v>59</v>
      </c>
      <c r="O13" s="16" t="s">
        <v>142</v>
      </c>
    </row>
    <row r="14" spans="1:15">
      <c r="A14" s="15" t="s">
        <v>143</v>
      </c>
      <c r="B14" s="16" t="s">
        <v>48</v>
      </c>
      <c r="C14" s="16" t="s">
        <v>144</v>
      </c>
      <c r="D14" s="16" t="s">
        <v>145</v>
      </c>
      <c r="E14" s="16" t="s">
        <v>77</v>
      </c>
      <c r="F14" s="16" t="s">
        <v>146</v>
      </c>
      <c r="G14" s="16" t="s">
        <v>147</v>
      </c>
      <c r="H14" s="16" t="s">
        <v>148</v>
      </c>
      <c r="I14" s="16"/>
      <c r="J14" s="17" t="s">
        <v>100</v>
      </c>
      <c r="K14" s="17" t="s">
        <v>101</v>
      </c>
      <c r="L14" s="17" t="s">
        <v>149</v>
      </c>
      <c r="M14" s="16" t="s">
        <v>58</v>
      </c>
      <c r="N14" s="18" t="s">
        <v>59</v>
      </c>
      <c r="O14" s="16"/>
    </row>
    <row r="15" spans="1:15">
      <c r="A15" s="15" t="s">
        <v>150</v>
      </c>
      <c r="B15" s="16" t="s">
        <v>48</v>
      </c>
      <c r="C15" s="16" t="s">
        <v>151</v>
      </c>
      <c r="D15" s="16" t="s">
        <v>152</v>
      </c>
      <c r="E15" s="16" t="s">
        <v>77</v>
      </c>
      <c r="F15" s="16" t="s">
        <v>153</v>
      </c>
      <c r="G15" s="16" t="s">
        <v>154</v>
      </c>
      <c r="H15" s="16" t="s">
        <v>155</v>
      </c>
      <c r="I15" s="16"/>
      <c r="J15" s="17" t="s">
        <v>55</v>
      </c>
      <c r="K15" s="17" t="s">
        <v>56</v>
      </c>
      <c r="L15" s="17" t="s">
        <v>156</v>
      </c>
      <c r="M15" s="16" t="s">
        <v>58</v>
      </c>
      <c r="N15" s="18" t="s">
        <v>59</v>
      </c>
      <c r="O15" s="16"/>
    </row>
    <row r="16" spans="1:15">
      <c r="A16" s="15" t="s">
        <v>157</v>
      </c>
      <c r="B16" s="16" t="s">
        <v>48</v>
      </c>
      <c r="C16" s="16" t="s">
        <v>158</v>
      </c>
      <c r="D16" s="16" t="s">
        <v>159</v>
      </c>
      <c r="E16" s="16" t="s">
        <v>160</v>
      </c>
      <c r="F16" s="16" t="s">
        <v>161</v>
      </c>
      <c r="G16" s="16" t="s">
        <v>162</v>
      </c>
      <c r="H16" s="16" t="s">
        <v>163</v>
      </c>
      <c r="I16" s="16"/>
      <c r="J16" s="17" t="s">
        <v>55</v>
      </c>
      <c r="K16" s="17" t="s">
        <v>56</v>
      </c>
      <c r="L16" s="17" t="s">
        <v>57</v>
      </c>
      <c r="M16" s="16" t="s">
        <v>58</v>
      </c>
      <c r="N16" s="18" t="s">
        <v>59</v>
      </c>
      <c r="O16" s="16"/>
    </row>
    <row r="17" spans="1:15">
      <c r="A17" s="15" t="s">
        <v>164</v>
      </c>
      <c r="B17" s="16" t="s">
        <v>48</v>
      </c>
      <c r="C17" s="16" t="s">
        <v>165</v>
      </c>
      <c r="D17" s="16" t="s">
        <v>166</v>
      </c>
      <c r="E17" s="16" t="s">
        <v>167</v>
      </c>
      <c r="F17" s="16" t="s">
        <v>168</v>
      </c>
      <c r="G17" s="16" t="s">
        <v>169</v>
      </c>
      <c r="H17" s="16" t="s">
        <v>170</v>
      </c>
      <c r="I17" s="16"/>
      <c r="J17" s="17" t="s">
        <v>55</v>
      </c>
      <c r="K17" s="17" t="s">
        <v>67</v>
      </c>
      <c r="L17" s="17" t="s">
        <v>110</v>
      </c>
      <c r="M17" s="16" t="s">
        <v>58</v>
      </c>
      <c r="N17" s="18" t="s">
        <v>59</v>
      </c>
      <c r="O17" s="16"/>
    </row>
    <row r="18" spans="1:15">
      <c r="A18" s="15" t="s">
        <v>171</v>
      </c>
      <c r="B18" s="16" t="s">
        <v>48</v>
      </c>
      <c r="C18" s="16" t="s">
        <v>172</v>
      </c>
      <c r="D18" s="16" t="s">
        <v>173</v>
      </c>
      <c r="E18" s="16" t="s">
        <v>167</v>
      </c>
      <c r="F18" s="16" t="s">
        <v>174</v>
      </c>
      <c r="G18" s="16" t="s">
        <v>175</v>
      </c>
      <c r="H18" s="16" t="s">
        <v>176</v>
      </c>
      <c r="I18" s="16"/>
      <c r="J18" s="17" t="s">
        <v>55</v>
      </c>
      <c r="K18" s="17" t="s">
        <v>56</v>
      </c>
      <c r="L18" s="17" t="s">
        <v>140</v>
      </c>
      <c r="M18" s="16" t="s">
        <v>141</v>
      </c>
      <c r="N18" s="18" t="s">
        <v>59</v>
      </c>
      <c r="O18" s="16" t="s">
        <v>177</v>
      </c>
    </row>
    <row r="19" spans="1:15">
      <c r="A19" s="15" t="s">
        <v>178</v>
      </c>
      <c r="B19" s="16" t="s">
        <v>48</v>
      </c>
      <c r="C19" s="16" t="s">
        <v>179</v>
      </c>
      <c r="D19" s="16" t="s">
        <v>180</v>
      </c>
      <c r="E19" s="16" t="s">
        <v>181</v>
      </c>
      <c r="F19" s="16" t="s">
        <v>182</v>
      </c>
      <c r="G19" s="16" t="s">
        <v>183</v>
      </c>
      <c r="H19" s="16" t="s">
        <v>184</v>
      </c>
      <c r="I19" s="16"/>
      <c r="J19" s="17" t="s">
        <v>100</v>
      </c>
      <c r="K19" s="17" t="s">
        <v>67</v>
      </c>
      <c r="L19" s="17" t="s">
        <v>185</v>
      </c>
      <c r="M19" s="16" t="s">
        <v>58</v>
      </c>
      <c r="N19" s="18" t="s">
        <v>59</v>
      </c>
      <c r="O19" s="16"/>
    </row>
    <row r="20" spans="1:15">
      <c r="A20" s="15" t="s">
        <v>186</v>
      </c>
      <c r="B20" s="16" t="s">
        <v>48</v>
      </c>
      <c r="C20" s="16" t="s">
        <v>187</v>
      </c>
      <c r="D20" s="16" t="s">
        <v>188</v>
      </c>
      <c r="E20" s="16" t="s">
        <v>189</v>
      </c>
      <c r="F20" s="16" t="s">
        <v>190</v>
      </c>
      <c r="G20" s="16" t="s">
        <v>191</v>
      </c>
      <c r="H20" s="16" t="s">
        <v>192</v>
      </c>
      <c r="I20" s="16"/>
      <c r="J20" s="17" t="s">
        <v>55</v>
      </c>
      <c r="K20" s="17" t="s">
        <v>56</v>
      </c>
      <c r="L20" s="17" t="s">
        <v>57</v>
      </c>
      <c r="M20" s="16" t="s">
        <v>58</v>
      </c>
      <c r="N20" s="18" t="s">
        <v>59</v>
      </c>
      <c r="O20" s="16"/>
    </row>
    <row r="21" spans="1:15">
      <c r="A21" s="15" t="s">
        <v>193</v>
      </c>
      <c r="B21" s="16" t="s">
        <v>48</v>
      </c>
      <c r="C21" s="16" t="s">
        <v>194</v>
      </c>
      <c r="D21" s="16" t="s">
        <v>195</v>
      </c>
      <c r="E21" s="16" t="s">
        <v>196</v>
      </c>
      <c r="F21" s="16" t="s">
        <v>197</v>
      </c>
      <c r="G21" s="16" t="s">
        <v>198</v>
      </c>
      <c r="H21" s="16" t="s">
        <v>199</v>
      </c>
      <c r="I21" s="16"/>
      <c r="J21" s="17" t="s">
        <v>55</v>
      </c>
      <c r="K21" s="17" t="s">
        <v>56</v>
      </c>
      <c r="L21" s="17" t="s">
        <v>200</v>
      </c>
      <c r="M21" s="16" t="s">
        <v>58</v>
      </c>
      <c r="N21" s="18" t="s">
        <v>59</v>
      </c>
      <c r="O21" s="16"/>
    </row>
    <row r="22" spans="1:15">
      <c r="A22" s="15" t="s">
        <v>201</v>
      </c>
      <c r="B22" s="16" t="s">
        <v>48</v>
      </c>
      <c r="C22" s="16" t="s">
        <v>202</v>
      </c>
      <c r="D22" s="16" t="s">
        <v>203</v>
      </c>
      <c r="E22" s="16" t="s">
        <v>204</v>
      </c>
      <c r="F22" s="16" t="s">
        <v>205</v>
      </c>
      <c r="G22" s="16" t="s">
        <v>206</v>
      </c>
      <c r="H22" s="16" t="s">
        <v>207</v>
      </c>
      <c r="I22" s="16"/>
      <c r="J22" s="17" t="s">
        <v>55</v>
      </c>
      <c r="K22" s="17" t="s">
        <v>67</v>
      </c>
      <c r="L22" s="17" t="s">
        <v>140</v>
      </c>
      <c r="M22" s="16" t="s">
        <v>58</v>
      </c>
      <c r="N22" s="18" t="s">
        <v>59</v>
      </c>
      <c r="O22" s="16"/>
    </row>
    <row r="23" spans="1:15">
      <c r="A23" s="15" t="s">
        <v>208</v>
      </c>
      <c r="B23" s="16" t="s">
        <v>48</v>
      </c>
      <c r="C23" s="16" t="s">
        <v>209</v>
      </c>
      <c r="D23" s="16" t="s">
        <v>210</v>
      </c>
      <c r="E23" s="16" t="s">
        <v>211</v>
      </c>
      <c r="F23" s="16" t="s">
        <v>212</v>
      </c>
      <c r="G23" s="16" t="s">
        <v>213</v>
      </c>
      <c r="H23" s="16" t="s">
        <v>214</v>
      </c>
      <c r="I23" s="16"/>
      <c r="J23" s="17" t="s">
        <v>100</v>
      </c>
      <c r="K23" s="17" t="s">
        <v>67</v>
      </c>
      <c r="L23" s="17" t="s">
        <v>110</v>
      </c>
      <c r="M23" s="16" t="s">
        <v>58</v>
      </c>
      <c r="N23" s="18" t="s">
        <v>59</v>
      </c>
      <c r="O23" s="16"/>
    </row>
    <row r="24" spans="1:15">
      <c r="A24" s="15" t="s">
        <v>215</v>
      </c>
      <c r="B24" s="16" t="s">
        <v>48</v>
      </c>
      <c r="C24" s="16" t="s">
        <v>216</v>
      </c>
      <c r="D24" s="16" t="s">
        <v>217</v>
      </c>
      <c r="E24" s="16" t="s">
        <v>218</v>
      </c>
      <c r="F24" s="16" t="s">
        <v>212</v>
      </c>
      <c r="G24" s="16" t="s">
        <v>219</v>
      </c>
      <c r="H24" s="16" t="s">
        <v>220</v>
      </c>
      <c r="I24" s="16"/>
      <c r="J24" s="17" t="s">
        <v>55</v>
      </c>
      <c r="K24" s="17" t="s">
        <v>67</v>
      </c>
      <c r="L24" s="17" t="s">
        <v>110</v>
      </c>
      <c r="M24" s="16" t="s">
        <v>58</v>
      </c>
      <c r="N24" s="18" t="s">
        <v>59</v>
      </c>
      <c r="O24" s="16"/>
    </row>
    <row r="25" spans="1:15">
      <c r="A25" s="15" t="s">
        <v>221</v>
      </c>
      <c r="B25" s="16" t="s">
        <v>48</v>
      </c>
      <c r="C25" s="16" t="s">
        <v>222</v>
      </c>
      <c r="D25" s="16" t="s">
        <v>223</v>
      </c>
      <c r="E25" s="16" t="s">
        <v>224</v>
      </c>
      <c r="F25" s="16" t="s">
        <v>225</v>
      </c>
      <c r="G25" s="16" t="s">
        <v>226</v>
      </c>
      <c r="H25" s="16" t="s">
        <v>227</v>
      </c>
      <c r="I25" s="16"/>
      <c r="J25" s="17" t="s">
        <v>228</v>
      </c>
      <c r="K25" s="17" t="s">
        <v>101</v>
      </c>
      <c r="L25" s="17" t="s">
        <v>229</v>
      </c>
      <c r="M25" s="16" t="s">
        <v>141</v>
      </c>
      <c r="N25" s="18" t="s">
        <v>59</v>
      </c>
      <c r="O25" s="16"/>
    </row>
    <row r="26" spans="1:15">
      <c r="A26" s="15" t="s">
        <v>230</v>
      </c>
      <c r="B26" s="16" t="s">
        <v>48</v>
      </c>
      <c r="C26" s="16" t="s">
        <v>231</v>
      </c>
      <c r="D26" s="16" t="s">
        <v>232</v>
      </c>
      <c r="E26" s="16" t="s">
        <v>196</v>
      </c>
      <c r="F26" s="16" t="s">
        <v>233</v>
      </c>
      <c r="G26" s="16" t="s">
        <v>234</v>
      </c>
      <c r="H26" s="16" t="s">
        <v>235</v>
      </c>
      <c r="I26" s="16"/>
      <c r="J26" s="17" t="s">
        <v>55</v>
      </c>
      <c r="K26" s="17" t="s">
        <v>56</v>
      </c>
      <c r="L26" s="17" t="s">
        <v>236</v>
      </c>
      <c r="M26" s="16" t="s">
        <v>141</v>
      </c>
      <c r="N26" s="18" t="s">
        <v>59</v>
      </c>
      <c r="O26" s="16"/>
    </row>
    <row r="27" spans="1:15">
      <c r="A27" s="15" t="s">
        <v>237</v>
      </c>
      <c r="B27" s="16" t="s">
        <v>48</v>
      </c>
      <c r="C27" s="16" t="s">
        <v>238</v>
      </c>
      <c r="D27" s="16" t="s">
        <v>239</v>
      </c>
      <c r="E27" s="16" t="s">
        <v>240</v>
      </c>
      <c r="F27" s="16" t="s">
        <v>241</v>
      </c>
      <c r="G27" s="16" t="s">
        <v>242</v>
      </c>
      <c r="H27" s="16" t="s">
        <v>243</v>
      </c>
      <c r="I27" s="16"/>
      <c r="J27" s="17" t="s">
        <v>55</v>
      </c>
      <c r="K27" s="17" t="s">
        <v>56</v>
      </c>
      <c r="L27" s="17" t="s">
        <v>140</v>
      </c>
      <c r="M27" s="16" t="s">
        <v>58</v>
      </c>
      <c r="N27" s="18" t="s">
        <v>59</v>
      </c>
      <c r="O27" s="16"/>
    </row>
    <row r="28" spans="1:15">
      <c r="A28" s="15" t="s">
        <v>244</v>
      </c>
      <c r="B28" s="16" t="s">
        <v>48</v>
      </c>
      <c r="C28" s="16" t="s">
        <v>245</v>
      </c>
      <c r="D28" s="16" t="s">
        <v>246</v>
      </c>
      <c r="E28" s="16" t="s">
        <v>189</v>
      </c>
      <c r="F28" s="16" t="s">
        <v>247</v>
      </c>
      <c r="G28" s="16" t="s">
        <v>108</v>
      </c>
      <c r="H28" s="16" t="s">
        <v>248</v>
      </c>
      <c r="I28" s="16"/>
      <c r="J28" s="17" t="s">
        <v>100</v>
      </c>
      <c r="K28" s="17" t="s">
        <v>67</v>
      </c>
      <c r="L28" s="17" t="s">
        <v>57</v>
      </c>
      <c r="M28" s="16" t="s">
        <v>141</v>
      </c>
      <c r="N28" s="18" t="s">
        <v>59</v>
      </c>
      <c r="O28" s="16"/>
    </row>
    <row r="29" spans="1:15">
      <c r="A29" s="15" t="s">
        <v>249</v>
      </c>
      <c r="B29" s="16" t="s">
        <v>48</v>
      </c>
      <c r="C29" s="16" t="s">
        <v>250</v>
      </c>
      <c r="D29" s="16" t="s">
        <v>251</v>
      </c>
      <c r="E29" s="16" t="s">
        <v>252</v>
      </c>
      <c r="F29" s="16" t="s">
        <v>253</v>
      </c>
      <c r="G29" s="16" t="s">
        <v>254</v>
      </c>
      <c r="H29" s="16" t="s">
        <v>255</v>
      </c>
      <c r="I29" s="16"/>
      <c r="J29" s="17" t="s">
        <v>55</v>
      </c>
      <c r="K29" s="17" t="s">
        <v>56</v>
      </c>
      <c r="L29" s="17" t="s">
        <v>57</v>
      </c>
      <c r="M29" s="16" t="s">
        <v>141</v>
      </c>
      <c r="N29" s="18" t="s">
        <v>59</v>
      </c>
      <c r="O29" s="16"/>
    </row>
    <row r="30" spans="1:15">
      <c r="A30" s="15" t="s">
        <v>256</v>
      </c>
      <c r="B30" s="16" t="s">
        <v>48</v>
      </c>
      <c r="C30" s="16" t="s">
        <v>257</v>
      </c>
      <c r="D30" s="16" t="s">
        <v>258</v>
      </c>
      <c r="E30" s="16" t="s">
        <v>259</v>
      </c>
      <c r="F30" s="16" t="s">
        <v>260</v>
      </c>
      <c r="G30" s="16" t="s">
        <v>261</v>
      </c>
      <c r="H30" s="16" t="s">
        <v>262</v>
      </c>
      <c r="I30" s="16"/>
      <c r="J30" s="17" t="s">
        <v>55</v>
      </c>
      <c r="K30" s="17" t="s">
        <v>67</v>
      </c>
      <c r="L30" s="17" t="s">
        <v>200</v>
      </c>
      <c r="M30" s="16" t="s">
        <v>141</v>
      </c>
      <c r="N30" s="18" t="s">
        <v>59</v>
      </c>
      <c r="O30" s="16"/>
    </row>
    <row r="31" spans="1:15">
      <c r="A31" s="15" t="s">
        <v>263</v>
      </c>
      <c r="B31" s="16" t="s">
        <v>48</v>
      </c>
      <c r="C31" s="16" t="s">
        <v>264</v>
      </c>
      <c r="D31" s="16" t="s">
        <v>265</v>
      </c>
      <c r="E31" s="16" t="s">
        <v>266</v>
      </c>
      <c r="F31" s="16" t="s">
        <v>267</v>
      </c>
      <c r="G31" s="16" t="s">
        <v>268</v>
      </c>
      <c r="H31" s="16" t="s">
        <v>269</v>
      </c>
      <c r="I31" s="16"/>
      <c r="J31" s="17" t="s">
        <v>55</v>
      </c>
      <c r="K31" s="17" t="s">
        <v>56</v>
      </c>
      <c r="L31" s="17" t="s">
        <v>140</v>
      </c>
      <c r="M31" s="16" t="s">
        <v>141</v>
      </c>
      <c r="N31" s="18" t="s">
        <v>59</v>
      </c>
      <c r="O31" s="16"/>
    </row>
    <row r="32" spans="1:15">
      <c r="A32" s="15" t="s">
        <v>270</v>
      </c>
      <c r="B32" s="16" t="s">
        <v>48</v>
      </c>
      <c r="C32" s="16" t="s">
        <v>271</v>
      </c>
      <c r="D32" s="16" t="s">
        <v>272</v>
      </c>
      <c r="E32" s="16" t="s">
        <v>273</v>
      </c>
      <c r="F32" s="16" t="s">
        <v>274</v>
      </c>
      <c r="G32" s="16" t="s">
        <v>275</v>
      </c>
      <c r="H32" s="16" t="s">
        <v>276</v>
      </c>
      <c r="I32" s="16"/>
      <c r="J32" s="17" t="s">
        <v>55</v>
      </c>
      <c r="K32" s="17" t="s">
        <v>67</v>
      </c>
      <c r="L32" s="17" t="s">
        <v>57</v>
      </c>
      <c r="M32" s="16" t="s">
        <v>58</v>
      </c>
      <c r="N32" s="18" t="s">
        <v>59</v>
      </c>
      <c r="O32" s="16"/>
    </row>
    <row r="33" spans="1:15">
      <c r="A33" s="15" t="s">
        <v>277</v>
      </c>
      <c r="B33" s="16" t="s">
        <v>48</v>
      </c>
      <c r="C33" s="16" t="s">
        <v>278</v>
      </c>
      <c r="D33" s="16" t="s">
        <v>279</v>
      </c>
      <c r="E33" s="16" t="s">
        <v>280</v>
      </c>
      <c r="F33" s="16" t="s">
        <v>281</v>
      </c>
      <c r="G33" s="16" t="s">
        <v>282</v>
      </c>
      <c r="H33" s="16" t="s">
        <v>283</v>
      </c>
      <c r="I33" s="16"/>
      <c r="J33" s="17" t="s">
        <v>55</v>
      </c>
      <c r="K33" s="17" t="s">
        <v>56</v>
      </c>
      <c r="L33" s="17" t="s">
        <v>284</v>
      </c>
      <c r="M33" s="16" t="s">
        <v>58</v>
      </c>
      <c r="N33" s="18" t="s">
        <v>59</v>
      </c>
      <c r="O33" s="16"/>
    </row>
    <row r="34" spans="1:15">
      <c r="A34" s="15" t="s">
        <v>285</v>
      </c>
      <c r="B34" s="16" t="s">
        <v>48</v>
      </c>
      <c r="C34" s="16" t="s">
        <v>286</v>
      </c>
      <c r="D34" s="16" t="s">
        <v>287</v>
      </c>
      <c r="E34" s="16" t="s">
        <v>288</v>
      </c>
      <c r="F34" s="16" t="s">
        <v>289</v>
      </c>
      <c r="G34" s="16" t="s">
        <v>290</v>
      </c>
      <c r="H34" s="16" t="s">
        <v>291</v>
      </c>
      <c r="I34" s="16"/>
      <c r="J34" s="17" t="s">
        <v>55</v>
      </c>
      <c r="K34" s="17" t="s">
        <v>56</v>
      </c>
      <c r="L34" s="17" t="s">
        <v>200</v>
      </c>
      <c r="M34" s="16" t="s">
        <v>141</v>
      </c>
      <c r="N34" s="18" t="s">
        <v>59</v>
      </c>
      <c r="O34" s="16"/>
    </row>
    <row r="35" spans="1:15">
      <c r="A35" s="15" t="s">
        <v>292</v>
      </c>
      <c r="B35" s="16" t="s">
        <v>48</v>
      </c>
      <c r="C35" s="16" t="s">
        <v>293</v>
      </c>
      <c r="D35" s="16" t="s">
        <v>294</v>
      </c>
      <c r="E35" s="16" t="s">
        <v>295</v>
      </c>
      <c r="F35" s="16" t="s">
        <v>296</v>
      </c>
      <c r="G35" s="16" t="s">
        <v>297</v>
      </c>
      <c r="H35" s="16" t="s">
        <v>298</v>
      </c>
      <c r="I35" s="16"/>
      <c r="J35" s="17" t="s">
        <v>100</v>
      </c>
      <c r="K35" s="17" t="s">
        <v>67</v>
      </c>
      <c r="L35" s="17" t="s">
        <v>299</v>
      </c>
      <c r="M35" s="16" t="s">
        <v>300</v>
      </c>
      <c r="N35" s="18" t="s">
        <v>59</v>
      </c>
      <c r="O35" s="16"/>
    </row>
    <row r="36" spans="1:15">
      <c r="A36" s="15" t="s">
        <v>301</v>
      </c>
      <c r="B36" s="16" t="s">
        <v>48</v>
      </c>
      <c r="C36" s="16" t="s">
        <v>302</v>
      </c>
      <c r="D36" s="16" t="s">
        <v>303</v>
      </c>
      <c r="E36" s="16" t="s">
        <v>304</v>
      </c>
      <c r="F36" s="16" t="s">
        <v>305</v>
      </c>
      <c r="G36" s="16" t="s">
        <v>306</v>
      </c>
      <c r="H36" s="16" t="s">
        <v>307</v>
      </c>
      <c r="I36" s="16"/>
      <c r="J36" s="17" t="s">
        <v>100</v>
      </c>
      <c r="K36" s="17" t="s">
        <v>67</v>
      </c>
      <c r="L36" s="17" t="s">
        <v>308</v>
      </c>
      <c r="M36" s="16" t="s">
        <v>58</v>
      </c>
      <c r="N36" s="18" t="s">
        <v>59</v>
      </c>
      <c r="O36" s="16"/>
    </row>
    <row r="37" spans="1:15">
      <c r="A37" s="15" t="s">
        <v>309</v>
      </c>
      <c r="B37" s="16" t="s">
        <v>48</v>
      </c>
      <c r="C37" s="16" t="s">
        <v>310</v>
      </c>
      <c r="D37" s="16" t="s">
        <v>311</v>
      </c>
      <c r="E37" s="16" t="s">
        <v>196</v>
      </c>
      <c r="F37" s="16" t="s">
        <v>312</v>
      </c>
      <c r="G37" s="16" t="s">
        <v>313</v>
      </c>
      <c r="H37" s="16" t="s">
        <v>314</v>
      </c>
      <c r="I37" s="16"/>
      <c r="J37" s="17" t="s">
        <v>55</v>
      </c>
      <c r="K37" s="17" t="s">
        <v>67</v>
      </c>
      <c r="L37" s="17" t="s">
        <v>57</v>
      </c>
      <c r="M37" s="16" t="s">
        <v>58</v>
      </c>
      <c r="N37" s="18" t="s">
        <v>59</v>
      </c>
      <c r="O37" s="16"/>
    </row>
    <row r="38" spans="1:15">
      <c r="A38" s="15" t="s">
        <v>315</v>
      </c>
      <c r="B38" s="16" t="s">
        <v>48</v>
      </c>
      <c r="C38" s="16" t="s">
        <v>316</v>
      </c>
      <c r="D38" s="16" t="s">
        <v>317</v>
      </c>
      <c r="E38" s="16" t="s">
        <v>204</v>
      </c>
      <c r="F38" s="16" t="s">
        <v>318</v>
      </c>
      <c r="G38" s="16" t="s">
        <v>319</v>
      </c>
      <c r="H38" s="16" t="s">
        <v>320</v>
      </c>
      <c r="I38" s="16"/>
      <c r="J38" s="17" t="s">
        <v>55</v>
      </c>
      <c r="K38" s="17" t="s">
        <v>67</v>
      </c>
      <c r="L38" s="17" t="s">
        <v>140</v>
      </c>
      <c r="M38" s="16" t="s">
        <v>58</v>
      </c>
      <c r="N38" s="18" t="s">
        <v>59</v>
      </c>
      <c r="O38" s="16" t="s">
        <v>321</v>
      </c>
    </row>
    <row r="39" spans="1:15">
      <c r="A39" s="15" t="s">
        <v>322</v>
      </c>
      <c r="B39" s="16" t="s">
        <v>48</v>
      </c>
      <c r="C39" s="16" t="s">
        <v>323</v>
      </c>
      <c r="D39" s="16" t="s">
        <v>324</v>
      </c>
      <c r="E39" s="16" t="s">
        <v>325</v>
      </c>
      <c r="F39" s="16" t="s">
        <v>326</v>
      </c>
      <c r="G39" s="16" t="s">
        <v>327</v>
      </c>
      <c r="H39" s="16" t="s">
        <v>328</v>
      </c>
      <c r="I39" s="16"/>
      <c r="J39" s="17" t="s">
        <v>55</v>
      </c>
      <c r="K39" s="17" t="s">
        <v>56</v>
      </c>
      <c r="L39" s="17" t="s">
        <v>57</v>
      </c>
      <c r="M39" s="16" t="s">
        <v>58</v>
      </c>
      <c r="N39" s="18" t="s">
        <v>59</v>
      </c>
      <c r="O39" s="16"/>
    </row>
    <row r="40" spans="1:15">
      <c r="A40" s="15" t="s">
        <v>329</v>
      </c>
      <c r="B40" s="16" t="s">
        <v>48</v>
      </c>
      <c r="C40" s="16" t="s">
        <v>330</v>
      </c>
      <c r="D40" s="16" t="s">
        <v>331</v>
      </c>
      <c r="E40" s="16" t="s">
        <v>332</v>
      </c>
      <c r="F40" s="16" t="s">
        <v>333</v>
      </c>
      <c r="G40" s="16" t="s">
        <v>334</v>
      </c>
      <c r="H40" s="16" t="s">
        <v>335</v>
      </c>
      <c r="I40" s="16"/>
      <c r="J40" s="17" t="s">
        <v>55</v>
      </c>
      <c r="K40" s="17" t="s">
        <v>56</v>
      </c>
      <c r="L40" s="17" t="s">
        <v>140</v>
      </c>
      <c r="M40" s="16" t="s">
        <v>58</v>
      </c>
      <c r="N40" s="18" t="s">
        <v>59</v>
      </c>
      <c r="O40" s="16"/>
    </row>
    <row r="41" spans="1:15">
      <c r="A41" s="15" t="s">
        <v>336</v>
      </c>
      <c r="B41" s="16" t="s">
        <v>48</v>
      </c>
      <c r="C41" s="16" t="s">
        <v>337</v>
      </c>
      <c r="D41" s="16" t="s">
        <v>338</v>
      </c>
      <c r="E41" s="16" t="s">
        <v>339</v>
      </c>
      <c r="F41" s="16" t="s">
        <v>340</v>
      </c>
      <c r="G41" s="16" t="s">
        <v>341</v>
      </c>
      <c r="H41" s="16" t="s">
        <v>342</v>
      </c>
      <c r="I41" s="16"/>
      <c r="J41" s="17" t="s">
        <v>100</v>
      </c>
      <c r="K41" s="17" t="s">
        <v>67</v>
      </c>
      <c r="L41" s="17" t="s">
        <v>185</v>
      </c>
      <c r="M41" s="16" t="s">
        <v>58</v>
      </c>
      <c r="N41" s="18" t="s">
        <v>59</v>
      </c>
      <c r="O41" s="16"/>
    </row>
    <row r="42" spans="1:15">
      <c r="A42" s="15" t="s">
        <v>343</v>
      </c>
      <c r="B42" s="16" t="s">
        <v>48</v>
      </c>
      <c r="C42" s="16" t="s">
        <v>344</v>
      </c>
      <c r="D42" s="16" t="s">
        <v>345</v>
      </c>
      <c r="E42" s="16" t="s">
        <v>346</v>
      </c>
      <c r="F42" s="16" t="s">
        <v>347</v>
      </c>
      <c r="G42" s="16" t="s">
        <v>348</v>
      </c>
      <c r="H42" s="16" t="s">
        <v>349</v>
      </c>
      <c r="I42" s="16"/>
      <c r="J42" s="17" t="s">
        <v>100</v>
      </c>
      <c r="K42" s="17" t="s">
        <v>67</v>
      </c>
      <c r="L42" s="17" t="s">
        <v>229</v>
      </c>
      <c r="M42" s="16" t="s">
        <v>58</v>
      </c>
      <c r="N42" s="18" t="s">
        <v>59</v>
      </c>
      <c r="O42" s="16"/>
    </row>
    <row r="43" spans="1:15">
      <c r="A43" s="15" t="s">
        <v>350</v>
      </c>
      <c r="B43" s="16" t="s">
        <v>48</v>
      </c>
      <c r="C43" s="16" t="s">
        <v>351</v>
      </c>
      <c r="D43" s="16" t="s">
        <v>352</v>
      </c>
      <c r="E43" s="16" t="s">
        <v>353</v>
      </c>
      <c r="F43" s="16" t="s">
        <v>354</v>
      </c>
      <c r="G43" s="16" t="s">
        <v>355</v>
      </c>
      <c r="H43" s="16" t="s">
        <v>356</v>
      </c>
      <c r="I43" s="16"/>
      <c r="J43" s="17" t="s">
        <v>55</v>
      </c>
      <c r="K43" s="17" t="s">
        <v>56</v>
      </c>
      <c r="L43" s="17" t="s">
        <v>140</v>
      </c>
      <c r="M43" s="16" t="s">
        <v>141</v>
      </c>
      <c r="N43" s="18" t="s">
        <v>59</v>
      </c>
      <c r="O43" s="16"/>
    </row>
    <row r="44" spans="1:15">
      <c r="A44" s="15" t="s">
        <v>357</v>
      </c>
      <c r="B44" s="16" t="s">
        <v>48</v>
      </c>
      <c r="C44" s="16" t="s">
        <v>358</v>
      </c>
      <c r="D44" s="16" t="s">
        <v>359</v>
      </c>
      <c r="E44" s="16" t="s">
        <v>273</v>
      </c>
      <c r="F44" s="16" t="s">
        <v>360</v>
      </c>
      <c r="G44" s="16" t="s">
        <v>361</v>
      </c>
      <c r="H44" s="16" t="s">
        <v>362</v>
      </c>
      <c r="I44" s="16"/>
      <c r="J44" s="17" t="s">
        <v>55</v>
      </c>
      <c r="K44" s="17" t="s">
        <v>67</v>
      </c>
      <c r="L44" s="17" t="s">
        <v>57</v>
      </c>
      <c r="M44" s="16" t="s">
        <v>58</v>
      </c>
      <c r="N44" s="18" t="s">
        <v>59</v>
      </c>
      <c r="O44" s="16"/>
    </row>
    <row r="45" spans="1:15">
      <c r="A45" s="15" t="s">
        <v>363</v>
      </c>
      <c r="B45" s="16" t="s">
        <v>48</v>
      </c>
      <c r="C45" s="16" t="s">
        <v>364</v>
      </c>
      <c r="D45" s="16" t="s">
        <v>365</v>
      </c>
      <c r="E45" s="16" t="s">
        <v>273</v>
      </c>
      <c r="F45" s="16" t="s">
        <v>366</v>
      </c>
      <c r="G45" s="16" t="s">
        <v>367</v>
      </c>
      <c r="H45" s="16" t="s">
        <v>368</v>
      </c>
      <c r="I45" s="16"/>
      <c r="J45" s="17" t="s">
        <v>55</v>
      </c>
      <c r="K45" s="17" t="s">
        <v>56</v>
      </c>
      <c r="L45" s="17" t="s">
        <v>200</v>
      </c>
      <c r="M45" s="16" t="s">
        <v>58</v>
      </c>
      <c r="N45" s="18" t="s">
        <v>59</v>
      </c>
      <c r="O45" s="16"/>
    </row>
    <row r="46" spans="1:15">
      <c r="A46" s="15" t="s">
        <v>369</v>
      </c>
      <c r="B46" s="16" t="s">
        <v>48</v>
      </c>
      <c r="C46" s="16" t="s">
        <v>370</v>
      </c>
      <c r="D46" s="16" t="s">
        <v>371</v>
      </c>
      <c r="E46" s="16" t="s">
        <v>372</v>
      </c>
      <c r="F46" s="16" t="s">
        <v>373</v>
      </c>
      <c r="G46" s="16" t="s">
        <v>374</v>
      </c>
      <c r="H46" s="16" t="s">
        <v>375</v>
      </c>
      <c r="I46" s="16"/>
      <c r="J46" s="17" t="s">
        <v>100</v>
      </c>
      <c r="K46" s="17" t="s">
        <v>67</v>
      </c>
      <c r="L46" s="17" t="s">
        <v>376</v>
      </c>
      <c r="M46" s="16" t="s">
        <v>58</v>
      </c>
      <c r="N46" s="18" t="s">
        <v>59</v>
      </c>
      <c r="O46" s="16"/>
    </row>
    <row r="47" spans="1:15">
      <c r="A47" s="15" t="s">
        <v>377</v>
      </c>
      <c r="B47" s="16" t="s">
        <v>48</v>
      </c>
      <c r="C47" s="16" t="s">
        <v>378</v>
      </c>
      <c r="D47" s="16" t="s">
        <v>379</v>
      </c>
      <c r="E47" s="16" t="s">
        <v>380</v>
      </c>
      <c r="F47" s="16" t="s">
        <v>381</v>
      </c>
      <c r="G47" s="16" t="s">
        <v>382</v>
      </c>
      <c r="H47" s="16" t="s">
        <v>383</v>
      </c>
      <c r="I47" s="16"/>
      <c r="J47" s="17" t="s">
        <v>100</v>
      </c>
      <c r="K47" s="17" t="s">
        <v>67</v>
      </c>
      <c r="L47" s="17" t="s">
        <v>376</v>
      </c>
      <c r="M47" s="16" t="s">
        <v>58</v>
      </c>
      <c r="N47" s="18" t="s">
        <v>59</v>
      </c>
      <c r="O47" s="16"/>
    </row>
    <row r="48" spans="1:15">
      <c r="A48" s="15" t="s">
        <v>384</v>
      </c>
      <c r="B48" s="16" t="s">
        <v>48</v>
      </c>
      <c r="C48" s="16" t="s">
        <v>385</v>
      </c>
      <c r="D48" s="16" t="s">
        <v>386</v>
      </c>
      <c r="E48" s="16" t="s">
        <v>387</v>
      </c>
      <c r="F48" s="16" t="s">
        <v>388</v>
      </c>
      <c r="G48" s="16" t="s">
        <v>389</v>
      </c>
      <c r="H48" s="16" t="s">
        <v>390</v>
      </c>
      <c r="I48" s="16"/>
      <c r="J48" s="17" t="s">
        <v>100</v>
      </c>
      <c r="K48" s="17" t="s">
        <v>101</v>
      </c>
      <c r="L48" s="17" t="s">
        <v>391</v>
      </c>
      <c r="M48" s="16" t="s">
        <v>58</v>
      </c>
      <c r="N48" s="18" t="s">
        <v>59</v>
      </c>
      <c r="O48" s="16"/>
    </row>
    <row r="49" spans="1:15">
      <c r="A49" s="15" t="s">
        <v>392</v>
      </c>
      <c r="B49" s="16" t="s">
        <v>48</v>
      </c>
      <c r="C49" s="16" t="s">
        <v>393</v>
      </c>
      <c r="D49" s="16" t="s">
        <v>394</v>
      </c>
      <c r="E49" s="16" t="s">
        <v>395</v>
      </c>
      <c r="F49" s="16" t="s">
        <v>396</v>
      </c>
      <c r="G49" s="16" t="s">
        <v>397</v>
      </c>
      <c r="H49" s="16" t="s">
        <v>398</v>
      </c>
      <c r="I49" s="16"/>
      <c r="J49" s="17" t="s">
        <v>55</v>
      </c>
      <c r="K49" s="17" t="s">
        <v>56</v>
      </c>
      <c r="L49" s="17" t="s">
        <v>399</v>
      </c>
      <c r="M49" s="16" t="s">
        <v>58</v>
      </c>
      <c r="N49" s="18" t="s">
        <v>59</v>
      </c>
      <c r="O49" s="16"/>
    </row>
    <row r="50" spans="1:15">
      <c r="A50" s="15" t="s">
        <v>400</v>
      </c>
      <c r="B50" s="16" t="s">
        <v>48</v>
      </c>
      <c r="C50" s="16" t="s">
        <v>401</v>
      </c>
      <c r="D50" s="16" t="s">
        <v>402</v>
      </c>
      <c r="E50" s="16" t="s">
        <v>403</v>
      </c>
      <c r="F50" s="16" t="s">
        <v>404</v>
      </c>
      <c r="G50" s="16" t="s">
        <v>405</v>
      </c>
      <c r="H50" s="16" t="s">
        <v>406</v>
      </c>
      <c r="I50" s="16"/>
      <c r="J50" s="17" t="s">
        <v>228</v>
      </c>
      <c r="K50" s="17" t="s">
        <v>101</v>
      </c>
      <c r="L50" s="17" t="s">
        <v>110</v>
      </c>
      <c r="M50" s="16" t="s">
        <v>141</v>
      </c>
      <c r="N50" s="18" t="s">
        <v>59</v>
      </c>
      <c r="O50" s="16"/>
    </row>
    <row r="51" spans="1:15">
      <c r="A51" s="15" t="s">
        <v>407</v>
      </c>
      <c r="B51" s="16" t="s">
        <v>48</v>
      </c>
      <c r="C51" s="16" t="s">
        <v>408</v>
      </c>
      <c r="D51" s="16" t="s">
        <v>409</v>
      </c>
      <c r="E51" s="16" t="s">
        <v>273</v>
      </c>
      <c r="F51" s="16" t="s">
        <v>410</v>
      </c>
      <c r="G51" s="16" t="s">
        <v>411</v>
      </c>
      <c r="H51" s="16" t="s">
        <v>412</v>
      </c>
      <c r="I51" s="16"/>
      <c r="J51" s="17" t="s">
        <v>55</v>
      </c>
      <c r="K51" s="17" t="s">
        <v>67</v>
      </c>
      <c r="L51" s="17" t="s">
        <v>57</v>
      </c>
      <c r="M51" s="16" t="s">
        <v>58</v>
      </c>
      <c r="N51" s="18" t="s">
        <v>59</v>
      </c>
      <c r="O51" s="16"/>
    </row>
    <row r="52" spans="1:15">
      <c r="A52" s="15" t="s">
        <v>413</v>
      </c>
      <c r="B52" s="16" t="s">
        <v>48</v>
      </c>
      <c r="C52" s="16" t="s">
        <v>414</v>
      </c>
      <c r="D52" s="16" t="s">
        <v>415</v>
      </c>
      <c r="E52" s="16" t="s">
        <v>416</v>
      </c>
      <c r="F52" s="16" t="s">
        <v>417</v>
      </c>
      <c r="G52" s="16" t="s">
        <v>418</v>
      </c>
      <c r="H52" s="16" t="s">
        <v>419</v>
      </c>
      <c r="I52" s="16"/>
      <c r="J52" s="17" t="s">
        <v>100</v>
      </c>
      <c r="K52" s="17" t="s">
        <v>101</v>
      </c>
      <c r="L52" s="17" t="s">
        <v>308</v>
      </c>
      <c r="M52" s="16" t="s">
        <v>58</v>
      </c>
      <c r="N52" s="18" t="s">
        <v>59</v>
      </c>
      <c r="O52" s="16"/>
    </row>
    <row r="53" spans="1:15">
      <c r="A53" s="15" t="s">
        <v>420</v>
      </c>
      <c r="B53" s="16" t="s">
        <v>48</v>
      </c>
      <c r="C53" s="16" t="s">
        <v>421</v>
      </c>
      <c r="D53" s="16" t="s">
        <v>422</v>
      </c>
      <c r="E53" s="16" t="s">
        <v>423</v>
      </c>
      <c r="F53" s="16" t="s">
        <v>424</v>
      </c>
      <c r="G53" s="16" t="s">
        <v>425</v>
      </c>
      <c r="H53" s="16" t="s">
        <v>426</v>
      </c>
      <c r="I53" s="16"/>
      <c r="J53" s="17" t="s">
        <v>100</v>
      </c>
      <c r="K53" s="17" t="s">
        <v>67</v>
      </c>
      <c r="L53" s="17" t="s">
        <v>284</v>
      </c>
      <c r="M53" s="16" t="s">
        <v>58</v>
      </c>
      <c r="N53" s="18" t="s">
        <v>59</v>
      </c>
      <c r="O53" s="16"/>
    </row>
    <row r="54" spans="1:15">
      <c r="A54" s="15" t="s">
        <v>427</v>
      </c>
      <c r="B54" s="16" t="s">
        <v>48</v>
      </c>
      <c r="C54" s="16" t="s">
        <v>428</v>
      </c>
      <c r="D54" s="16" t="s">
        <v>429</v>
      </c>
      <c r="E54" s="16" t="s">
        <v>430</v>
      </c>
      <c r="F54" s="16" t="s">
        <v>431</v>
      </c>
      <c r="G54" s="16" t="s">
        <v>432</v>
      </c>
      <c r="H54" s="16" t="s">
        <v>433</v>
      </c>
      <c r="I54" s="16"/>
      <c r="J54" s="17" t="s">
        <v>100</v>
      </c>
      <c r="K54" s="17" t="s">
        <v>67</v>
      </c>
      <c r="L54" s="17" t="s">
        <v>284</v>
      </c>
      <c r="M54" s="16" t="s">
        <v>58</v>
      </c>
      <c r="N54" s="18" t="s">
        <v>59</v>
      </c>
      <c r="O54" s="16"/>
    </row>
    <row r="55" spans="1:15">
      <c r="A55" s="15" t="s">
        <v>434</v>
      </c>
      <c r="B55" s="16" t="s">
        <v>48</v>
      </c>
      <c r="C55" s="16" t="s">
        <v>435</v>
      </c>
      <c r="D55" s="16" t="s">
        <v>436</v>
      </c>
      <c r="E55" s="16" t="s">
        <v>437</v>
      </c>
      <c r="F55" s="16" t="s">
        <v>438</v>
      </c>
      <c r="G55" s="16" t="s">
        <v>439</v>
      </c>
      <c r="H55" s="16" t="s">
        <v>440</v>
      </c>
      <c r="I55" s="16"/>
      <c r="J55" s="17" t="s">
        <v>55</v>
      </c>
      <c r="K55" s="17" t="s">
        <v>56</v>
      </c>
      <c r="L55" s="17" t="s">
        <v>441</v>
      </c>
      <c r="M55" s="16" t="s">
        <v>141</v>
      </c>
      <c r="N55" s="18" t="s">
        <v>59</v>
      </c>
      <c r="O55" s="16"/>
    </row>
    <row r="56" spans="1:15">
      <c r="A56" s="15" t="s">
        <v>442</v>
      </c>
      <c r="B56" s="16" t="s">
        <v>48</v>
      </c>
      <c r="C56" s="16" t="s">
        <v>443</v>
      </c>
      <c r="D56" s="16" t="s">
        <v>444</v>
      </c>
      <c r="E56" s="16" t="s">
        <v>445</v>
      </c>
      <c r="F56" s="16" t="s">
        <v>446</v>
      </c>
      <c r="G56" s="16" t="s">
        <v>447</v>
      </c>
      <c r="H56" s="16" t="s">
        <v>448</v>
      </c>
      <c r="I56" s="16"/>
      <c r="J56" s="17" t="s">
        <v>100</v>
      </c>
      <c r="K56" s="17" t="s">
        <v>67</v>
      </c>
      <c r="L56" s="17" t="s">
        <v>185</v>
      </c>
      <c r="M56" s="16" t="s">
        <v>141</v>
      </c>
      <c r="N56" s="18" t="s">
        <v>59</v>
      </c>
      <c r="O56" s="16"/>
    </row>
    <row r="57" spans="1:15">
      <c r="A57" s="15" t="s">
        <v>449</v>
      </c>
      <c r="B57" s="16" t="s">
        <v>48</v>
      </c>
      <c r="C57" s="16" t="s">
        <v>450</v>
      </c>
      <c r="D57" s="16" t="s">
        <v>451</v>
      </c>
      <c r="E57" s="16" t="s">
        <v>452</v>
      </c>
      <c r="F57" s="16" t="s">
        <v>453</v>
      </c>
      <c r="G57" s="16" t="s">
        <v>454</v>
      </c>
      <c r="H57" s="16" t="s">
        <v>455</v>
      </c>
      <c r="I57" s="16"/>
      <c r="J57" s="17" t="s">
        <v>55</v>
      </c>
      <c r="K57" s="17" t="s">
        <v>456</v>
      </c>
      <c r="L57" s="17" t="s">
        <v>140</v>
      </c>
      <c r="M57" s="16" t="s">
        <v>141</v>
      </c>
      <c r="N57" s="18" t="s">
        <v>59</v>
      </c>
      <c r="O57" s="16"/>
    </row>
    <row r="58" spans="1:15">
      <c r="A58" s="15" t="s">
        <v>457</v>
      </c>
      <c r="B58" s="16" t="s">
        <v>48</v>
      </c>
      <c r="C58" s="16" t="s">
        <v>458</v>
      </c>
      <c r="D58" s="16" t="s">
        <v>459</v>
      </c>
      <c r="E58" s="16" t="s">
        <v>460</v>
      </c>
      <c r="F58" s="16" t="s">
        <v>461</v>
      </c>
      <c r="G58" s="16" t="s">
        <v>462</v>
      </c>
      <c r="H58" s="16" t="s">
        <v>463</v>
      </c>
      <c r="I58" s="16"/>
      <c r="J58" s="17" t="s">
        <v>100</v>
      </c>
      <c r="K58" s="17" t="s">
        <v>67</v>
      </c>
      <c r="L58" s="17" t="s">
        <v>308</v>
      </c>
      <c r="M58" s="16" t="s">
        <v>58</v>
      </c>
      <c r="N58" s="18" t="s">
        <v>59</v>
      </c>
      <c r="O58" s="16" t="s">
        <v>464</v>
      </c>
    </row>
    <row r="59" spans="1:15">
      <c r="A59" s="15" t="s">
        <v>465</v>
      </c>
      <c r="B59" s="16" t="s">
        <v>48</v>
      </c>
      <c r="C59" s="16" t="s">
        <v>466</v>
      </c>
      <c r="D59" s="16" t="s">
        <v>467</v>
      </c>
      <c r="E59" s="16" t="s">
        <v>468</v>
      </c>
      <c r="F59" s="16" t="s">
        <v>469</v>
      </c>
      <c r="G59" s="16" t="s">
        <v>470</v>
      </c>
      <c r="H59" s="16" t="s">
        <v>471</v>
      </c>
      <c r="I59" s="16"/>
      <c r="J59" s="17" t="s">
        <v>55</v>
      </c>
      <c r="K59" s="17" t="s">
        <v>56</v>
      </c>
      <c r="L59" s="17" t="s">
        <v>472</v>
      </c>
      <c r="M59" s="16" t="s">
        <v>141</v>
      </c>
      <c r="N59" s="18" t="s">
        <v>59</v>
      </c>
      <c r="O59" s="16" t="s">
        <v>473</v>
      </c>
    </row>
    <row r="60" spans="1:15">
      <c r="A60" s="15" t="s">
        <v>474</v>
      </c>
      <c r="B60" s="16" t="s">
        <v>48</v>
      </c>
      <c r="C60" s="16" t="s">
        <v>475</v>
      </c>
      <c r="D60" s="16" t="s">
        <v>476</v>
      </c>
      <c r="E60" s="16" t="s">
        <v>477</v>
      </c>
      <c r="F60" s="16" t="s">
        <v>478</v>
      </c>
      <c r="G60" s="16" t="s">
        <v>479</v>
      </c>
      <c r="H60" s="16" t="s">
        <v>480</v>
      </c>
      <c r="I60" s="16"/>
      <c r="J60" s="17" t="s">
        <v>55</v>
      </c>
      <c r="K60" s="17" t="s">
        <v>56</v>
      </c>
      <c r="L60" s="17" t="s">
        <v>140</v>
      </c>
      <c r="M60" s="16" t="s">
        <v>141</v>
      </c>
      <c r="N60" s="18" t="s">
        <v>59</v>
      </c>
      <c r="O60" s="16"/>
    </row>
    <row r="61" spans="1:15">
      <c r="A61" s="15" t="s">
        <v>481</v>
      </c>
      <c r="B61" s="16" t="s">
        <v>48</v>
      </c>
      <c r="C61" s="16" t="s">
        <v>482</v>
      </c>
      <c r="D61" s="16" t="s">
        <v>483</v>
      </c>
      <c r="E61" s="16" t="s">
        <v>484</v>
      </c>
      <c r="F61" s="16" t="s">
        <v>485</v>
      </c>
      <c r="G61" s="16" t="s">
        <v>486</v>
      </c>
      <c r="H61" s="16" t="s">
        <v>487</v>
      </c>
      <c r="I61" s="16"/>
      <c r="J61" s="17" t="s">
        <v>55</v>
      </c>
      <c r="K61" s="17" t="s">
        <v>67</v>
      </c>
      <c r="L61" s="17" t="s">
        <v>488</v>
      </c>
      <c r="M61" s="16" t="s">
        <v>58</v>
      </c>
      <c r="N61" s="18" t="s">
        <v>59</v>
      </c>
      <c r="O61" s="16"/>
    </row>
    <row r="62" spans="1:15">
      <c r="A62" s="12" t="s">
        <v>489</v>
      </c>
      <c r="B62" s="10" t="s">
        <v>490</v>
      </c>
      <c r="C62" s="10" t="s">
        <v>491</v>
      </c>
      <c r="D62" s="10" t="s">
        <v>492</v>
      </c>
      <c r="E62" s="10" t="s">
        <v>493</v>
      </c>
      <c r="F62" s="10" t="s">
        <v>494</v>
      </c>
      <c r="G62" s="10" t="s">
        <v>495</v>
      </c>
      <c r="H62" s="10" t="s">
        <v>496</v>
      </c>
      <c r="I62" s="10"/>
      <c r="J62" s="13" t="s">
        <v>55</v>
      </c>
      <c r="K62" s="13" t="s">
        <v>56</v>
      </c>
      <c r="L62" s="13" t="s">
        <v>57</v>
      </c>
      <c r="M62" s="10" t="s">
        <v>58</v>
      </c>
      <c r="N62" s="14" t="s">
        <v>59</v>
      </c>
      <c r="O62" s="10"/>
    </row>
    <row r="63" spans="1:15">
      <c r="A63" s="12" t="s">
        <v>497</v>
      </c>
      <c r="B63" s="10" t="s">
        <v>490</v>
      </c>
      <c r="C63" s="10" t="s">
        <v>498</v>
      </c>
      <c r="D63" s="10" t="s">
        <v>499</v>
      </c>
      <c r="E63" s="10" t="s">
        <v>500</v>
      </c>
      <c r="F63" s="10" t="s">
        <v>501</v>
      </c>
      <c r="G63" s="10" t="s">
        <v>502</v>
      </c>
      <c r="H63" s="10" t="s">
        <v>503</v>
      </c>
      <c r="I63" s="10"/>
      <c r="J63" s="13" t="s">
        <v>55</v>
      </c>
      <c r="K63" s="13" t="s">
        <v>56</v>
      </c>
      <c r="L63" s="13" t="s">
        <v>200</v>
      </c>
      <c r="M63" s="10" t="s">
        <v>58</v>
      </c>
      <c r="N63" s="14" t="s">
        <v>59</v>
      </c>
      <c r="O63" s="10"/>
    </row>
    <row r="64" spans="1:15">
      <c r="A64" s="12" t="s">
        <v>504</v>
      </c>
      <c r="B64" s="10" t="s">
        <v>490</v>
      </c>
      <c r="C64" s="10" t="s">
        <v>505</v>
      </c>
      <c r="D64" s="10" t="s">
        <v>506</v>
      </c>
      <c r="E64" s="10" t="s">
        <v>507</v>
      </c>
      <c r="F64" s="10" t="s">
        <v>508</v>
      </c>
      <c r="G64" s="10" t="s">
        <v>509</v>
      </c>
      <c r="H64" s="10" t="s">
        <v>510</v>
      </c>
      <c r="I64" s="10"/>
      <c r="J64" s="13" t="s">
        <v>100</v>
      </c>
      <c r="K64" s="13" t="s">
        <v>101</v>
      </c>
      <c r="L64" s="13" t="s">
        <v>81</v>
      </c>
      <c r="M64" s="10" t="s">
        <v>58</v>
      </c>
      <c r="N64" s="14" t="s">
        <v>59</v>
      </c>
      <c r="O64" s="10"/>
    </row>
    <row r="65" spans="1:15">
      <c r="A65" s="12" t="s">
        <v>511</v>
      </c>
      <c r="B65" s="10" t="s">
        <v>490</v>
      </c>
      <c r="C65" s="10" t="s">
        <v>512</v>
      </c>
      <c r="D65" s="10" t="s">
        <v>513</v>
      </c>
      <c r="E65" s="10" t="s">
        <v>514</v>
      </c>
      <c r="F65" s="10" t="s">
        <v>515</v>
      </c>
      <c r="G65" s="10" t="s">
        <v>516</v>
      </c>
      <c r="H65" s="10" t="s">
        <v>517</v>
      </c>
      <c r="I65" s="10"/>
      <c r="J65" s="13" t="s">
        <v>55</v>
      </c>
      <c r="K65" s="13" t="s">
        <v>456</v>
      </c>
      <c r="L65" s="13" t="s">
        <v>140</v>
      </c>
      <c r="M65" s="10" t="s">
        <v>141</v>
      </c>
      <c r="N65" s="14" t="s">
        <v>59</v>
      </c>
      <c r="O65" s="10" t="s">
        <v>518</v>
      </c>
    </row>
    <row r="66" spans="1:15">
      <c r="A66" s="12" t="s">
        <v>519</v>
      </c>
      <c r="B66" s="10" t="s">
        <v>490</v>
      </c>
      <c r="C66" s="10" t="s">
        <v>520</v>
      </c>
      <c r="D66" s="10" t="s">
        <v>521</v>
      </c>
      <c r="E66" s="10" t="s">
        <v>500</v>
      </c>
      <c r="F66" s="10" t="s">
        <v>522</v>
      </c>
      <c r="G66" s="10" t="s">
        <v>523</v>
      </c>
      <c r="H66" s="10" t="s">
        <v>524</v>
      </c>
      <c r="I66" s="10"/>
      <c r="J66" s="13" t="s">
        <v>100</v>
      </c>
      <c r="K66" s="13" t="s">
        <v>67</v>
      </c>
      <c r="L66" s="13" t="s">
        <v>57</v>
      </c>
      <c r="M66" s="10" t="s">
        <v>58</v>
      </c>
      <c r="N66" s="14" t="s">
        <v>59</v>
      </c>
      <c r="O66" s="10"/>
    </row>
    <row r="67" spans="1:15">
      <c r="A67" s="12" t="s">
        <v>525</v>
      </c>
      <c r="B67" s="10" t="s">
        <v>490</v>
      </c>
      <c r="C67" s="10" t="s">
        <v>526</v>
      </c>
      <c r="D67" s="10" t="s">
        <v>527</v>
      </c>
      <c r="E67" s="10" t="s">
        <v>528</v>
      </c>
      <c r="F67" s="10" t="s">
        <v>529</v>
      </c>
      <c r="G67" s="10" t="s">
        <v>530</v>
      </c>
      <c r="H67" s="10" t="s">
        <v>531</v>
      </c>
      <c r="I67" s="10"/>
      <c r="J67" s="13" t="s">
        <v>100</v>
      </c>
      <c r="K67" s="13" t="s">
        <v>67</v>
      </c>
      <c r="L67" s="13" t="s">
        <v>308</v>
      </c>
      <c r="M67" s="10" t="s">
        <v>58</v>
      </c>
      <c r="N67" s="14" t="s">
        <v>59</v>
      </c>
      <c r="O67" s="10"/>
    </row>
    <row r="68" spans="1:15">
      <c r="A68" s="12" t="s">
        <v>532</v>
      </c>
      <c r="B68" s="10" t="s">
        <v>490</v>
      </c>
      <c r="C68" s="10" t="s">
        <v>533</v>
      </c>
      <c r="D68" s="10" t="s">
        <v>534</v>
      </c>
      <c r="E68" s="10" t="s">
        <v>535</v>
      </c>
      <c r="F68" s="10" t="s">
        <v>536</v>
      </c>
      <c r="G68" s="10" t="s">
        <v>537</v>
      </c>
      <c r="H68" s="10" t="s">
        <v>538</v>
      </c>
      <c r="I68" s="10"/>
      <c r="J68" s="13" t="s">
        <v>100</v>
      </c>
      <c r="K68" s="13" t="s">
        <v>67</v>
      </c>
      <c r="L68" s="13" t="s">
        <v>185</v>
      </c>
      <c r="M68" s="10" t="s">
        <v>58</v>
      </c>
      <c r="N68" s="14" t="s">
        <v>59</v>
      </c>
      <c r="O68" s="10"/>
    </row>
    <row r="69" spans="1:15">
      <c r="A69" s="12" t="s">
        <v>539</v>
      </c>
      <c r="B69" s="10" t="s">
        <v>490</v>
      </c>
      <c r="C69" s="10" t="s">
        <v>540</v>
      </c>
      <c r="D69" s="10" t="s">
        <v>541</v>
      </c>
      <c r="E69" s="10" t="s">
        <v>535</v>
      </c>
      <c r="F69" s="10" t="s">
        <v>542</v>
      </c>
      <c r="G69" s="10" t="s">
        <v>543</v>
      </c>
      <c r="H69" s="10" t="s">
        <v>544</v>
      </c>
      <c r="I69" s="10"/>
      <c r="J69" s="13" t="s">
        <v>55</v>
      </c>
      <c r="K69" s="13" t="s">
        <v>67</v>
      </c>
      <c r="L69" s="13" t="s">
        <v>284</v>
      </c>
      <c r="M69" s="10" t="s">
        <v>58</v>
      </c>
      <c r="N69" s="14" t="s">
        <v>59</v>
      </c>
      <c r="O69" s="10"/>
    </row>
    <row r="70" spans="1:15">
      <c r="A70" s="12" t="s">
        <v>545</v>
      </c>
      <c r="B70" s="10" t="s">
        <v>490</v>
      </c>
      <c r="C70" s="10" t="s">
        <v>546</v>
      </c>
      <c r="D70" s="10" t="s">
        <v>547</v>
      </c>
      <c r="E70" s="10" t="s">
        <v>548</v>
      </c>
      <c r="F70" s="10" t="s">
        <v>549</v>
      </c>
      <c r="G70" s="10" t="s">
        <v>550</v>
      </c>
      <c r="H70" s="10" t="s">
        <v>551</v>
      </c>
      <c r="I70" s="10"/>
      <c r="J70" s="13" t="s">
        <v>55</v>
      </c>
      <c r="K70" s="13" t="s">
        <v>56</v>
      </c>
      <c r="L70" s="13" t="s">
        <v>140</v>
      </c>
      <c r="M70" s="10" t="s">
        <v>58</v>
      </c>
      <c r="N70" s="14" t="s">
        <v>59</v>
      </c>
      <c r="O70" s="10"/>
    </row>
    <row r="71" spans="1:15">
      <c r="A71" s="12" t="s">
        <v>552</v>
      </c>
      <c r="B71" s="10" t="s">
        <v>490</v>
      </c>
      <c r="C71" s="10" t="s">
        <v>553</v>
      </c>
      <c r="D71" s="10" t="s">
        <v>554</v>
      </c>
      <c r="E71" s="10" t="s">
        <v>535</v>
      </c>
      <c r="F71" s="10" t="s">
        <v>555</v>
      </c>
      <c r="G71" s="10" t="s">
        <v>556</v>
      </c>
      <c r="H71" s="10" t="s">
        <v>557</v>
      </c>
      <c r="I71" s="10"/>
      <c r="J71" s="13" t="s">
        <v>228</v>
      </c>
      <c r="K71" s="13" t="s">
        <v>101</v>
      </c>
      <c r="L71" s="13" t="s">
        <v>308</v>
      </c>
      <c r="M71" s="10" t="s">
        <v>58</v>
      </c>
      <c r="N71" s="14" t="s">
        <v>59</v>
      </c>
      <c r="O71" s="10"/>
    </row>
    <row r="72" spans="1:15">
      <c r="A72" s="15" t="s">
        <v>558</v>
      </c>
      <c r="B72" s="16" t="s">
        <v>559</v>
      </c>
      <c r="C72" s="16" t="s">
        <v>560</v>
      </c>
      <c r="D72" s="16" t="s">
        <v>561</v>
      </c>
      <c r="E72" s="16" t="s">
        <v>562</v>
      </c>
      <c r="F72" s="16" t="s">
        <v>563</v>
      </c>
      <c r="G72" s="16" t="s">
        <v>564</v>
      </c>
      <c r="H72" s="16" t="s">
        <v>565</v>
      </c>
      <c r="I72" s="16"/>
      <c r="J72" s="17" t="s">
        <v>55</v>
      </c>
      <c r="K72" s="17" t="s">
        <v>67</v>
      </c>
      <c r="L72" s="17" t="s">
        <v>57</v>
      </c>
      <c r="M72" s="16" t="s">
        <v>58</v>
      </c>
      <c r="N72" s="18" t="s">
        <v>59</v>
      </c>
      <c r="O72" s="16"/>
    </row>
    <row r="73" spans="1:15">
      <c r="A73" s="15" t="s">
        <v>566</v>
      </c>
      <c r="B73" s="16" t="s">
        <v>559</v>
      </c>
      <c r="C73" s="16" t="s">
        <v>567</v>
      </c>
      <c r="D73" s="16" t="s">
        <v>568</v>
      </c>
      <c r="E73" s="16" t="s">
        <v>569</v>
      </c>
      <c r="F73" s="16" t="s">
        <v>570</v>
      </c>
      <c r="G73" s="16" t="s">
        <v>571</v>
      </c>
      <c r="H73" s="16" t="s">
        <v>572</v>
      </c>
      <c r="I73" s="16"/>
      <c r="J73" s="17" t="s">
        <v>100</v>
      </c>
      <c r="K73" s="17" t="s">
        <v>101</v>
      </c>
      <c r="L73" s="17" t="s">
        <v>81</v>
      </c>
      <c r="M73" s="16" t="s">
        <v>58</v>
      </c>
      <c r="N73" s="18" t="s">
        <v>59</v>
      </c>
      <c r="O73" s="16"/>
    </row>
    <row r="74" spans="1:15">
      <c r="A74" s="15" t="s">
        <v>573</v>
      </c>
      <c r="B74" s="16" t="s">
        <v>559</v>
      </c>
      <c r="C74" s="16" t="s">
        <v>574</v>
      </c>
      <c r="D74" s="16" t="s">
        <v>575</v>
      </c>
      <c r="E74" s="16" t="s">
        <v>576</v>
      </c>
      <c r="F74" s="16" t="s">
        <v>577</v>
      </c>
      <c r="G74" s="16" t="s">
        <v>578</v>
      </c>
      <c r="H74" s="16" t="s">
        <v>579</v>
      </c>
      <c r="I74" s="16"/>
      <c r="J74" s="17" t="s">
        <v>100</v>
      </c>
      <c r="K74" s="17" t="s">
        <v>101</v>
      </c>
      <c r="L74" s="17" t="s">
        <v>110</v>
      </c>
      <c r="M74" s="16" t="s">
        <v>58</v>
      </c>
      <c r="N74" s="18" t="s">
        <v>59</v>
      </c>
      <c r="O74" s="16"/>
    </row>
    <row r="75" spans="1:15">
      <c r="A75" s="15" t="s">
        <v>580</v>
      </c>
      <c r="B75" s="16" t="s">
        <v>559</v>
      </c>
      <c r="C75" s="16" t="s">
        <v>581</v>
      </c>
      <c r="D75" s="16" t="s">
        <v>582</v>
      </c>
      <c r="E75" s="16" t="s">
        <v>583</v>
      </c>
      <c r="F75" s="16" t="s">
        <v>584</v>
      </c>
      <c r="G75" s="16" t="s">
        <v>585</v>
      </c>
      <c r="H75" s="16" t="s">
        <v>586</v>
      </c>
      <c r="I75" s="16"/>
      <c r="J75" s="17" t="s">
        <v>55</v>
      </c>
      <c r="K75" s="17" t="s">
        <v>56</v>
      </c>
      <c r="L75" s="17" t="s">
        <v>57</v>
      </c>
      <c r="M75" s="16" t="s">
        <v>58</v>
      </c>
      <c r="N75" s="18" t="s">
        <v>59</v>
      </c>
      <c r="O75" s="16"/>
    </row>
    <row r="76" spans="1:15">
      <c r="A76" s="15" t="s">
        <v>587</v>
      </c>
      <c r="B76" s="16" t="s">
        <v>559</v>
      </c>
      <c r="C76" s="16" t="s">
        <v>588</v>
      </c>
      <c r="D76" s="16" t="s">
        <v>589</v>
      </c>
      <c r="E76" s="16" t="s">
        <v>590</v>
      </c>
      <c r="F76" s="16" t="s">
        <v>591</v>
      </c>
      <c r="G76" s="16" t="s">
        <v>592</v>
      </c>
      <c r="H76" s="16" t="s">
        <v>593</v>
      </c>
      <c r="I76" s="16"/>
      <c r="J76" s="17" t="s">
        <v>55</v>
      </c>
      <c r="K76" s="17" t="s">
        <v>67</v>
      </c>
      <c r="L76" s="17" t="s">
        <v>594</v>
      </c>
      <c r="M76" s="16" t="s">
        <v>58</v>
      </c>
      <c r="N76" s="18" t="s">
        <v>59</v>
      </c>
      <c r="O76" s="16"/>
    </row>
    <row r="77" spans="1:15">
      <c r="A77" s="15" t="s">
        <v>595</v>
      </c>
      <c r="B77" s="16" t="s">
        <v>559</v>
      </c>
      <c r="C77" s="16" t="s">
        <v>596</v>
      </c>
      <c r="D77" s="16" t="s">
        <v>597</v>
      </c>
      <c r="E77" s="16" t="s">
        <v>598</v>
      </c>
      <c r="F77" s="16" t="s">
        <v>599</v>
      </c>
      <c r="G77" s="16" t="s">
        <v>600</v>
      </c>
      <c r="H77" s="16" t="s">
        <v>601</v>
      </c>
      <c r="I77" s="16"/>
      <c r="J77" s="17" t="s">
        <v>55</v>
      </c>
      <c r="K77" s="17" t="s">
        <v>456</v>
      </c>
      <c r="L77" s="17" t="s">
        <v>140</v>
      </c>
      <c r="M77" s="16" t="s">
        <v>141</v>
      </c>
      <c r="N77" s="18" t="s">
        <v>59</v>
      </c>
      <c r="O77" s="16"/>
    </row>
    <row r="78" spans="1:15">
      <c r="A78" s="15" t="s">
        <v>602</v>
      </c>
      <c r="B78" s="16" t="s">
        <v>559</v>
      </c>
      <c r="C78" s="16" t="s">
        <v>603</v>
      </c>
      <c r="D78" s="16" t="s">
        <v>604</v>
      </c>
      <c r="E78" s="16" t="s">
        <v>605</v>
      </c>
      <c r="F78" s="16" t="s">
        <v>606</v>
      </c>
      <c r="G78" s="16" t="s">
        <v>607</v>
      </c>
      <c r="H78" s="16" t="s">
        <v>608</v>
      </c>
      <c r="I78" s="16"/>
      <c r="J78" s="17" t="s">
        <v>55</v>
      </c>
      <c r="K78" s="17" t="s">
        <v>67</v>
      </c>
      <c r="L78" s="17" t="s">
        <v>284</v>
      </c>
      <c r="M78" s="16" t="s">
        <v>58</v>
      </c>
      <c r="N78" s="18" t="s">
        <v>59</v>
      </c>
      <c r="O78" s="16"/>
    </row>
    <row r="79" spans="1:15">
      <c r="A79" s="15" t="s">
        <v>609</v>
      </c>
      <c r="B79" s="16" t="s">
        <v>559</v>
      </c>
      <c r="C79" s="16" t="s">
        <v>610</v>
      </c>
      <c r="D79" s="16" t="s">
        <v>611</v>
      </c>
      <c r="E79" s="16" t="s">
        <v>562</v>
      </c>
      <c r="F79" s="16" t="s">
        <v>612</v>
      </c>
      <c r="G79" s="16" t="s">
        <v>613</v>
      </c>
      <c r="H79" s="16" t="s">
        <v>614</v>
      </c>
      <c r="I79" s="16"/>
      <c r="J79" s="17" t="s">
        <v>100</v>
      </c>
      <c r="K79" s="17" t="s">
        <v>67</v>
      </c>
      <c r="L79" s="17" t="s">
        <v>57</v>
      </c>
      <c r="M79" s="16" t="s">
        <v>58</v>
      </c>
      <c r="N79" s="18" t="s">
        <v>59</v>
      </c>
      <c r="O79" s="16"/>
    </row>
    <row r="80" spans="1:15">
      <c r="A80" s="15" t="s">
        <v>615</v>
      </c>
      <c r="B80" s="16" t="s">
        <v>559</v>
      </c>
      <c r="C80" s="16" t="s">
        <v>616</v>
      </c>
      <c r="D80" s="16" t="s">
        <v>617</v>
      </c>
      <c r="E80" s="16" t="s">
        <v>618</v>
      </c>
      <c r="F80" s="16" t="s">
        <v>619</v>
      </c>
      <c r="G80" s="16" t="s">
        <v>620</v>
      </c>
      <c r="H80" s="16" t="s">
        <v>621</v>
      </c>
      <c r="I80" s="16"/>
      <c r="J80" s="17" t="s">
        <v>100</v>
      </c>
      <c r="K80" s="17" t="s">
        <v>67</v>
      </c>
      <c r="L80" s="17" t="s">
        <v>118</v>
      </c>
      <c r="M80" s="16" t="s">
        <v>58</v>
      </c>
      <c r="N80" s="18" t="s">
        <v>59</v>
      </c>
      <c r="O80" s="16"/>
    </row>
    <row r="81" spans="1:15">
      <c r="A81" s="15" t="s">
        <v>622</v>
      </c>
      <c r="B81" s="16" t="s">
        <v>559</v>
      </c>
      <c r="C81" s="16" t="s">
        <v>623</v>
      </c>
      <c r="D81" s="16" t="s">
        <v>624</v>
      </c>
      <c r="E81" s="16" t="s">
        <v>625</v>
      </c>
      <c r="F81" s="16" t="s">
        <v>626</v>
      </c>
      <c r="G81" s="16" t="s">
        <v>627</v>
      </c>
      <c r="H81" s="16" t="s">
        <v>628</v>
      </c>
      <c r="I81" s="16"/>
      <c r="J81" s="17" t="s">
        <v>55</v>
      </c>
      <c r="K81" s="17" t="s">
        <v>56</v>
      </c>
      <c r="L81" s="17" t="s">
        <v>472</v>
      </c>
      <c r="M81" s="16" t="s">
        <v>58</v>
      </c>
      <c r="N81" s="18" t="s">
        <v>59</v>
      </c>
      <c r="O81" s="16"/>
    </row>
    <row r="82" spans="1:15">
      <c r="A82" s="15" t="s">
        <v>629</v>
      </c>
      <c r="B82" s="16" t="s">
        <v>559</v>
      </c>
      <c r="C82" s="16" t="s">
        <v>630</v>
      </c>
      <c r="D82" s="16" t="s">
        <v>631</v>
      </c>
      <c r="E82" s="16" t="s">
        <v>632</v>
      </c>
      <c r="F82" s="16" t="s">
        <v>633</v>
      </c>
      <c r="G82" s="16" t="s">
        <v>634</v>
      </c>
      <c r="H82" s="16" t="s">
        <v>635</v>
      </c>
      <c r="I82" s="16"/>
      <c r="J82" s="17" t="s">
        <v>55</v>
      </c>
      <c r="K82" s="17" t="s">
        <v>56</v>
      </c>
      <c r="L82" s="17" t="s">
        <v>441</v>
      </c>
      <c r="M82" s="16" t="s">
        <v>141</v>
      </c>
      <c r="N82" s="18" t="s">
        <v>59</v>
      </c>
      <c r="O82" s="16"/>
    </row>
    <row r="83" spans="1:15">
      <c r="A83" s="15" t="s">
        <v>636</v>
      </c>
      <c r="B83" s="16" t="s">
        <v>559</v>
      </c>
      <c r="C83" s="16" t="s">
        <v>637</v>
      </c>
      <c r="D83" s="16" t="s">
        <v>638</v>
      </c>
      <c r="E83" s="16" t="s">
        <v>598</v>
      </c>
      <c r="F83" s="16" t="s">
        <v>639</v>
      </c>
      <c r="G83" s="16" t="s">
        <v>640</v>
      </c>
      <c r="H83" s="16" t="s">
        <v>641</v>
      </c>
      <c r="I83" s="16"/>
      <c r="J83" s="17" t="s">
        <v>55</v>
      </c>
      <c r="K83" s="17" t="s">
        <v>456</v>
      </c>
      <c r="L83" s="17" t="s">
        <v>140</v>
      </c>
      <c r="M83" s="16" t="s">
        <v>141</v>
      </c>
      <c r="N83" s="18" t="s">
        <v>59</v>
      </c>
      <c r="O83" s="16"/>
    </row>
    <row r="84" spans="1:15">
      <c r="A84" s="15" t="s">
        <v>642</v>
      </c>
      <c r="B84" s="16" t="s">
        <v>559</v>
      </c>
      <c r="C84" s="16" t="s">
        <v>643</v>
      </c>
      <c r="D84" s="16" t="s">
        <v>644</v>
      </c>
      <c r="E84" s="16" t="s">
        <v>562</v>
      </c>
      <c r="F84" s="16" t="s">
        <v>645</v>
      </c>
      <c r="G84" s="16" t="s">
        <v>646</v>
      </c>
      <c r="H84" s="16" t="s">
        <v>647</v>
      </c>
      <c r="I84" s="16"/>
      <c r="J84" s="17" t="s">
        <v>228</v>
      </c>
      <c r="K84" s="17" t="s">
        <v>101</v>
      </c>
      <c r="L84" s="17" t="s">
        <v>594</v>
      </c>
      <c r="M84" s="16" t="s">
        <v>58</v>
      </c>
      <c r="N84" s="18" t="s">
        <v>59</v>
      </c>
      <c r="O84" s="16"/>
    </row>
    <row r="85" spans="1:15">
      <c r="A85" s="15" t="s">
        <v>648</v>
      </c>
      <c r="B85" s="16" t="s">
        <v>559</v>
      </c>
      <c r="C85" s="16" t="s">
        <v>649</v>
      </c>
      <c r="D85" s="16" t="s">
        <v>650</v>
      </c>
      <c r="E85" s="16" t="s">
        <v>651</v>
      </c>
      <c r="F85" s="16" t="s">
        <v>652</v>
      </c>
      <c r="G85" s="16" t="s">
        <v>653</v>
      </c>
      <c r="H85" s="16" t="s">
        <v>654</v>
      </c>
      <c r="I85" s="16"/>
      <c r="J85" s="17" t="s">
        <v>55</v>
      </c>
      <c r="K85" s="17" t="s">
        <v>67</v>
      </c>
      <c r="L85" s="17" t="s">
        <v>284</v>
      </c>
      <c r="M85" s="16" t="s">
        <v>58</v>
      </c>
      <c r="N85" s="18" t="s">
        <v>59</v>
      </c>
      <c r="O85" s="16"/>
    </row>
    <row r="86" spans="1:15">
      <c r="A86" s="12" t="s">
        <v>655</v>
      </c>
      <c r="B86" s="10" t="s">
        <v>656</v>
      </c>
      <c r="C86" s="10" t="s">
        <v>657</v>
      </c>
      <c r="D86" s="10" t="s">
        <v>658</v>
      </c>
      <c r="E86" s="10" t="s">
        <v>659</v>
      </c>
      <c r="F86" s="10" t="s">
        <v>660</v>
      </c>
      <c r="G86" s="10" t="s">
        <v>661</v>
      </c>
      <c r="H86" s="10" t="s">
        <v>662</v>
      </c>
      <c r="I86" s="10"/>
      <c r="J86" s="13" t="s">
        <v>55</v>
      </c>
      <c r="K86" s="13" t="s">
        <v>56</v>
      </c>
      <c r="L86" s="13" t="s">
        <v>57</v>
      </c>
      <c r="M86" s="10" t="s">
        <v>58</v>
      </c>
      <c r="N86" s="14" t="s">
        <v>59</v>
      </c>
      <c r="O86" s="10"/>
    </row>
    <row r="87" spans="1:15">
      <c r="A87" s="12" t="s">
        <v>663</v>
      </c>
      <c r="B87" s="10" t="s">
        <v>656</v>
      </c>
      <c r="C87" s="10" t="s">
        <v>664</v>
      </c>
      <c r="D87" s="10" t="s">
        <v>665</v>
      </c>
      <c r="E87" s="10" t="s">
        <v>666</v>
      </c>
      <c r="F87" s="10" t="s">
        <v>667</v>
      </c>
      <c r="G87" s="10" t="s">
        <v>668</v>
      </c>
      <c r="H87" s="10" t="s">
        <v>669</v>
      </c>
      <c r="I87" s="10"/>
      <c r="J87" s="13" t="s">
        <v>55</v>
      </c>
      <c r="K87" s="13" t="s">
        <v>67</v>
      </c>
      <c r="L87" s="13" t="s">
        <v>81</v>
      </c>
      <c r="M87" s="10" t="s">
        <v>58</v>
      </c>
      <c r="N87" s="14" t="s">
        <v>59</v>
      </c>
      <c r="O87" s="10"/>
    </row>
    <row r="88" spans="1:15">
      <c r="A88" s="12" t="s">
        <v>670</v>
      </c>
      <c r="B88" s="10" t="s">
        <v>656</v>
      </c>
      <c r="C88" s="10" t="s">
        <v>671</v>
      </c>
      <c r="D88" s="10" t="s">
        <v>672</v>
      </c>
      <c r="E88" s="10" t="s">
        <v>673</v>
      </c>
      <c r="F88" s="10" t="s">
        <v>674</v>
      </c>
      <c r="G88" s="10" t="s">
        <v>675</v>
      </c>
      <c r="H88" s="10" t="s">
        <v>676</v>
      </c>
      <c r="I88" s="10"/>
      <c r="J88" s="13" t="s">
        <v>55</v>
      </c>
      <c r="K88" s="13" t="s">
        <v>67</v>
      </c>
      <c r="L88" s="13" t="s">
        <v>185</v>
      </c>
      <c r="M88" s="10" t="s">
        <v>58</v>
      </c>
      <c r="N88" s="14" t="s">
        <v>59</v>
      </c>
      <c r="O88" s="10"/>
    </row>
    <row r="89" spans="1:15">
      <c r="A89" s="12" t="s">
        <v>677</v>
      </c>
      <c r="B89" s="10" t="s">
        <v>656</v>
      </c>
      <c r="C89" s="10" t="s">
        <v>678</v>
      </c>
      <c r="D89" s="10" t="s">
        <v>679</v>
      </c>
      <c r="E89" s="10" t="s">
        <v>666</v>
      </c>
      <c r="F89" s="10" t="s">
        <v>680</v>
      </c>
      <c r="G89" s="10" t="s">
        <v>681</v>
      </c>
      <c r="H89" s="10" t="s">
        <v>682</v>
      </c>
      <c r="I89" s="10"/>
      <c r="J89" s="13" t="s">
        <v>100</v>
      </c>
      <c r="K89" s="13" t="s">
        <v>101</v>
      </c>
      <c r="L89" s="13" t="s">
        <v>229</v>
      </c>
      <c r="M89" s="10" t="s">
        <v>58</v>
      </c>
      <c r="N89" s="14" t="s">
        <v>59</v>
      </c>
      <c r="O89" s="10"/>
    </row>
    <row r="90" spans="1:15">
      <c r="A90" s="12" t="s">
        <v>683</v>
      </c>
      <c r="B90" s="10" t="s">
        <v>656</v>
      </c>
      <c r="C90" s="10" t="s">
        <v>684</v>
      </c>
      <c r="D90" s="10" t="s">
        <v>685</v>
      </c>
      <c r="E90" s="10" t="s">
        <v>666</v>
      </c>
      <c r="F90" s="10" t="s">
        <v>686</v>
      </c>
      <c r="G90" s="10" t="s">
        <v>687</v>
      </c>
      <c r="H90" s="10" t="s">
        <v>688</v>
      </c>
      <c r="I90" s="10"/>
      <c r="J90" s="13" t="s">
        <v>55</v>
      </c>
      <c r="K90" s="13" t="s">
        <v>56</v>
      </c>
      <c r="L90" s="13" t="s">
        <v>689</v>
      </c>
      <c r="M90" s="10" t="s">
        <v>58</v>
      </c>
      <c r="N90" s="14" t="s">
        <v>59</v>
      </c>
      <c r="O90" s="10" t="s">
        <v>690</v>
      </c>
    </row>
    <row r="91" spans="1:15">
      <c r="A91" s="12" t="s">
        <v>691</v>
      </c>
      <c r="B91" s="10" t="s">
        <v>656</v>
      </c>
      <c r="C91" s="10" t="s">
        <v>692</v>
      </c>
      <c r="D91" s="10" t="s">
        <v>693</v>
      </c>
      <c r="E91" s="10" t="s">
        <v>694</v>
      </c>
      <c r="F91" s="10" t="s">
        <v>695</v>
      </c>
      <c r="G91" s="10" t="s">
        <v>696</v>
      </c>
      <c r="H91" s="10" t="s">
        <v>697</v>
      </c>
      <c r="I91" s="10"/>
      <c r="J91" s="13" t="s">
        <v>100</v>
      </c>
      <c r="K91" s="13" t="s">
        <v>101</v>
      </c>
      <c r="L91" s="13" t="s">
        <v>308</v>
      </c>
      <c r="M91" s="10" t="s">
        <v>58</v>
      </c>
      <c r="N91" s="14" t="s">
        <v>59</v>
      </c>
      <c r="O91" s="10"/>
    </row>
    <row r="92" spans="1:15">
      <c r="A92" s="12" t="s">
        <v>698</v>
      </c>
      <c r="B92" s="10" t="s">
        <v>656</v>
      </c>
      <c r="C92" s="10" t="s">
        <v>699</v>
      </c>
      <c r="D92" s="10" t="s">
        <v>700</v>
      </c>
      <c r="E92" s="10" t="s">
        <v>701</v>
      </c>
      <c r="F92" s="10" t="s">
        <v>702</v>
      </c>
      <c r="G92" s="10" t="s">
        <v>703</v>
      </c>
      <c r="H92" s="10" t="s">
        <v>704</v>
      </c>
      <c r="I92" s="10"/>
      <c r="J92" s="13" t="s">
        <v>100</v>
      </c>
      <c r="K92" s="13" t="s">
        <v>101</v>
      </c>
      <c r="L92" s="13" t="s">
        <v>308</v>
      </c>
      <c r="M92" s="10" t="s">
        <v>58</v>
      </c>
      <c r="N92" s="14" t="s">
        <v>59</v>
      </c>
      <c r="O92" s="10"/>
    </row>
    <row r="93" spans="1:15">
      <c r="A93" s="12" t="s">
        <v>705</v>
      </c>
      <c r="B93" s="10" t="s">
        <v>656</v>
      </c>
      <c r="C93" s="10" t="s">
        <v>706</v>
      </c>
      <c r="D93" s="10" t="s">
        <v>707</v>
      </c>
      <c r="E93" s="10" t="s">
        <v>708</v>
      </c>
      <c r="F93" s="10" t="s">
        <v>709</v>
      </c>
      <c r="G93" s="10" t="s">
        <v>710</v>
      </c>
      <c r="H93" s="10" t="s">
        <v>711</v>
      </c>
      <c r="I93" s="10"/>
      <c r="J93" s="13" t="s">
        <v>55</v>
      </c>
      <c r="K93" s="13" t="s">
        <v>67</v>
      </c>
      <c r="L93" s="13" t="s">
        <v>118</v>
      </c>
      <c r="M93" s="10" t="s">
        <v>58</v>
      </c>
      <c r="N93" s="14" t="s">
        <v>59</v>
      </c>
      <c r="O93" s="10"/>
    </row>
    <row r="94" spans="1:15">
      <c r="A94" s="12" t="s">
        <v>712</v>
      </c>
      <c r="B94" s="10" t="s">
        <v>656</v>
      </c>
      <c r="C94" s="10" t="s">
        <v>713</v>
      </c>
      <c r="D94" s="10" t="s">
        <v>714</v>
      </c>
      <c r="E94" s="10" t="s">
        <v>715</v>
      </c>
      <c r="F94" s="10" t="s">
        <v>716</v>
      </c>
      <c r="G94" s="10" t="s">
        <v>717</v>
      </c>
      <c r="H94" s="10" t="s">
        <v>718</v>
      </c>
      <c r="I94" s="10"/>
      <c r="J94" s="13" t="s">
        <v>55</v>
      </c>
      <c r="K94" s="13" t="s">
        <v>67</v>
      </c>
      <c r="L94" s="13" t="s">
        <v>57</v>
      </c>
      <c r="M94" s="10" t="s">
        <v>58</v>
      </c>
      <c r="N94" s="14" t="s">
        <v>59</v>
      </c>
      <c r="O94" s="10"/>
    </row>
    <row r="95" spans="1:15">
      <c r="A95" s="12" t="s">
        <v>719</v>
      </c>
      <c r="B95" s="10" t="s">
        <v>656</v>
      </c>
      <c r="C95" s="10" t="s">
        <v>720</v>
      </c>
      <c r="D95" s="10" t="s">
        <v>721</v>
      </c>
      <c r="E95" s="10" t="s">
        <v>722</v>
      </c>
      <c r="F95" s="10" t="s">
        <v>723</v>
      </c>
      <c r="G95" s="10" t="s">
        <v>724</v>
      </c>
      <c r="H95" s="10" t="s">
        <v>725</v>
      </c>
      <c r="I95" s="10"/>
      <c r="J95" s="13" t="s">
        <v>100</v>
      </c>
      <c r="K95" s="13" t="s">
        <v>67</v>
      </c>
      <c r="L95" s="13" t="s">
        <v>81</v>
      </c>
      <c r="M95" s="10" t="s">
        <v>58</v>
      </c>
      <c r="N95" s="14" t="s">
        <v>59</v>
      </c>
      <c r="O95" s="10"/>
    </row>
    <row r="96" spans="1:15">
      <c r="A96" s="12" t="s">
        <v>726</v>
      </c>
      <c r="B96" s="10" t="s">
        <v>656</v>
      </c>
      <c r="C96" s="10" t="s">
        <v>727</v>
      </c>
      <c r="D96" s="10" t="s">
        <v>728</v>
      </c>
      <c r="E96" s="10" t="s">
        <v>729</v>
      </c>
      <c r="F96" s="10" t="s">
        <v>730</v>
      </c>
      <c r="G96" s="10" t="s">
        <v>731</v>
      </c>
      <c r="H96" s="10" t="s">
        <v>732</v>
      </c>
      <c r="I96" s="10"/>
      <c r="J96" s="13" t="s">
        <v>100</v>
      </c>
      <c r="K96" s="13" t="s">
        <v>67</v>
      </c>
      <c r="L96" s="13" t="s">
        <v>299</v>
      </c>
      <c r="M96" s="10" t="s">
        <v>58</v>
      </c>
      <c r="N96" s="14" t="s">
        <v>59</v>
      </c>
      <c r="O96" s="10"/>
    </row>
    <row r="97" spans="1:15">
      <c r="A97" s="12" t="s">
        <v>733</v>
      </c>
      <c r="B97" s="10" t="s">
        <v>656</v>
      </c>
      <c r="C97" s="10" t="s">
        <v>734</v>
      </c>
      <c r="D97" s="10" t="s">
        <v>735</v>
      </c>
      <c r="E97" s="10" t="s">
        <v>736</v>
      </c>
      <c r="F97" s="10" t="s">
        <v>737</v>
      </c>
      <c r="G97" s="10" t="s">
        <v>738</v>
      </c>
      <c r="H97" s="10" t="s">
        <v>739</v>
      </c>
      <c r="I97" s="10"/>
      <c r="J97" s="13" t="s">
        <v>228</v>
      </c>
      <c r="K97" s="13" t="s">
        <v>101</v>
      </c>
      <c r="L97" s="13" t="s">
        <v>594</v>
      </c>
      <c r="M97" s="10" t="s">
        <v>58</v>
      </c>
      <c r="N97" s="14" t="s">
        <v>59</v>
      </c>
      <c r="O97" s="10"/>
    </row>
    <row r="98" spans="1:15">
      <c r="A98" s="12" t="s">
        <v>740</v>
      </c>
      <c r="B98" s="10" t="s">
        <v>656</v>
      </c>
      <c r="C98" s="10" t="s">
        <v>741</v>
      </c>
      <c r="D98" s="10" t="s">
        <v>742</v>
      </c>
      <c r="E98" s="10" t="s">
        <v>743</v>
      </c>
      <c r="F98" s="10" t="s">
        <v>744</v>
      </c>
      <c r="G98" s="10" t="s">
        <v>745</v>
      </c>
      <c r="H98" s="10" t="s">
        <v>746</v>
      </c>
      <c r="I98" s="10"/>
      <c r="J98" s="13" t="s">
        <v>100</v>
      </c>
      <c r="K98" s="13" t="s">
        <v>67</v>
      </c>
      <c r="L98" s="13" t="s">
        <v>57</v>
      </c>
      <c r="M98" s="10" t="s">
        <v>58</v>
      </c>
      <c r="N98" s="14" t="s">
        <v>59</v>
      </c>
      <c r="O98" s="10"/>
    </row>
    <row r="99" spans="1:15">
      <c r="A99" s="12" t="s">
        <v>747</v>
      </c>
      <c r="B99" s="10" t="s">
        <v>656</v>
      </c>
      <c r="C99" s="10" t="s">
        <v>748</v>
      </c>
      <c r="D99" s="10" t="s">
        <v>749</v>
      </c>
      <c r="E99" s="10" t="s">
        <v>750</v>
      </c>
      <c r="F99" s="10" t="s">
        <v>751</v>
      </c>
      <c r="G99" s="10" t="s">
        <v>752</v>
      </c>
      <c r="H99" s="10" t="s">
        <v>753</v>
      </c>
      <c r="I99" s="10"/>
      <c r="J99" s="13" t="s">
        <v>100</v>
      </c>
      <c r="K99" s="13" t="s">
        <v>101</v>
      </c>
      <c r="L99" s="13" t="s">
        <v>110</v>
      </c>
      <c r="M99" s="10" t="s">
        <v>58</v>
      </c>
      <c r="N99" s="14" t="s">
        <v>59</v>
      </c>
      <c r="O99" s="10"/>
    </row>
    <row r="100" spans="1:15">
      <c r="A100" s="12" t="s">
        <v>754</v>
      </c>
      <c r="B100" s="10" t="s">
        <v>656</v>
      </c>
      <c r="C100" s="10" t="s">
        <v>755</v>
      </c>
      <c r="D100" s="10" t="s">
        <v>756</v>
      </c>
      <c r="E100" s="10" t="s">
        <v>757</v>
      </c>
      <c r="F100" s="10" t="s">
        <v>758</v>
      </c>
      <c r="G100" s="10" t="s">
        <v>759</v>
      </c>
      <c r="H100" s="10" t="s">
        <v>760</v>
      </c>
      <c r="I100" s="10"/>
      <c r="J100" s="13" t="s">
        <v>100</v>
      </c>
      <c r="K100" s="13" t="s">
        <v>67</v>
      </c>
      <c r="L100" s="13" t="s">
        <v>118</v>
      </c>
      <c r="M100" s="10" t="s">
        <v>58</v>
      </c>
      <c r="N100" s="14" t="s">
        <v>59</v>
      </c>
      <c r="O100" s="10"/>
    </row>
    <row r="101" spans="1:15">
      <c r="A101" s="12" t="s">
        <v>761</v>
      </c>
      <c r="B101" s="10" t="s">
        <v>656</v>
      </c>
      <c r="C101" s="10" t="s">
        <v>762</v>
      </c>
      <c r="D101" s="10" t="s">
        <v>763</v>
      </c>
      <c r="E101" s="10" t="s">
        <v>764</v>
      </c>
      <c r="F101" s="10" t="s">
        <v>765</v>
      </c>
      <c r="G101" s="10" t="s">
        <v>766</v>
      </c>
      <c r="H101" s="10" t="s">
        <v>767</v>
      </c>
      <c r="I101" s="10"/>
      <c r="J101" s="13" t="s">
        <v>55</v>
      </c>
      <c r="K101" s="13" t="s">
        <v>67</v>
      </c>
      <c r="L101" s="13" t="s">
        <v>57</v>
      </c>
      <c r="M101" s="10" t="s">
        <v>58</v>
      </c>
      <c r="N101" s="14" t="s">
        <v>59</v>
      </c>
      <c r="O101" s="10"/>
    </row>
    <row r="102" spans="1:15">
      <c r="A102" s="12" t="s">
        <v>768</v>
      </c>
      <c r="B102" s="10" t="s">
        <v>656</v>
      </c>
      <c r="C102" s="10" t="s">
        <v>769</v>
      </c>
      <c r="D102" s="10" t="s">
        <v>770</v>
      </c>
      <c r="E102" s="10" t="s">
        <v>771</v>
      </c>
      <c r="F102" s="10" t="s">
        <v>772</v>
      </c>
      <c r="G102" s="10" t="s">
        <v>773</v>
      </c>
      <c r="H102" s="10" t="s">
        <v>774</v>
      </c>
      <c r="I102" s="10"/>
      <c r="J102" s="13" t="s">
        <v>55</v>
      </c>
      <c r="K102" s="13" t="s">
        <v>67</v>
      </c>
      <c r="L102" s="13" t="s">
        <v>57</v>
      </c>
      <c r="M102" s="10" t="s">
        <v>58</v>
      </c>
      <c r="N102" s="14" t="s">
        <v>59</v>
      </c>
      <c r="O102" s="10"/>
    </row>
    <row r="103" spans="1:15">
      <c r="A103" s="12" t="s">
        <v>775</v>
      </c>
      <c r="B103" s="10" t="s">
        <v>656</v>
      </c>
      <c r="C103" s="10" t="s">
        <v>776</v>
      </c>
      <c r="D103" s="10" t="s">
        <v>777</v>
      </c>
      <c r="E103" s="10" t="s">
        <v>778</v>
      </c>
      <c r="F103" s="10" t="s">
        <v>779</v>
      </c>
      <c r="G103" s="10" t="s">
        <v>780</v>
      </c>
      <c r="H103" s="10" t="s">
        <v>781</v>
      </c>
      <c r="I103" s="10"/>
      <c r="J103" s="13" t="s">
        <v>100</v>
      </c>
      <c r="K103" s="13" t="s">
        <v>101</v>
      </c>
      <c r="L103" s="13" t="s">
        <v>81</v>
      </c>
      <c r="M103" s="10" t="s">
        <v>58</v>
      </c>
      <c r="N103" s="14" t="s">
        <v>59</v>
      </c>
      <c r="O103" s="10"/>
    </row>
    <row r="104" spans="1:15">
      <c r="A104" s="12" t="s">
        <v>782</v>
      </c>
      <c r="B104" s="10" t="s">
        <v>656</v>
      </c>
      <c r="C104" s="10" t="s">
        <v>783</v>
      </c>
      <c r="D104" s="10" t="s">
        <v>784</v>
      </c>
      <c r="E104" s="10" t="s">
        <v>785</v>
      </c>
      <c r="F104" s="10" t="s">
        <v>786</v>
      </c>
      <c r="G104" s="10" t="s">
        <v>787</v>
      </c>
      <c r="H104" s="10" t="s">
        <v>788</v>
      </c>
      <c r="I104" s="10"/>
      <c r="J104" s="13" t="s">
        <v>100</v>
      </c>
      <c r="K104" s="13" t="s">
        <v>101</v>
      </c>
      <c r="L104" s="13" t="s">
        <v>110</v>
      </c>
      <c r="M104" s="10" t="s">
        <v>58</v>
      </c>
      <c r="N104" s="14" t="s">
        <v>59</v>
      </c>
      <c r="O104" s="10"/>
    </row>
    <row r="105" spans="1:15">
      <c r="A105" s="12" t="s">
        <v>789</v>
      </c>
      <c r="B105" s="10" t="s">
        <v>656</v>
      </c>
      <c r="C105" s="10" t="s">
        <v>790</v>
      </c>
      <c r="D105" s="10" t="s">
        <v>791</v>
      </c>
      <c r="E105" s="10" t="s">
        <v>792</v>
      </c>
      <c r="F105" s="10" t="s">
        <v>793</v>
      </c>
      <c r="G105" s="10" t="s">
        <v>794</v>
      </c>
      <c r="H105" s="10" t="s">
        <v>795</v>
      </c>
      <c r="I105" s="10"/>
      <c r="J105" s="13" t="s">
        <v>55</v>
      </c>
      <c r="K105" s="13" t="s">
        <v>67</v>
      </c>
      <c r="L105" s="13" t="s">
        <v>118</v>
      </c>
      <c r="M105" s="10" t="s">
        <v>58</v>
      </c>
      <c r="N105" s="14" t="s">
        <v>59</v>
      </c>
      <c r="O105" s="10"/>
    </row>
    <row r="106" spans="1:15">
      <c r="A106" s="12" t="s">
        <v>796</v>
      </c>
      <c r="B106" s="10" t="s">
        <v>656</v>
      </c>
      <c r="C106" s="10" t="s">
        <v>797</v>
      </c>
      <c r="D106" s="10" t="s">
        <v>798</v>
      </c>
      <c r="E106" s="10" t="s">
        <v>799</v>
      </c>
      <c r="F106" s="10" t="s">
        <v>800</v>
      </c>
      <c r="G106" s="10" t="s">
        <v>801</v>
      </c>
      <c r="H106" s="10" t="s">
        <v>802</v>
      </c>
      <c r="I106" s="10"/>
      <c r="J106" s="13" t="s">
        <v>228</v>
      </c>
      <c r="K106" s="13" t="s">
        <v>101</v>
      </c>
      <c r="L106" s="13" t="s">
        <v>308</v>
      </c>
      <c r="M106" s="10" t="s">
        <v>58</v>
      </c>
      <c r="N106" s="14" t="s">
        <v>59</v>
      </c>
      <c r="O106" s="10"/>
    </row>
    <row r="107" spans="1:15">
      <c r="A107" s="12" t="s">
        <v>803</v>
      </c>
      <c r="B107" s="10" t="s">
        <v>656</v>
      </c>
      <c r="C107" s="10" t="s">
        <v>804</v>
      </c>
      <c r="D107" s="10" t="s">
        <v>805</v>
      </c>
      <c r="E107" s="10" t="s">
        <v>666</v>
      </c>
      <c r="F107" s="10" t="s">
        <v>806</v>
      </c>
      <c r="G107" s="10" t="s">
        <v>807</v>
      </c>
      <c r="H107" s="10" t="s">
        <v>808</v>
      </c>
      <c r="I107" s="10"/>
      <c r="J107" s="13" t="s">
        <v>55</v>
      </c>
      <c r="K107" s="13" t="s">
        <v>56</v>
      </c>
      <c r="L107" s="13" t="s">
        <v>156</v>
      </c>
      <c r="M107" s="10" t="s">
        <v>58</v>
      </c>
      <c r="N107" s="14" t="s">
        <v>59</v>
      </c>
      <c r="O107" s="10"/>
    </row>
    <row r="108" spans="1:15">
      <c r="A108" s="12" t="s">
        <v>809</v>
      </c>
      <c r="B108" s="10" t="s">
        <v>656</v>
      </c>
      <c r="C108" s="10" t="s">
        <v>810</v>
      </c>
      <c r="D108" s="10" t="s">
        <v>811</v>
      </c>
      <c r="E108" s="10" t="s">
        <v>812</v>
      </c>
      <c r="F108" s="10" t="s">
        <v>813</v>
      </c>
      <c r="G108" s="10" t="s">
        <v>814</v>
      </c>
      <c r="H108" s="10" t="s">
        <v>815</v>
      </c>
      <c r="I108" s="10"/>
      <c r="J108" s="13" t="s">
        <v>228</v>
      </c>
      <c r="K108" s="13" t="s">
        <v>101</v>
      </c>
      <c r="L108" s="13" t="s">
        <v>816</v>
      </c>
      <c r="M108" s="10" t="s">
        <v>58</v>
      </c>
      <c r="N108" s="14" t="s">
        <v>59</v>
      </c>
      <c r="O108" s="10"/>
    </row>
    <row r="109" spans="1:15">
      <c r="A109" s="12" t="s">
        <v>817</v>
      </c>
      <c r="B109" s="10" t="s">
        <v>656</v>
      </c>
      <c r="C109" s="10" t="s">
        <v>818</v>
      </c>
      <c r="D109" s="10" t="s">
        <v>819</v>
      </c>
      <c r="E109" s="10" t="s">
        <v>820</v>
      </c>
      <c r="F109" s="10" t="s">
        <v>821</v>
      </c>
      <c r="G109" s="10" t="s">
        <v>703</v>
      </c>
      <c r="H109" s="10" t="s">
        <v>822</v>
      </c>
      <c r="I109" s="10"/>
      <c r="J109" s="13" t="s">
        <v>100</v>
      </c>
      <c r="K109" s="13" t="s">
        <v>101</v>
      </c>
      <c r="L109" s="13" t="s">
        <v>823</v>
      </c>
      <c r="M109" s="10" t="s">
        <v>58</v>
      </c>
      <c r="N109" s="14" t="s">
        <v>59</v>
      </c>
      <c r="O109" s="10"/>
    </row>
    <row r="110" spans="1:15">
      <c r="A110" s="15" t="s">
        <v>824</v>
      </c>
      <c r="B110" s="16" t="s">
        <v>825</v>
      </c>
      <c r="C110" s="16" t="s">
        <v>826</v>
      </c>
      <c r="D110" s="16" t="s">
        <v>827</v>
      </c>
      <c r="E110" s="16" t="s">
        <v>828</v>
      </c>
      <c r="F110" s="16" t="s">
        <v>829</v>
      </c>
      <c r="G110" s="16" t="s">
        <v>830</v>
      </c>
      <c r="H110" s="16" t="s">
        <v>831</v>
      </c>
      <c r="I110" s="16"/>
      <c r="J110" s="17" t="s">
        <v>55</v>
      </c>
      <c r="K110" s="17" t="s">
        <v>56</v>
      </c>
      <c r="L110" s="17" t="s">
        <v>57</v>
      </c>
      <c r="M110" s="16" t="s">
        <v>58</v>
      </c>
      <c r="N110" s="18" t="s">
        <v>59</v>
      </c>
      <c r="O110" s="16"/>
    </row>
    <row r="111" spans="1:15">
      <c r="A111" s="15" t="s">
        <v>832</v>
      </c>
      <c r="B111" s="16" t="s">
        <v>825</v>
      </c>
      <c r="C111" s="16" t="s">
        <v>833</v>
      </c>
      <c r="D111" s="16" t="s">
        <v>834</v>
      </c>
      <c r="E111" s="16" t="s">
        <v>835</v>
      </c>
      <c r="F111" s="16" t="s">
        <v>836</v>
      </c>
      <c r="G111" s="16" t="s">
        <v>668</v>
      </c>
      <c r="H111" s="16" t="s">
        <v>837</v>
      </c>
      <c r="I111" s="16"/>
      <c r="J111" s="17" t="s">
        <v>55</v>
      </c>
      <c r="K111" s="17" t="s">
        <v>67</v>
      </c>
      <c r="L111" s="17" t="s">
        <v>81</v>
      </c>
      <c r="M111" s="16" t="s">
        <v>58</v>
      </c>
      <c r="N111" s="18" t="s">
        <v>59</v>
      </c>
      <c r="O111" s="16"/>
    </row>
    <row r="112" spans="1:15">
      <c r="A112" s="15" t="s">
        <v>838</v>
      </c>
      <c r="B112" s="16" t="s">
        <v>825</v>
      </c>
      <c r="C112" s="16" t="s">
        <v>839</v>
      </c>
      <c r="D112" s="16" t="s">
        <v>840</v>
      </c>
      <c r="E112" s="16" t="s">
        <v>835</v>
      </c>
      <c r="F112" s="16" t="s">
        <v>841</v>
      </c>
      <c r="G112" s="16" t="s">
        <v>842</v>
      </c>
      <c r="H112" s="16" t="s">
        <v>843</v>
      </c>
      <c r="I112" s="16"/>
      <c r="J112" s="17" t="s">
        <v>55</v>
      </c>
      <c r="K112" s="17" t="s">
        <v>56</v>
      </c>
      <c r="L112" s="17" t="s">
        <v>229</v>
      </c>
      <c r="M112" s="16" t="s">
        <v>58</v>
      </c>
      <c r="N112" s="18" t="s">
        <v>59</v>
      </c>
      <c r="O112" s="16" t="s">
        <v>844</v>
      </c>
    </row>
    <row r="113" spans="1:15">
      <c r="A113" s="15" t="s">
        <v>845</v>
      </c>
      <c r="B113" s="16" t="s">
        <v>825</v>
      </c>
      <c r="C113" s="16" t="s">
        <v>846</v>
      </c>
      <c r="D113" s="16" t="s">
        <v>847</v>
      </c>
      <c r="E113" s="16" t="s">
        <v>835</v>
      </c>
      <c r="F113" s="16" t="s">
        <v>848</v>
      </c>
      <c r="G113" s="16" t="s">
        <v>849</v>
      </c>
      <c r="H113" s="16" t="s">
        <v>850</v>
      </c>
      <c r="I113" s="16"/>
      <c r="J113" s="17" t="s">
        <v>55</v>
      </c>
      <c r="K113" s="17" t="s">
        <v>67</v>
      </c>
      <c r="L113" s="17" t="s">
        <v>229</v>
      </c>
      <c r="M113" s="16" t="s">
        <v>58</v>
      </c>
      <c r="N113" s="18" t="s">
        <v>59</v>
      </c>
      <c r="O113" s="16"/>
    </row>
    <row r="114" spans="1:15">
      <c r="A114" s="15" t="s">
        <v>851</v>
      </c>
      <c r="B114" s="16" t="s">
        <v>825</v>
      </c>
      <c r="C114" s="16" t="s">
        <v>852</v>
      </c>
      <c r="D114" s="16" t="s">
        <v>853</v>
      </c>
      <c r="E114" s="16" t="s">
        <v>835</v>
      </c>
      <c r="F114" s="16" t="s">
        <v>854</v>
      </c>
      <c r="G114" s="16" t="s">
        <v>855</v>
      </c>
      <c r="H114" s="16" t="s">
        <v>856</v>
      </c>
      <c r="I114" s="16"/>
      <c r="J114" s="17" t="s">
        <v>55</v>
      </c>
      <c r="K114" s="17" t="s">
        <v>56</v>
      </c>
      <c r="L114" s="17" t="s">
        <v>81</v>
      </c>
      <c r="M114" s="16" t="s">
        <v>58</v>
      </c>
      <c r="N114" s="18" t="s">
        <v>59</v>
      </c>
      <c r="O114" s="16" t="s">
        <v>857</v>
      </c>
    </row>
    <row r="115" spans="1:15">
      <c r="A115" s="15" t="s">
        <v>858</v>
      </c>
      <c r="B115" s="16" t="s">
        <v>825</v>
      </c>
      <c r="C115" s="16" t="s">
        <v>859</v>
      </c>
      <c r="D115" s="16" t="s">
        <v>860</v>
      </c>
      <c r="E115" s="16" t="s">
        <v>835</v>
      </c>
      <c r="F115" s="16" t="s">
        <v>861</v>
      </c>
      <c r="G115" s="16" t="s">
        <v>862</v>
      </c>
      <c r="H115" s="16" t="s">
        <v>863</v>
      </c>
      <c r="I115" s="16"/>
      <c r="J115" s="17" t="s">
        <v>100</v>
      </c>
      <c r="K115" s="17" t="s">
        <v>101</v>
      </c>
      <c r="L115" s="17" t="s">
        <v>102</v>
      </c>
      <c r="M115" s="16" t="s">
        <v>58</v>
      </c>
      <c r="N115" s="18" t="s">
        <v>59</v>
      </c>
      <c r="O115" s="16"/>
    </row>
    <row r="116" spans="1:15">
      <c r="A116" s="15" t="s">
        <v>864</v>
      </c>
      <c r="B116" s="16" t="s">
        <v>825</v>
      </c>
      <c r="C116" s="16" t="s">
        <v>865</v>
      </c>
      <c r="D116" s="16" t="s">
        <v>866</v>
      </c>
      <c r="E116" s="16" t="s">
        <v>867</v>
      </c>
      <c r="F116" s="16" t="s">
        <v>868</v>
      </c>
      <c r="G116" s="16" t="s">
        <v>869</v>
      </c>
      <c r="H116" s="16" t="s">
        <v>870</v>
      </c>
      <c r="I116" s="16"/>
      <c r="J116" s="17" t="s">
        <v>100</v>
      </c>
      <c r="K116" s="17" t="s">
        <v>67</v>
      </c>
      <c r="L116" s="17" t="s">
        <v>308</v>
      </c>
      <c r="M116" s="16" t="s">
        <v>58</v>
      </c>
      <c r="N116" s="18" t="s">
        <v>59</v>
      </c>
      <c r="O116" s="16"/>
    </row>
    <row r="117" spans="1:15">
      <c r="A117" s="15" t="s">
        <v>871</v>
      </c>
      <c r="B117" s="16" t="s">
        <v>825</v>
      </c>
      <c r="C117" s="16" t="s">
        <v>872</v>
      </c>
      <c r="D117" s="16" t="s">
        <v>873</v>
      </c>
      <c r="E117" s="16" t="s">
        <v>874</v>
      </c>
      <c r="F117" s="16" t="s">
        <v>875</v>
      </c>
      <c r="G117" s="16" t="s">
        <v>876</v>
      </c>
      <c r="H117" s="16" t="s">
        <v>877</v>
      </c>
      <c r="I117" s="16"/>
      <c r="J117" s="17" t="s">
        <v>55</v>
      </c>
      <c r="K117" s="17" t="s">
        <v>67</v>
      </c>
      <c r="L117" s="17" t="s">
        <v>308</v>
      </c>
      <c r="M117" s="16" t="s">
        <v>58</v>
      </c>
      <c r="N117" s="18" t="s">
        <v>59</v>
      </c>
      <c r="O117" s="16"/>
    </row>
    <row r="118" spans="1:15">
      <c r="A118" s="15" t="s">
        <v>878</v>
      </c>
      <c r="B118" s="16" t="s">
        <v>825</v>
      </c>
      <c r="C118" s="16" t="s">
        <v>879</v>
      </c>
      <c r="D118" s="16" t="s">
        <v>880</v>
      </c>
      <c r="E118" s="16" t="s">
        <v>874</v>
      </c>
      <c r="F118" s="16" t="s">
        <v>881</v>
      </c>
      <c r="G118" s="16" t="s">
        <v>882</v>
      </c>
      <c r="H118" s="16" t="s">
        <v>883</v>
      </c>
      <c r="I118" s="16"/>
      <c r="J118" s="17" t="s">
        <v>55</v>
      </c>
      <c r="K118" s="17" t="s">
        <v>67</v>
      </c>
      <c r="L118" s="17" t="s">
        <v>284</v>
      </c>
      <c r="M118" s="16" t="s">
        <v>58</v>
      </c>
      <c r="N118" s="18" t="s">
        <v>59</v>
      </c>
      <c r="O118" s="16"/>
    </row>
    <row r="119" spans="1:15">
      <c r="A119" s="15" t="s">
        <v>884</v>
      </c>
      <c r="B119" s="16" t="s">
        <v>825</v>
      </c>
      <c r="C119" s="16" t="s">
        <v>885</v>
      </c>
      <c r="D119" s="16" t="s">
        <v>886</v>
      </c>
      <c r="E119" s="16" t="s">
        <v>887</v>
      </c>
      <c r="F119" s="16" t="s">
        <v>888</v>
      </c>
      <c r="G119" s="16" t="s">
        <v>889</v>
      </c>
      <c r="H119" s="16" t="s">
        <v>890</v>
      </c>
      <c r="I119" s="16"/>
      <c r="J119" s="17" t="s">
        <v>100</v>
      </c>
      <c r="K119" s="17" t="s">
        <v>67</v>
      </c>
      <c r="L119" s="17" t="s">
        <v>308</v>
      </c>
      <c r="M119" s="16" t="s">
        <v>58</v>
      </c>
      <c r="N119" s="18" t="s">
        <v>59</v>
      </c>
      <c r="O119" s="16"/>
    </row>
    <row r="120" spans="1:15">
      <c r="A120" s="15" t="s">
        <v>891</v>
      </c>
      <c r="B120" s="16" t="s">
        <v>825</v>
      </c>
      <c r="C120" s="16" t="s">
        <v>892</v>
      </c>
      <c r="D120" s="16" t="s">
        <v>893</v>
      </c>
      <c r="E120" s="16" t="s">
        <v>894</v>
      </c>
      <c r="F120" s="16" t="s">
        <v>895</v>
      </c>
      <c r="G120" s="16" t="s">
        <v>896</v>
      </c>
      <c r="H120" s="16" t="s">
        <v>897</v>
      </c>
      <c r="I120" s="16"/>
      <c r="J120" s="17" t="s">
        <v>55</v>
      </c>
      <c r="K120" s="17" t="s">
        <v>56</v>
      </c>
      <c r="L120" s="17" t="s">
        <v>898</v>
      </c>
      <c r="M120" s="16" t="s">
        <v>58</v>
      </c>
      <c r="N120" s="18" t="s">
        <v>59</v>
      </c>
      <c r="O120" s="16"/>
    </row>
    <row r="121" spans="1:15">
      <c r="A121" s="15" t="s">
        <v>899</v>
      </c>
      <c r="B121" s="16" t="s">
        <v>825</v>
      </c>
      <c r="C121" s="16" t="s">
        <v>900</v>
      </c>
      <c r="D121" s="16" t="s">
        <v>901</v>
      </c>
      <c r="E121" s="16" t="s">
        <v>902</v>
      </c>
      <c r="F121" s="16" t="s">
        <v>903</v>
      </c>
      <c r="G121" s="16" t="s">
        <v>904</v>
      </c>
      <c r="H121" s="16" t="s">
        <v>905</v>
      </c>
      <c r="I121" s="16"/>
      <c r="J121" s="17" t="s">
        <v>100</v>
      </c>
      <c r="K121" s="17" t="s">
        <v>67</v>
      </c>
      <c r="L121" s="17" t="s">
        <v>308</v>
      </c>
      <c r="M121" s="16" t="s">
        <v>58</v>
      </c>
      <c r="N121" s="18" t="s">
        <v>59</v>
      </c>
      <c r="O121" s="16"/>
    </row>
    <row r="122" spans="1:15">
      <c r="A122" s="15" t="s">
        <v>906</v>
      </c>
      <c r="B122" s="16" t="s">
        <v>825</v>
      </c>
      <c r="C122" s="16" t="s">
        <v>907</v>
      </c>
      <c r="D122" s="16" t="s">
        <v>908</v>
      </c>
      <c r="E122" s="16" t="s">
        <v>909</v>
      </c>
      <c r="F122" s="16" t="s">
        <v>910</v>
      </c>
      <c r="G122" s="16" t="s">
        <v>911</v>
      </c>
      <c r="H122" s="16" t="s">
        <v>912</v>
      </c>
      <c r="I122" s="16"/>
      <c r="J122" s="17" t="s">
        <v>100</v>
      </c>
      <c r="K122" s="17" t="s">
        <v>67</v>
      </c>
      <c r="L122" s="17" t="s">
        <v>149</v>
      </c>
      <c r="M122" s="16" t="s">
        <v>58</v>
      </c>
      <c r="N122" s="18" t="s">
        <v>59</v>
      </c>
      <c r="O122" s="16"/>
    </row>
    <row r="123" spans="1:15">
      <c r="A123" s="15" t="s">
        <v>913</v>
      </c>
      <c r="B123" s="16" t="s">
        <v>825</v>
      </c>
      <c r="C123" s="16" t="s">
        <v>914</v>
      </c>
      <c r="D123" s="16" t="s">
        <v>915</v>
      </c>
      <c r="E123" s="16" t="s">
        <v>916</v>
      </c>
      <c r="F123" s="16" t="s">
        <v>917</v>
      </c>
      <c r="G123" s="16" t="s">
        <v>918</v>
      </c>
      <c r="H123" s="16" t="s">
        <v>919</v>
      </c>
      <c r="I123" s="16"/>
      <c r="J123" s="17" t="s">
        <v>100</v>
      </c>
      <c r="K123" s="17" t="s">
        <v>67</v>
      </c>
      <c r="L123" s="17" t="s">
        <v>308</v>
      </c>
      <c r="M123" s="16" t="s">
        <v>58</v>
      </c>
      <c r="N123" s="18" t="s">
        <v>59</v>
      </c>
      <c r="O123" s="16"/>
    </row>
    <row r="124" spans="1:15">
      <c r="A124" s="15" t="s">
        <v>920</v>
      </c>
      <c r="B124" s="16" t="s">
        <v>825</v>
      </c>
      <c r="C124" s="16" t="s">
        <v>921</v>
      </c>
      <c r="D124" s="16" t="s">
        <v>922</v>
      </c>
      <c r="E124" s="16" t="s">
        <v>923</v>
      </c>
      <c r="F124" s="16" t="s">
        <v>924</v>
      </c>
      <c r="G124" s="16" t="s">
        <v>925</v>
      </c>
      <c r="H124" s="16" t="s">
        <v>926</v>
      </c>
      <c r="I124" s="16"/>
      <c r="J124" s="17" t="s">
        <v>228</v>
      </c>
      <c r="K124" s="17" t="s">
        <v>101</v>
      </c>
      <c r="L124" s="17" t="s">
        <v>149</v>
      </c>
      <c r="M124" s="16" t="s">
        <v>58</v>
      </c>
      <c r="N124" s="18" t="s">
        <v>59</v>
      </c>
      <c r="O124" s="16"/>
    </row>
    <row r="125" spans="1:15">
      <c r="A125" s="15" t="s">
        <v>927</v>
      </c>
      <c r="B125" s="16" t="s">
        <v>825</v>
      </c>
      <c r="C125" s="16" t="s">
        <v>928</v>
      </c>
      <c r="D125" s="16" t="s">
        <v>929</v>
      </c>
      <c r="E125" s="16" t="s">
        <v>930</v>
      </c>
      <c r="F125" s="16" t="s">
        <v>931</v>
      </c>
      <c r="G125" s="16" t="s">
        <v>932</v>
      </c>
      <c r="H125" s="16" t="s">
        <v>933</v>
      </c>
      <c r="I125" s="16"/>
      <c r="J125" s="17" t="s">
        <v>55</v>
      </c>
      <c r="K125" s="17" t="s">
        <v>456</v>
      </c>
      <c r="L125" s="17" t="s">
        <v>934</v>
      </c>
      <c r="M125" s="16" t="s">
        <v>58</v>
      </c>
      <c r="N125" s="18" t="s">
        <v>59</v>
      </c>
      <c r="O125" s="16"/>
    </row>
    <row r="126" spans="1:15">
      <c r="A126" s="15" t="s">
        <v>935</v>
      </c>
      <c r="B126" s="16" t="s">
        <v>825</v>
      </c>
      <c r="C126" s="16" t="s">
        <v>936</v>
      </c>
      <c r="D126" s="16" t="s">
        <v>937</v>
      </c>
      <c r="E126" s="16" t="s">
        <v>938</v>
      </c>
      <c r="F126" s="16" t="s">
        <v>939</v>
      </c>
      <c r="G126" s="16" t="s">
        <v>940</v>
      </c>
      <c r="H126" s="16" t="s">
        <v>941</v>
      </c>
      <c r="I126" s="16"/>
      <c r="J126" s="17" t="s">
        <v>100</v>
      </c>
      <c r="K126" s="17" t="s">
        <v>67</v>
      </c>
      <c r="L126" s="17" t="s">
        <v>942</v>
      </c>
      <c r="M126" s="16" t="s">
        <v>58</v>
      </c>
      <c r="N126" s="18" t="s">
        <v>59</v>
      </c>
      <c r="O126" s="16" t="s">
        <v>943</v>
      </c>
    </row>
    <row r="127" spans="1:15">
      <c r="A127" s="15" t="s">
        <v>944</v>
      </c>
      <c r="B127" s="16" t="s">
        <v>825</v>
      </c>
      <c r="C127" s="16" t="s">
        <v>945</v>
      </c>
      <c r="D127" s="16" t="s">
        <v>946</v>
      </c>
      <c r="E127" s="16" t="s">
        <v>947</v>
      </c>
      <c r="F127" s="16" t="s">
        <v>948</v>
      </c>
      <c r="G127" s="16" t="s">
        <v>949</v>
      </c>
      <c r="H127" s="16" t="s">
        <v>950</v>
      </c>
      <c r="I127" s="16"/>
      <c r="J127" s="17" t="s">
        <v>100</v>
      </c>
      <c r="K127" s="17" t="s">
        <v>101</v>
      </c>
      <c r="L127" s="17" t="s">
        <v>308</v>
      </c>
      <c r="M127" s="16" t="s">
        <v>58</v>
      </c>
      <c r="N127" s="18" t="s">
        <v>59</v>
      </c>
      <c r="O127" s="16"/>
    </row>
    <row r="128" spans="1:15">
      <c r="A128" s="15" t="s">
        <v>951</v>
      </c>
      <c r="B128" s="16" t="s">
        <v>825</v>
      </c>
      <c r="C128" s="16" t="s">
        <v>952</v>
      </c>
      <c r="D128" s="16" t="s">
        <v>953</v>
      </c>
      <c r="E128" s="16" t="s">
        <v>954</v>
      </c>
      <c r="F128" s="16" t="s">
        <v>955</v>
      </c>
      <c r="G128" s="16" t="s">
        <v>956</v>
      </c>
      <c r="H128" s="16" t="s">
        <v>957</v>
      </c>
      <c r="I128" s="16"/>
      <c r="J128" s="17" t="s">
        <v>228</v>
      </c>
      <c r="K128" s="17" t="s">
        <v>101</v>
      </c>
      <c r="L128" s="17" t="s">
        <v>958</v>
      </c>
      <c r="M128" s="16" t="s">
        <v>58</v>
      </c>
      <c r="N128" s="18" t="s">
        <v>59</v>
      </c>
      <c r="O128" s="16"/>
    </row>
    <row r="129" spans="1:15">
      <c r="A129" s="15" t="s">
        <v>959</v>
      </c>
      <c r="B129" s="16" t="s">
        <v>825</v>
      </c>
      <c r="C129" s="16" t="s">
        <v>960</v>
      </c>
      <c r="D129" s="16" t="s">
        <v>961</v>
      </c>
      <c r="E129" s="16" t="s">
        <v>962</v>
      </c>
      <c r="F129" s="16" t="s">
        <v>963</v>
      </c>
      <c r="G129" s="16" t="s">
        <v>964</v>
      </c>
      <c r="H129" s="16" t="s">
        <v>965</v>
      </c>
      <c r="I129" s="16"/>
      <c r="J129" s="17" t="s">
        <v>100</v>
      </c>
      <c r="K129" s="17" t="s">
        <v>101</v>
      </c>
      <c r="L129" s="17" t="s">
        <v>594</v>
      </c>
      <c r="M129" s="16" t="s">
        <v>58</v>
      </c>
      <c r="N129" s="18" t="s">
        <v>59</v>
      </c>
      <c r="O129" s="16"/>
    </row>
    <row r="130" spans="1:15">
      <c r="A130" s="15" t="s">
        <v>966</v>
      </c>
      <c r="B130" s="16" t="s">
        <v>825</v>
      </c>
      <c r="C130" s="16" t="s">
        <v>967</v>
      </c>
      <c r="D130" s="16" t="s">
        <v>968</v>
      </c>
      <c r="E130" s="16" t="s">
        <v>916</v>
      </c>
      <c r="F130" s="16" t="s">
        <v>969</v>
      </c>
      <c r="G130" s="16" t="s">
        <v>970</v>
      </c>
      <c r="H130" s="16" t="s">
        <v>971</v>
      </c>
      <c r="I130" s="16"/>
      <c r="J130" s="17" t="s">
        <v>228</v>
      </c>
      <c r="K130" s="17" t="s">
        <v>101</v>
      </c>
      <c r="L130" s="17" t="s">
        <v>972</v>
      </c>
      <c r="M130" s="16" t="s">
        <v>58</v>
      </c>
      <c r="N130" s="18" t="s">
        <v>59</v>
      </c>
      <c r="O130" s="16"/>
    </row>
    <row r="131" spans="1:15">
      <c r="A131" s="15" t="s">
        <v>973</v>
      </c>
      <c r="B131" s="16" t="s">
        <v>825</v>
      </c>
      <c r="C131" s="16" t="s">
        <v>974</v>
      </c>
      <c r="D131" s="16" t="s">
        <v>975</v>
      </c>
      <c r="E131" s="16" t="s">
        <v>835</v>
      </c>
      <c r="F131" s="16" t="s">
        <v>976</v>
      </c>
      <c r="G131" s="16" t="s">
        <v>977</v>
      </c>
      <c r="H131" s="16" t="s">
        <v>978</v>
      </c>
      <c r="I131" s="16"/>
      <c r="J131" s="17" t="s">
        <v>55</v>
      </c>
      <c r="K131" s="17" t="s">
        <v>56</v>
      </c>
      <c r="L131" s="17" t="s">
        <v>284</v>
      </c>
      <c r="M131" s="16" t="s">
        <v>58</v>
      </c>
      <c r="N131" s="18" t="s">
        <v>59</v>
      </c>
      <c r="O131" s="16"/>
    </row>
    <row r="132" spans="1:15">
      <c r="A132" s="15" t="s">
        <v>979</v>
      </c>
      <c r="B132" s="16" t="s">
        <v>825</v>
      </c>
      <c r="C132" s="16" t="s">
        <v>980</v>
      </c>
      <c r="D132" s="16" t="s">
        <v>981</v>
      </c>
      <c r="E132" s="16" t="s">
        <v>835</v>
      </c>
      <c r="F132" s="16" t="s">
        <v>982</v>
      </c>
      <c r="G132" s="16" t="s">
        <v>983</v>
      </c>
      <c r="H132" s="16" t="s">
        <v>984</v>
      </c>
      <c r="I132" s="16"/>
      <c r="J132" s="17" t="s">
        <v>55</v>
      </c>
      <c r="K132" s="17" t="s">
        <v>456</v>
      </c>
      <c r="L132" s="17" t="s">
        <v>156</v>
      </c>
      <c r="M132" s="16" t="s">
        <v>58</v>
      </c>
      <c r="N132" s="18" t="s">
        <v>59</v>
      </c>
      <c r="O132" s="16"/>
    </row>
    <row r="133" spans="1:15">
      <c r="A133" s="15" t="s">
        <v>985</v>
      </c>
      <c r="B133" s="16" t="s">
        <v>825</v>
      </c>
      <c r="C133" s="16" t="s">
        <v>986</v>
      </c>
      <c r="D133" s="16" t="s">
        <v>987</v>
      </c>
      <c r="E133" s="16" t="s">
        <v>916</v>
      </c>
      <c r="F133" s="16" t="s">
        <v>988</v>
      </c>
      <c r="G133" s="16" t="s">
        <v>989</v>
      </c>
      <c r="H133" s="16" t="s">
        <v>990</v>
      </c>
      <c r="I133" s="16"/>
      <c r="J133" s="17" t="s">
        <v>100</v>
      </c>
      <c r="K133" s="17" t="s">
        <v>101</v>
      </c>
      <c r="L133" s="17" t="s">
        <v>308</v>
      </c>
      <c r="M133" s="16" t="s">
        <v>58</v>
      </c>
      <c r="N133" s="18" t="s">
        <v>59</v>
      </c>
      <c r="O133" s="16"/>
    </row>
    <row r="134" spans="1:15">
      <c r="A134" s="15" t="s">
        <v>991</v>
      </c>
      <c r="B134" s="16" t="s">
        <v>825</v>
      </c>
      <c r="C134" s="16" t="s">
        <v>992</v>
      </c>
      <c r="D134" s="16" t="s">
        <v>993</v>
      </c>
      <c r="E134" s="16" t="s">
        <v>994</v>
      </c>
      <c r="F134" s="16" t="s">
        <v>995</v>
      </c>
      <c r="G134" s="16" t="s">
        <v>996</v>
      </c>
      <c r="H134" s="16" t="s">
        <v>997</v>
      </c>
      <c r="I134" s="16"/>
      <c r="J134" s="17" t="s">
        <v>100</v>
      </c>
      <c r="K134" s="17" t="s">
        <v>101</v>
      </c>
      <c r="L134" s="17" t="s">
        <v>308</v>
      </c>
      <c r="M134" s="16" t="s">
        <v>58</v>
      </c>
      <c r="N134" s="18" t="s">
        <v>59</v>
      </c>
      <c r="O134" s="16"/>
    </row>
    <row r="135" spans="1:15">
      <c r="A135" s="15" t="s">
        <v>998</v>
      </c>
      <c r="B135" s="16" t="s">
        <v>825</v>
      </c>
      <c r="C135" s="16" t="s">
        <v>999</v>
      </c>
      <c r="D135" s="16" t="s">
        <v>1000</v>
      </c>
      <c r="E135" s="16" t="s">
        <v>1001</v>
      </c>
      <c r="F135" s="16" t="s">
        <v>1002</v>
      </c>
      <c r="G135" s="16" t="s">
        <v>1003</v>
      </c>
      <c r="H135" s="16" t="s">
        <v>1004</v>
      </c>
      <c r="I135" s="16"/>
      <c r="J135" s="17" t="s">
        <v>100</v>
      </c>
      <c r="K135" s="17" t="s">
        <v>67</v>
      </c>
      <c r="L135" s="17" t="s">
        <v>308</v>
      </c>
      <c r="M135" s="16" t="s">
        <v>58</v>
      </c>
      <c r="N135" s="18" t="s">
        <v>59</v>
      </c>
      <c r="O135" s="16"/>
    </row>
    <row r="136" spans="1:15">
      <c r="A136" s="15" t="s">
        <v>1005</v>
      </c>
      <c r="B136" s="16" t="s">
        <v>825</v>
      </c>
      <c r="C136" s="16" t="s">
        <v>1006</v>
      </c>
      <c r="D136" s="16" t="s">
        <v>1007</v>
      </c>
      <c r="E136" s="16" t="s">
        <v>835</v>
      </c>
      <c r="F136" s="16" t="s">
        <v>1008</v>
      </c>
      <c r="G136" s="16" t="s">
        <v>1009</v>
      </c>
      <c r="H136" s="16" t="s">
        <v>1010</v>
      </c>
      <c r="I136" s="16"/>
      <c r="J136" s="17" t="s">
        <v>100</v>
      </c>
      <c r="K136" s="17" t="s">
        <v>101</v>
      </c>
      <c r="L136" s="17" t="s">
        <v>1011</v>
      </c>
      <c r="M136" s="16" t="s">
        <v>58</v>
      </c>
      <c r="N136" s="18" t="s">
        <v>59</v>
      </c>
      <c r="O136" s="16"/>
    </row>
    <row r="137" spans="1:15">
      <c r="A137" s="15" t="s">
        <v>1012</v>
      </c>
      <c r="B137" s="16" t="s">
        <v>825</v>
      </c>
      <c r="C137" s="16" t="s">
        <v>1013</v>
      </c>
      <c r="D137" s="16" t="s">
        <v>1014</v>
      </c>
      <c r="E137" s="16" t="s">
        <v>1015</v>
      </c>
      <c r="F137" s="16" t="s">
        <v>1016</v>
      </c>
      <c r="G137" s="16" t="s">
        <v>1017</v>
      </c>
      <c r="H137" s="16" t="s">
        <v>1018</v>
      </c>
      <c r="I137" s="16"/>
      <c r="J137" s="17" t="s">
        <v>100</v>
      </c>
      <c r="K137" s="17" t="s">
        <v>101</v>
      </c>
      <c r="L137" s="17" t="s">
        <v>594</v>
      </c>
      <c r="M137" s="16" t="s">
        <v>58</v>
      </c>
      <c r="N137" s="18" t="s">
        <v>59</v>
      </c>
      <c r="O137" s="16"/>
    </row>
    <row r="138" spans="1:15">
      <c r="A138" s="15" t="s">
        <v>1019</v>
      </c>
      <c r="B138" s="16" t="s">
        <v>825</v>
      </c>
      <c r="C138" s="16" t="s">
        <v>1020</v>
      </c>
      <c r="D138" s="16" t="s">
        <v>1021</v>
      </c>
      <c r="E138" s="16" t="s">
        <v>1022</v>
      </c>
      <c r="F138" s="16" t="s">
        <v>1023</v>
      </c>
      <c r="G138" s="16" t="s">
        <v>1024</v>
      </c>
      <c r="H138" s="16" t="s">
        <v>1025</v>
      </c>
      <c r="I138" s="16"/>
      <c r="J138" s="17" t="s">
        <v>100</v>
      </c>
      <c r="K138" s="17" t="s">
        <v>101</v>
      </c>
      <c r="L138" s="17" t="s">
        <v>594</v>
      </c>
      <c r="M138" s="16" t="s">
        <v>58</v>
      </c>
      <c r="N138" s="18" t="s">
        <v>59</v>
      </c>
      <c r="O138" s="16"/>
    </row>
    <row r="139" spans="1:15">
      <c r="A139" s="15" t="s">
        <v>1026</v>
      </c>
      <c r="B139" s="16" t="s">
        <v>825</v>
      </c>
      <c r="C139" s="16" t="s">
        <v>1027</v>
      </c>
      <c r="D139" s="16" t="s">
        <v>1028</v>
      </c>
      <c r="E139" s="16" t="s">
        <v>1029</v>
      </c>
      <c r="F139" s="16" t="s">
        <v>1030</v>
      </c>
      <c r="G139" s="16" t="s">
        <v>1031</v>
      </c>
      <c r="H139" s="16" t="s">
        <v>1032</v>
      </c>
      <c r="I139" s="16"/>
      <c r="J139" s="17" t="s">
        <v>228</v>
      </c>
      <c r="K139" s="17" t="s">
        <v>101</v>
      </c>
      <c r="L139" s="17" t="s">
        <v>308</v>
      </c>
      <c r="M139" s="16" t="s">
        <v>58</v>
      </c>
      <c r="N139" s="18" t="s">
        <v>59</v>
      </c>
      <c r="O139" s="16"/>
    </row>
    <row r="140" spans="1:15">
      <c r="A140" s="15" t="s">
        <v>1033</v>
      </c>
      <c r="B140" s="16" t="s">
        <v>825</v>
      </c>
      <c r="C140" s="16" t="s">
        <v>1034</v>
      </c>
      <c r="D140" s="16" t="s">
        <v>1035</v>
      </c>
      <c r="E140" s="16" t="s">
        <v>1036</v>
      </c>
      <c r="F140" s="16" t="s">
        <v>1037</v>
      </c>
      <c r="G140" s="16" t="s">
        <v>1038</v>
      </c>
      <c r="H140" s="16" t="s">
        <v>1039</v>
      </c>
      <c r="I140" s="16"/>
      <c r="J140" s="17" t="s">
        <v>55</v>
      </c>
      <c r="K140" s="17" t="s">
        <v>67</v>
      </c>
      <c r="L140" s="17" t="s">
        <v>299</v>
      </c>
      <c r="M140" s="16" t="s">
        <v>58</v>
      </c>
      <c r="N140" s="18" t="s">
        <v>59</v>
      </c>
      <c r="O140" s="16"/>
    </row>
    <row r="141" spans="1:15">
      <c r="A141" s="15" t="s">
        <v>1040</v>
      </c>
      <c r="B141" s="16" t="s">
        <v>825</v>
      </c>
      <c r="C141" s="16" t="s">
        <v>1041</v>
      </c>
      <c r="D141" s="16" t="s">
        <v>1042</v>
      </c>
      <c r="E141" s="16" t="s">
        <v>1043</v>
      </c>
      <c r="F141" s="16" t="s">
        <v>1044</v>
      </c>
      <c r="G141" s="16" t="s">
        <v>1045</v>
      </c>
      <c r="H141" s="16" t="s">
        <v>1046</v>
      </c>
      <c r="I141" s="16"/>
      <c r="J141" s="17" t="s">
        <v>55</v>
      </c>
      <c r="K141" s="17" t="s">
        <v>67</v>
      </c>
      <c r="L141" s="17" t="s">
        <v>391</v>
      </c>
      <c r="M141" s="16" t="s">
        <v>58</v>
      </c>
      <c r="N141" s="18" t="s">
        <v>59</v>
      </c>
      <c r="O141" s="16"/>
    </row>
    <row r="142" spans="1:15">
      <c r="A142" s="15" t="s">
        <v>1047</v>
      </c>
      <c r="B142" s="16" t="s">
        <v>825</v>
      </c>
      <c r="C142" s="16" t="s">
        <v>1048</v>
      </c>
      <c r="D142" s="16" t="s">
        <v>1049</v>
      </c>
      <c r="E142" s="16" t="s">
        <v>1043</v>
      </c>
      <c r="F142" s="16" t="s">
        <v>1050</v>
      </c>
      <c r="G142" s="16" t="s">
        <v>1051</v>
      </c>
      <c r="H142" s="16" t="s">
        <v>1052</v>
      </c>
      <c r="I142" s="16"/>
      <c r="J142" s="17" t="s">
        <v>100</v>
      </c>
      <c r="K142" s="17" t="s">
        <v>101</v>
      </c>
      <c r="L142" s="17" t="s">
        <v>1053</v>
      </c>
      <c r="M142" s="16" t="s">
        <v>58</v>
      </c>
      <c r="N142" s="18" t="s">
        <v>59</v>
      </c>
      <c r="O142" s="16"/>
    </row>
    <row r="143" spans="1:15">
      <c r="A143" s="15" t="s">
        <v>1054</v>
      </c>
      <c r="B143" s="16" t="s">
        <v>825</v>
      </c>
      <c r="C143" s="16" t="s">
        <v>1055</v>
      </c>
      <c r="D143" s="16" t="s">
        <v>1056</v>
      </c>
      <c r="E143" s="16" t="s">
        <v>1043</v>
      </c>
      <c r="F143" s="16" t="s">
        <v>1057</v>
      </c>
      <c r="G143" s="16" t="s">
        <v>1058</v>
      </c>
      <c r="H143" s="16" t="s">
        <v>1059</v>
      </c>
      <c r="I143" s="16"/>
      <c r="J143" s="17" t="s">
        <v>100</v>
      </c>
      <c r="K143" s="17" t="s">
        <v>67</v>
      </c>
      <c r="L143" s="17" t="s">
        <v>140</v>
      </c>
      <c r="M143" s="16" t="s">
        <v>58</v>
      </c>
      <c r="N143" s="18" t="s">
        <v>59</v>
      </c>
      <c r="O143" s="16"/>
    </row>
    <row r="144" spans="1:15">
      <c r="A144" s="15" t="s">
        <v>1060</v>
      </c>
      <c r="B144" s="16" t="s">
        <v>825</v>
      </c>
      <c r="C144" s="16" t="s">
        <v>1061</v>
      </c>
      <c r="D144" s="16" t="s">
        <v>1062</v>
      </c>
      <c r="E144" s="16" t="s">
        <v>1063</v>
      </c>
      <c r="F144" s="16" t="s">
        <v>1064</v>
      </c>
      <c r="G144" s="16" t="s">
        <v>1065</v>
      </c>
      <c r="H144" s="16" t="s">
        <v>1066</v>
      </c>
      <c r="I144" s="16"/>
      <c r="J144" s="17" t="s">
        <v>55</v>
      </c>
      <c r="K144" s="17" t="s">
        <v>67</v>
      </c>
      <c r="L144" s="17" t="s">
        <v>308</v>
      </c>
      <c r="M144" s="16" t="s">
        <v>58</v>
      </c>
      <c r="N144" s="18" t="s">
        <v>59</v>
      </c>
      <c r="O144" s="16"/>
    </row>
    <row r="145" spans="1:15">
      <c r="A145" s="15" t="s">
        <v>1067</v>
      </c>
      <c r="B145" s="16" t="s">
        <v>825</v>
      </c>
      <c r="C145" s="16" t="s">
        <v>1068</v>
      </c>
      <c r="D145" s="16" t="s">
        <v>1069</v>
      </c>
      <c r="E145" s="16" t="s">
        <v>1070</v>
      </c>
      <c r="F145" s="16" t="s">
        <v>1071</v>
      </c>
      <c r="G145" s="16" t="s">
        <v>1072</v>
      </c>
      <c r="H145" s="16" t="s">
        <v>1073</v>
      </c>
      <c r="I145" s="16"/>
      <c r="J145" s="17" t="s">
        <v>100</v>
      </c>
      <c r="K145" s="17" t="s">
        <v>67</v>
      </c>
      <c r="L145" s="17" t="s">
        <v>81</v>
      </c>
      <c r="M145" s="16" t="s">
        <v>58</v>
      </c>
      <c r="N145" s="18" t="s">
        <v>59</v>
      </c>
      <c r="O145" s="16"/>
    </row>
    <row r="146" spans="1:15">
      <c r="A146" s="15" t="s">
        <v>1074</v>
      </c>
      <c r="B146" s="16" t="s">
        <v>825</v>
      </c>
      <c r="C146" s="16" t="s">
        <v>1075</v>
      </c>
      <c r="D146" s="16" t="s">
        <v>1076</v>
      </c>
      <c r="E146" s="16" t="s">
        <v>1077</v>
      </c>
      <c r="F146" s="16" t="s">
        <v>1078</v>
      </c>
      <c r="G146" s="16" t="s">
        <v>1079</v>
      </c>
      <c r="H146" s="16" t="s">
        <v>1080</v>
      </c>
      <c r="I146" s="16"/>
      <c r="J146" s="17" t="s">
        <v>100</v>
      </c>
      <c r="K146" s="17" t="s">
        <v>101</v>
      </c>
      <c r="L146" s="17" t="s">
        <v>308</v>
      </c>
      <c r="M146" s="16" t="s">
        <v>58</v>
      </c>
      <c r="N146" s="18" t="s">
        <v>59</v>
      </c>
      <c r="O146" s="16"/>
    </row>
    <row r="147" spans="1:15">
      <c r="A147" s="15" t="s">
        <v>1081</v>
      </c>
      <c r="B147" s="16" t="s">
        <v>825</v>
      </c>
      <c r="C147" s="16" t="s">
        <v>1082</v>
      </c>
      <c r="D147" s="16" t="s">
        <v>1083</v>
      </c>
      <c r="E147" s="16" t="s">
        <v>1084</v>
      </c>
      <c r="F147" s="16" t="s">
        <v>1085</v>
      </c>
      <c r="G147" s="16" t="s">
        <v>1086</v>
      </c>
      <c r="H147" s="16" t="s">
        <v>1087</v>
      </c>
      <c r="I147" s="16"/>
      <c r="J147" s="17" t="s">
        <v>228</v>
      </c>
      <c r="K147" s="17" t="s">
        <v>101</v>
      </c>
      <c r="L147" s="17" t="s">
        <v>1088</v>
      </c>
      <c r="M147" s="16" t="s">
        <v>58</v>
      </c>
      <c r="N147" s="18" t="s">
        <v>59</v>
      </c>
      <c r="O147" s="16"/>
    </row>
    <row r="148" spans="1:15">
      <c r="A148" s="15" t="s">
        <v>1089</v>
      </c>
      <c r="B148" s="16" t="s">
        <v>825</v>
      </c>
      <c r="C148" s="16" t="s">
        <v>1090</v>
      </c>
      <c r="D148" s="16" t="s">
        <v>1091</v>
      </c>
      <c r="E148" s="16" t="s">
        <v>1092</v>
      </c>
      <c r="F148" s="16" t="s">
        <v>1093</v>
      </c>
      <c r="G148" s="16" t="s">
        <v>1094</v>
      </c>
      <c r="H148" s="16" t="s">
        <v>1095</v>
      </c>
      <c r="I148" s="16"/>
      <c r="J148" s="17" t="s">
        <v>228</v>
      </c>
      <c r="K148" s="17" t="s">
        <v>101</v>
      </c>
      <c r="L148" s="17" t="s">
        <v>308</v>
      </c>
      <c r="M148" s="16" t="s">
        <v>58</v>
      </c>
      <c r="N148" s="18" t="s">
        <v>59</v>
      </c>
      <c r="O148" s="16"/>
    </row>
    <row r="149" spans="1:15">
      <c r="A149" s="15" t="s">
        <v>1096</v>
      </c>
      <c r="B149" s="16" t="s">
        <v>825</v>
      </c>
      <c r="C149" s="16" t="s">
        <v>1097</v>
      </c>
      <c r="D149" s="16" t="s">
        <v>1098</v>
      </c>
      <c r="E149" s="16" t="s">
        <v>1099</v>
      </c>
      <c r="F149" s="16" t="s">
        <v>1100</v>
      </c>
      <c r="G149" s="16" t="s">
        <v>1101</v>
      </c>
      <c r="H149" s="16" t="s">
        <v>1102</v>
      </c>
      <c r="I149" s="16"/>
      <c r="J149" s="17" t="s">
        <v>100</v>
      </c>
      <c r="K149" s="17" t="s">
        <v>101</v>
      </c>
      <c r="L149" s="17" t="s">
        <v>594</v>
      </c>
      <c r="M149" s="16" t="s">
        <v>58</v>
      </c>
      <c r="N149" s="18" t="s">
        <v>59</v>
      </c>
      <c r="O149" s="16"/>
    </row>
    <row r="150" spans="1:15">
      <c r="A150" s="15" t="s">
        <v>1103</v>
      </c>
      <c r="B150" s="16" t="s">
        <v>825</v>
      </c>
      <c r="C150" s="16" t="s">
        <v>1104</v>
      </c>
      <c r="D150" s="16" t="s">
        <v>1105</v>
      </c>
      <c r="E150" s="16" t="s">
        <v>1106</v>
      </c>
      <c r="F150" s="16" t="s">
        <v>1107</v>
      </c>
      <c r="G150" s="16" t="s">
        <v>1108</v>
      </c>
      <c r="H150" s="16" t="s">
        <v>1109</v>
      </c>
      <c r="I150" s="16"/>
      <c r="J150" s="17" t="s">
        <v>55</v>
      </c>
      <c r="K150" s="17" t="s">
        <v>56</v>
      </c>
      <c r="L150" s="17" t="s">
        <v>57</v>
      </c>
      <c r="M150" s="16" t="s">
        <v>58</v>
      </c>
      <c r="N150" s="18" t="s">
        <v>59</v>
      </c>
      <c r="O150" s="16"/>
    </row>
    <row r="151" spans="1:15">
      <c r="A151" s="15" t="s">
        <v>1110</v>
      </c>
      <c r="B151" s="16" t="s">
        <v>825</v>
      </c>
      <c r="C151" s="16" t="s">
        <v>1111</v>
      </c>
      <c r="D151" s="16" t="s">
        <v>1112</v>
      </c>
      <c r="E151" s="16" t="s">
        <v>1113</v>
      </c>
      <c r="F151" s="16" t="s">
        <v>1114</v>
      </c>
      <c r="G151" s="16" t="s">
        <v>1115</v>
      </c>
      <c r="H151" s="16" t="s">
        <v>1116</v>
      </c>
      <c r="I151" s="16"/>
      <c r="J151" s="17" t="s">
        <v>55</v>
      </c>
      <c r="K151" s="17" t="s">
        <v>56</v>
      </c>
      <c r="L151" s="17" t="s">
        <v>140</v>
      </c>
      <c r="M151" s="16" t="s">
        <v>141</v>
      </c>
      <c r="N151" s="18" t="s">
        <v>59</v>
      </c>
      <c r="O151" s="16"/>
    </row>
    <row r="152" spans="1:15">
      <c r="A152" s="12" t="s">
        <v>1117</v>
      </c>
      <c r="B152" s="10" t="s">
        <v>1118</v>
      </c>
      <c r="C152" s="10" t="s">
        <v>1119</v>
      </c>
      <c r="D152" s="10" t="s">
        <v>1120</v>
      </c>
      <c r="E152" s="10" t="s">
        <v>1121</v>
      </c>
      <c r="F152" s="10" t="s">
        <v>1122</v>
      </c>
      <c r="G152" s="10" t="s">
        <v>1123</v>
      </c>
      <c r="H152" s="10" t="s">
        <v>1124</v>
      </c>
      <c r="I152" s="10"/>
      <c r="J152" s="13" t="s">
        <v>55</v>
      </c>
      <c r="K152" s="13" t="s">
        <v>56</v>
      </c>
      <c r="L152" s="13" t="s">
        <v>57</v>
      </c>
      <c r="M152" s="10" t="s">
        <v>58</v>
      </c>
      <c r="N152" s="14" t="s">
        <v>59</v>
      </c>
      <c r="O152" s="10"/>
    </row>
    <row r="153" spans="1:15">
      <c r="A153" s="12" t="s">
        <v>1125</v>
      </c>
      <c r="B153" s="10" t="s">
        <v>1118</v>
      </c>
      <c r="C153" s="10" t="s">
        <v>1126</v>
      </c>
      <c r="D153" s="10" t="s">
        <v>1127</v>
      </c>
      <c r="E153" s="10" t="s">
        <v>1128</v>
      </c>
      <c r="F153" s="10" t="s">
        <v>1129</v>
      </c>
      <c r="G153" s="10" t="s">
        <v>1130</v>
      </c>
      <c r="H153" s="10" t="s">
        <v>1131</v>
      </c>
      <c r="I153" s="10"/>
      <c r="J153" s="13" t="s">
        <v>55</v>
      </c>
      <c r="K153" s="13" t="s">
        <v>67</v>
      </c>
      <c r="L153" s="13" t="s">
        <v>229</v>
      </c>
      <c r="M153" s="10" t="s">
        <v>58</v>
      </c>
      <c r="N153" s="14" t="s">
        <v>59</v>
      </c>
      <c r="O153" s="10"/>
    </row>
    <row r="154" spans="1:15">
      <c r="A154" s="12" t="s">
        <v>1132</v>
      </c>
      <c r="B154" s="10" t="s">
        <v>1118</v>
      </c>
      <c r="C154" s="10" t="s">
        <v>1133</v>
      </c>
      <c r="D154" s="10" t="s">
        <v>1134</v>
      </c>
      <c r="E154" s="10" t="s">
        <v>1135</v>
      </c>
      <c r="F154" s="10" t="s">
        <v>1136</v>
      </c>
      <c r="G154" s="10" t="s">
        <v>1137</v>
      </c>
      <c r="H154" s="10" t="s">
        <v>1138</v>
      </c>
      <c r="I154" s="10"/>
      <c r="J154" s="13" t="s">
        <v>55</v>
      </c>
      <c r="K154" s="13" t="s">
        <v>56</v>
      </c>
      <c r="L154" s="13" t="s">
        <v>1139</v>
      </c>
      <c r="M154" s="10" t="s">
        <v>58</v>
      </c>
      <c r="N154" s="14" t="s">
        <v>59</v>
      </c>
      <c r="O154" s="10"/>
    </row>
    <row r="155" spans="1:15">
      <c r="A155" s="12" t="s">
        <v>1140</v>
      </c>
      <c r="B155" s="10" t="s">
        <v>1118</v>
      </c>
      <c r="C155" s="10" t="s">
        <v>1141</v>
      </c>
      <c r="D155" s="10" t="s">
        <v>1142</v>
      </c>
      <c r="E155" s="10" t="s">
        <v>1143</v>
      </c>
      <c r="F155" s="10" t="s">
        <v>1144</v>
      </c>
      <c r="G155" s="10" t="s">
        <v>1145</v>
      </c>
      <c r="H155" s="10" t="s">
        <v>1146</v>
      </c>
      <c r="I155" s="10"/>
      <c r="J155" s="13" t="s">
        <v>55</v>
      </c>
      <c r="K155" s="13" t="s">
        <v>456</v>
      </c>
      <c r="L155" s="13" t="s">
        <v>299</v>
      </c>
      <c r="M155" s="10" t="s">
        <v>58</v>
      </c>
      <c r="N155" s="14" t="s">
        <v>59</v>
      </c>
      <c r="O155" s="10" t="s">
        <v>1147</v>
      </c>
    </row>
    <row r="156" spans="1:15">
      <c r="A156" s="12" t="s">
        <v>1148</v>
      </c>
      <c r="B156" s="10" t="s">
        <v>1118</v>
      </c>
      <c r="C156" s="10" t="s">
        <v>1149</v>
      </c>
      <c r="D156" s="10" t="s">
        <v>1150</v>
      </c>
      <c r="E156" s="10" t="s">
        <v>1151</v>
      </c>
      <c r="F156" s="10" t="s">
        <v>1152</v>
      </c>
      <c r="G156" s="10" t="s">
        <v>1153</v>
      </c>
      <c r="H156" s="10" t="s">
        <v>1154</v>
      </c>
      <c r="I156" s="10"/>
      <c r="J156" s="13" t="s">
        <v>55</v>
      </c>
      <c r="K156" s="13" t="s">
        <v>456</v>
      </c>
      <c r="L156" s="13" t="s">
        <v>185</v>
      </c>
      <c r="M156" s="10" t="s">
        <v>58</v>
      </c>
      <c r="N156" s="14" t="s">
        <v>59</v>
      </c>
      <c r="O156" s="10" t="s">
        <v>1155</v>
      </c>
    </row>
    <row r="157" spans="1:15">
      <c r="A157" s="12" t="s">
        <v>1156</v>
      </c>
      <c r="B157" s="10" t="s">
        <v>1118</v>
      </c>
      <c r="C157" s="10" t="s">
        <v>1157</v>
      </c>
      <c r="D157" s="10" t="s">
        <v>1158</v>
      </c>
      <c r="E157" s="10" t="s">
        <v>1159</v>
      </c>
      <c r="F157" s="10" t="s">
        <v>1160</v>
      </c>
      <c r="G157" s="10" t="s">
        <v>1161</v>
      </c>
      <c r="H157" s="10" t="s">
        <v>1162</v>
      </c>
      <c r="I157" s="10"/>
      <c r="J157" s="13" t="s">
        <v>55</v>
      </c>
      <c r="K157" s="13" t="s">
        <v>67</v>
      </c>
      <c r="L157" s="13" t="s">
        <v>1163</v>
      </c>
      <c r="M157" s="10" t="s">
        <v>58</v>
      </c>
      <c r="N157" s="14" t="s">
        <v>59</v>
      </c>
      <c r="O157" s="10"/>
    </row>
    <row r="158" spans="1:15">
      <c r="A158" s="12" t="s">
        <v>1164</v>
      </c>
      <c r="B158" s="10" t="s">
        <v>1118</v>
      </c>
      <c r="C158" s="10" t="s">
        <v>1165</v>
      </c>
      <c r="D158" s="10" t="s">
        <v>1166</v>
      </c>
      <c r="E158" s="10" t="s">
        <v>1167</v>
      </c>
      <c r="F158" s="10" t="s">
        <v>1168</v>
      </c>
      <c r="G158" s="10" t="s">
        <v>1169</v>
      </c>
      <c r="H158" s="10" t="s">
        <v>1170</v>
      </c>
      <c r="I158" s="10"/>
      <c r="J158" s="13" t="s">
        <v>55</v>
      </c>
      <c r="K158" s="13" t="s">
        <v>456</v>
      </c>
      <c r="L158" s="13" t="s">
        <v>1171</v>
      </c>
      <c r="M158" s="10" t="s">
        <v>58</v>
      </c>
      <c r="N158" s="14" t="s">
        <v>59</v>
      </c>
      <c r="O158" s="10"/>
    </row>
    <row r="159" spans="1:15">
      <c r="A159" s="12" t="s">
        <v>1172</v>
      </c>
      <c r="B159" s="10" t="s">
        <v>1118</v>
      </c>
      <c r="C159" s="10" t="s">
        <v>1173</v>
      </c>
      <c r="D159" s="10" t="s">
        <v>1174</v>
      </c>
      <c r="E159" s="10" t="s">
        <v>1175</v>
      </c>
      <c r="F159" s="10" t="s">
        <v>1176</v>
      </c>
      <c r="G159" s="10" t="s">
        <v>1177</v>
      </c>
      <c r="H159" s="10" t="s">
        <v>1178</v>
      </c>
      <c r="I159" s="10"/>
      <c r="J159" s="13" t="s">
        <v>55</v>
      </c>
      <c r="K159" s="13" t="s">
        <v>456</v>
      </c>
      <c r="L159" s="13" t="s">
        <v>299</v>
      </c>
      <c r="M159" s="10" t="s">
        <v>58</v>
      </c>
      <c r="N159" s="14" t="s">
        <v>59</v>
      </c>
      <c r="O159" s="10" t="s">
        <v>1179</v>
      </c>
    </row>
    <row r="160" spans="1:15">
      <c r="A160" s="12" t="s">
        <v>1180</v>
      </c>
      <c r="B160" s="10" t="s">
        <v>1118</v>
      </c>
      <c r="C160" s="10" t="s">
        <v>1181</v>
      </c>
      <c r="D160" s="10" t="s">
        <v>1182</v>
      </c>
      <c r="E160" s="10" t="s">
        <v>1183</v>
      </c>
      <c r="F160" s="10" t="s">
        <v>1184</v>
      </c>
      <c r="G160" s="10" t="s">
        <v>1185</v>
      </c>
      <c r="H160" s="10" t="s">
        <v>1186</v>
      </c>
      <c r="I160" s="10"/>
      <c r="J160" s="13" t="s">
        <v>55</v>
      </c>
      <c r="K160" s="13" t="s">
        <v>56</v>
      </c>
      <c r="L160" s="13" t="s">
        <v>1187</v>
      </c>
      <c r="M160" s="10" t="s">
        <v>58</v>
      </c>
      <c r="N160" s="14" t="s">
        <v>59</v>
      </c>
      <c r="O160" s="10"/>
    </row>
    <row r="161" spans="1:15">
      <c r="A161" s="12" t="s">
        <v>1188</v>
      </c>
      <c r="B161" s="10" t="s">
        <v>1118</v>
      </c>
      <c r="C161" s="10" t="s">
        <v>1189</v>
      </c>
      <c r="D161" s="10" t="s">
        <v>1190</v>
      </c>
      <c r="E161" s="10" t="s">
        <v>1191</v>
      </c>
      <c r="F161" s="10" t="s">
        <v>1192</v>
      </c>
      <c r="G161" s="10" t="s">
        <v>1193</v>
      </c>
      <c r="H161" s="10" t="s">
        <v>1194</v>
      </c>
      <c r="I161" s="10"/>
      <c r="J161" s="13" t="s">
        <v>55</v>
      </c>
      <c r="K161" s="13" t="s">
        <v>456</v>
      </c>
      <c r="L161" s="13" t="s">
        <v>1195</v>
      </c>
      <c r="M161" s="10" t="s">
        <v>58</v>
      </c>
      <c r="N161" s="14" t="s">
        <v>59</v>
      </c>
      <c r="O161" s="10" t="s">
        <v>1196</v>
      </c>
    </row>
    <row r="162" spans="1:15">
      <c r="A162" s="12" t="s">
        <v>1197</v>
      </c>
      <c r="B162" s="10" t="s">
        <v>1118</v>
      </c>
      <c r="C162" s="10" t="s">
        <v>1198</v>
      </c>
      <c r="D162" s="10" t="s">
        <v>1199</v>
      </c>
      <c r="E162" s="10" t="s">
        <v>1200</v>
      </c>
      <c r="F162" s="10" t="s">
        <v>1201</v>
      </c>
      <c r="G162" s="10" t="s">
        <v>1202</v>
      </c>
      <c r="H162" s="10" t="s">
        <v>1203</v>
      </c>
      <c r="I162" s="10"/>
      <c r="J162" s="13" t="s">
        <v>100</v>
      </c>
      <c r="K162" s="13" t="s">
        <v>67</v>
      </c>
      <c r="L162" s="13" t="s">
        <v>308</v>
      </c>
      <c r="M162" s="10" t="s">
        <v>58</v>
      </c>
      <c r="N162" s="14" t="s">
        <v>59</v>
      </c>
      <c r="O162" s="10"/>
    </row>
    <row r="163" spans="1:15">
      <c r="A163" s="12" t="s">
        <v>1204</v>
      </c>
      <c r="B163" s="10" t="s">
        <v>1118</v>
      </c>
      <c r="C163" s="10" t="s">
        <v>1205</v>
      </c>
      <c r="D163" s="10" t="s">
        <v>1206</v>
      </c>
      <c r="E163" s="10" t="s">
        <v>1207</v>
      </c>
      <c r="F163" s="10" t="s">
        <v>1208</v>
      </c>
      <c r="G163" s="10" t="s">
        <v>1209</v>
      </c>
      <c r="H163" s="10" t="s">
        <v>1210</v>
      </c>
      <c r="I163" s="10"/>
      <c r="J163" s="13" t="s">
        <v>100</v>
      </c>
      <c r="K163" s="13" t="s">
        <v>101</v>
      </c>
      <c r="L163" s="13" t="s">
        <v>308</v>
      </c>
      <c r="M163" s="10" t="s">
        <v>58</v>
      </c>
      <c r="N163" s="14" t="s">
        <v>59</v>
      </c>
      <c r="O163" s="10"/>
    </row>
    <row r="164" spans="1:15">
      <c r="A164" s="12" t="s">
        <v>1211</v>
      </c>
      <c r="B164" s="10" t="s">
        <v>1118</v>
      </c>
      <c r="C164" s="10" t="s">
        <v>1212</v>
      </c>
      <c r="D164" s="10" t="s">
        <v>1213</v>
      </c>
      <c r="E164" s="10" t="s">
        <v>1214</v>
      </c>
      <c r="F164" s="10" t="s">
        <v>709</v>
      </c>
      <c r="G164" s="10" t="s">
        <v>1215</v>
      </c>
      <c r="H164" s="10" t="s">
        <v>1216</v>
      </c>
      <c r="I164" s="10"/>
      <c r="J164" s="13" t="s">
        <v>100</v>
      </c>
      <c r="K164" s="13" t="s">
        <v>67</v>
      </c>
      <c r="L164" s="13" t="s">
        <v>118</v>
      </c>
      <c r="M164" s="10" t="s">
        <v>58</v>
      </c>
      <c r="N164" s="14" t="s">
        <v>59</v>
      </c>
      <c r="O164" s="10" t="s">
        <v>1217</v>
      </c>
    </row>
    <row r="165" spans="1:15">
      <c r="A165" s="12" t="s">
        <v>1218</v>
      </c>
      <c r="B165" s="10" t="s">
        <v>1118</v>
      </c>
      <c r="C165" s="10" t="s">
        <v>1219</v>
      </c>
      <c r="D165" s="10" t="s">
        <v>1220</v>
      </c>
      <c r="E165" s="10" t="s">
        <v>1221</v>
      </c>
      <c r="F165" s="10" t="s">
        <v>1222</v>
      </c>
      <c r="G165" s="10" t="s">
        <v>1223</v>
      </c>
      <c r="H165" s="10" t="s">
        <v>1224</v>
      </c>
      <c r="I165" s="10"/>
      <c r="J165" s="13" t="s">
        <v>100</v>
      </c>
      <c r="K165" s="13" t="s">
        <v>67</v>
      </c>
      <c r="L165" s="13" t="s">
        <v>81</v>
      </c>
      <c r="M165" s="10" t="s">
        <v>58</v>
      </c>
      <c r="N165" s="14" t="s">
        <v>59</v>
      </c>
      <c r="O165" s="10"/>
    </row>
    <row r="166" spans="1:15">
      <c r="A166" s="12" t="s">
        <v>1225</v>
      </c>
      <c r="B166" s="10" t="s">
        <v>1118</v>
      </c>
      <c r="C166" s="10" t="s">
        <v>1226</v>
      </c>
      <c r="D166" s="10" t="s">
        <v>1227</v>
      </c>
      <c r="E166" s="10" t="s">
        <v>1228</v>
      </c>
      <c r="F166" s="10" t="s">
        <v>1229</v>
      </c>
      <c r="G166" s="10" t="s">
        <v>1230</v>
      </c>
      <c r="H166" s="10" t="s">
        <v>1231</v>
      </c>
      <c r="I166" s="10"/>
      <c r="J166" s="13" t="s">
        <v>55</v>
      </c>
      <c r="K166" s="13" t="s">
        <v>56</v>
      </c>
      <c r="L166" s="13" t="s">
        <v>308</v>
      </c>
      <c r="M166" s="10" t="s">
        <v>58</v>
      </c>
      <c r="N166" s="14" t="s">
        <v>59</v>
      </c>
      <c r="O166" s="10"/>
    </row>
    <row r="167" spans="1:15">
      <c r="A167" s="12" t="s">
        <v>1232</v>
      </c>
      <c r="B167" s="10" t="s">
        <v>1118</v>
      </c>
      <c r="C167" s="10" t="s">
        <v>1233</v>
      </c>
      <c r="D167" s="10" t="s">
        <v>1234</v>
      </c>
      <c r="E167" s="10" t="s">
        <v>1235</v>
      </c>
      <c r="F167" s="10" t="s">
        <v>1236</v>
      </c>
      <c r="G167" s="10" t="s">
        <v>1237</v>
      </c>
      <c r="H167" s="10" t="s">
        <v>1238</v>
      </c>
      <c r="I167" s="10"/>
      <c r="J167" s="13" t="s">
        <v>55</v>
      </c>
      <c r="K167" s="13" t="s">
        <v>456</v>
      </c>
      <c r="L167" s="13" t="s">
        <v>1239</v>
      </c>
      <c r="M167" s="10" t="s">
        <v>58</v>
      </c>
      <c r="N167" s="14" t="s">
        <v>59</v>
      </c>
      <c r="O167" s="10" t="s">
        <v>1240</v>
      </c>
    </row>
    <row r="168" spans="1:15">
      <c r="A168" s="12" t="s">
        <v>1241</v>
      </c>
      <c r="B168" s="10" t="s">
        <v>1118</v>
      </c>
      <c r="C168" s="10" t="s">
        <v>1242</v>
      </c>
      <c r="D168" s="10" t="s">
        <v>1243</v>
      </c>
      <c r="E168" s="10" t="s">
        <v>632</v>
      </c>
      <c r="F168" s="10" t="s">
        <v>1244</v>
      </c>
      <c r="G168" s="10" t="s">
        <v>1245</v>
      </c>
      <c r="H168" s="10" t="s">
        <v>1246</v>
      </c>
      <c r="I168" s="10"/>
      <c r="J168" s="13" t="s">
        <v>55</v>
      </c>
      <c r="K168" s="13" t="s">
        <v>56</v>
      </c>
      <c r="L168" s="13" t="s">
        <v>441</v>
      </c>
      <c r="M168" s="10" t="s">
        <v>141</v>
      </c>
      <c r="N168" s="14" t="s">
        <v>59</v>
      </c>
      <c r="O168" s="10"/>
    </row>
    <row r="169" spans="1:15">
      <c r="A169" s="12" t="s">
        <v>1247</v>
      </c>
      <c r="B169" s="10" t="s">
        <v>1118</v>
      </c>
      <c r="C169" s="10" t="s">
        <v>1248</v>
      </c>
      <c r="D169" s="10" t="s">
        <v>1249</v>
      </c>
      <c r="E169" s="10" t="s">
        <v>1250</v>
      </c>
      <c r="F169" s="10" t="s">
        <v>1251</v>
      </c>
      <c r="G169" s="10" t="s">
        <v>1252</v>
      </c>
      <c r="H169" s="10" t="s">
        <v>1253</v>
      </c>
      <c r="I169" s="10"/>
      <c r="J169" s="13" t="s">
        <v>100</v>
      </c>
      <c r="K169" s="13" t="s">
        <v>67</v>
      </c>
      <c r="L169" s="13" t="s">
        <v>1254</v>
      </c>
      <c r="M169" s="10" t="s">
        <v>58</v>
      </c>
      <c r="N169" s="14" t="s">
        <v>59</v>
      </c>
      <c r="O169" s="10"/>
    </row>
    <row r="170" spans="1:15">
      <c r="A170" s="15" t="s">
        <v>1255</v>
      </c>
      <c r="B170" s="16" t="s">
        <v>1256</v>
      </c>
      <c r="C170" s="16" t="s">
        <v>1257</v>
      </c>
      <c r="D170" s="16" t="s">
        <v>1258</v>
      </c>
      <c r="E170" s="16" t="s">
        <v>1259</v>
      </c>
      <c r="F170" s="16" t="s">
        <v>1260</v>
      </c>
      <c r="G170" s="16" t="s">
        <v>1261</v>
      </c>
      <c r="H170" s="16" t="s">
        <v>1262</v>
      </c>
      <c r="I170" s="16"/>
      <c r="J170" s="17" t="s">
        <v>55</v>
      </c>
      <c r="K170" s="17" t="s">
        <v>56</v>
      </c>
      <c r="L170" s="17" t="s">
        <v>57</v>
      </c>
      <c r="M170" s="16" t="s">
        <v>58</v>
      </c>
      <c r="N170" s="18" t="s">
        <v>59</v>
      </c>
      <c r="O170" s="16"/>
    </row>
    <row r="171" spans="1:15">
      <c r="A171" s="15" t="s">
        <v>1263</v>
      </c>
      <c r="B171" s="16" t="s">
        <v>1256</v>
      </c>
      <c r="C171" s="16" t="s">
        <v>1264</v>
      </c>
      <c r="D171" s="16" t="s">
        <v>1265</v>
      </c>
      <c r="E171" s="16" t="s">
        <v>1266</v>
      </c>
      <c r="F171" s="16" t="s">
        <v>1267</v>
      </c>
      <c r="G171" s="16" t="s">
        <v>1268</v>
      </c>
      <c r="H171" s="16" t="s">
        <v>1269</v>
      </c>
      <c r="I171" s="16"/>
      <c r="J171" s="17" t="s">
        <v>55</v>
      </c>
      <c r="K171" s="17" t="s">
        <v>67</v>
      </c>
      <c r="L171" s="17" t="s">
        <v>102</v>
      </c>
      <c r="M171" s="16" t="s">
        <v>58</v>
      </c>
      <c r="N171" s="18" t="s">
        <v>59</v>
      </c>
      <c r="O171" s="16"/>
    </row>
    <row r="172" spans="1:15">
      <c r="A172" s="15" t="s">
        <v>1270</v>
      </c>
      <c r="B172" s="16" t="s">
        <v>1256</v>
      </c>
      <c r="C172" s="16" t="s">
        <v>1271</v>
      </c>
      <c r="D172" s="16" t="s">
        <v>1272</v>
      </c>
      <c r="E172" s="16" t="s">
        <v>1273</v>
      </c>
      <c r="F172" s="16" t="s">
        <v>1274</v>
      </c>
      <c r="G172" s="16" t="s">
        <v>1275</v>
      </c>
      <c r="H172" s="16" t="s">
        <v>1276</v>
      </c>
      <c r="I172" s="16"/>
      <c r="J172" s="17" t="s">
        <v>100</v>
      </c>
      <c r="K172" s="17" t="s">
        <v>101</v>
      </c>
      <c r="L172" s="17" t="s">
        <v>102</v>
      </c>
      <c r="M172" s="16" t="s">
        <v>58</v>
      </c>
      <c r="N172" s="18" t="s">
        <v>59</v>
      </c>
      <c r="O172" s="16"/>
    </row>
    <row r="173" spans="1:15">
      <c r="A173" s="15" t="s">
        <v>1277</v>
      </c>
      <c r="B173" s="16" t="s">
        <v>1256</v>
      </c>
      <c r="C173" s="16" t="s">
        <v>1278</v>
      </c>
      <c r="D173" s="16" t="s">
        <v>1279</v>
      </c>
      <c r="E173" s="16" t="s">
        <v>1280</v>
      </c>
      <c r="F173" s="16" t="s">
        <v>1281</v>
      </c>
      <c r="G173" s="16" t="s">
        <v>1282</v>
      </c>
      <c r="H173" s="16" t="s">
        <v>1283</v>
      </c>
      <c r="I173" s="16"/>
      <c r="J173" s="17" t="s">
        <v>55</v>
      </c>
      <c r="K173" s="17" t="s">
        <v>56</v>
      </c>
      <c r="L173" s="17" t="s">
        <v>1239</v>
      </c>
      <c r="M173" s="16" t="s">
        <v>58</v>
      </c>
      <c r="N173" s="18" t="s">
        <v>59</v>
      </c>
      <c r="O173" s="16" t="s">
        <v>1284</v>
      </c>
    </row>
    <row r="174" spans="1:15">
      <c r="A174" s="15" t="s">
        <v>1285</v>
      </c>
      <c r="B174" s="16" t="s">
        <v>1256</v>
      </c>
      <c r="C174" s="16" t="s">
        <v>1286</v>
      </c>
      <c r="D174" s="16" t="s">
        <v>1287</v>
      </c>
      <c r="E174" s="16" t="s">
        <v>1288</v>
      </c>
      <c r="F174" s="16" t="s">
        <v>1289</v>
      </c>
      <c r="G174" s="16" t="s">
        <v>1290</v>
      </c>
      <c r="H174" s="16" t="s">
        <v>1291</v>
      </c>
      <c r="I174" s="16"/>
      <c r="J174" s="17" t="s">
        <v>55</v>
      </c>
      <c r="K174" s="17" t="s">
        <v>67</v>
      </c>
      <c r="L174" s="17" t="s">
        <v>57</v>
      </c>
      <c r="M174" s="16" t="s">
        <v>58</v>
      </c>
      <c r="N174" s="18" t="s">
        <v>59</v>
      </c>
      <c r="O174" s="16"/>
    </row>
    <row r="175" spans="1:15">
      <c r="A175" s="15" t="s">
        <v>1292</v>
      </c>
      <c r="B175" s="16" t="s">
        <v>1256</v>
      </c>
      <c r="C175" s="16" t="s">
        <v>1293</v>
      </c>
      <c r="D175" s="16" t="s">
        <v>1294</v>
      </c>
      <c r="E175" s="16" t="s">
        <v>1295</v>
      </c>
      <c r="F175" s="16" t="s">
        <v>1296</v>
      </c>
      <c r="G175" s="16" t="s">
        <v>1297</v>
      </c>
      <c r="H175" s="16" t="s">
        <v>1298</v>
      </c>
      <c r="I175" s="16"/>
      <c r="J175" s="17" t="s">
        <v>100</v>
      </c>
      <c r="K175" s="17" t="s">
        <v>101</v>
      </c>
      <c r="L175" s="17" t="s">
        <v>81</v>
      </c>
      <c r="M175" s="16" t="s">
        <v>58</v>
      </c>
      <c r="N175" s="18" t="s">
        <v>59</v>
      </c>
      <c r="O175" s="16"/>
    </row>
    <row r="176" spans="1:15">
      <c r="A176" s="15" t="s">
        <v>1299</v>
      </c>
      <c r="B176" s="16" t="s">
        <v>1256</v>
      </c>
      <c r="C176" s="16" t="s">
        <v>1300</v>
      </c>
      <c r="D176" s="16" t="s">
        <v>1301</v>
      </c>
      <c r="E176" s="16" t="s">
        <v>1302</v>
      </c>
      <c r="F176" s="16" t="s">
        <v>1303</v>
      </c>
      <c r="G176" s="16" t="s">
        <v>1304</v>
      </c>
      <c r="H176" s="16" t="s">
        <v>1305</v>
      </c>
      <c r="I176" s="16"/>
      <c r="J176" s="17" t="s">
        <v>100</v>
      </c>
      <c r="K176" s="17" t="s">
        <v>67</v>
      </c>
      <c r="L176" s="17" t="s">
        <v>102</v>
      </c>
      <c r="M176" s="16" t="s">
        <v>58</v>
      </c>
      <c r="N176" s="18" t="s">
        <v>59</v>
      </c>
      <c r="O176" s="16"/>
    </row>
    <row r="177" spans="1:15">
      <c r="A177" s="15" t="s">
        <v>1306</v>
      </c>
      <c r="B177" s="16" t="s">
        <v>1256</v>
      </c>
      <c r="C177" s="16" t="s">
        <v>1307</v>
      </c>
      <c r="D177" s="16" t="s">
        <v>1308</v>
      </c>
      <c r="E177" s="16" t="s">
        <v>1309</v>
      </c>
      <c r="F177" s="16" t="s">
        <v>1310</v>
      </c>
      <c r="G177" s="16" t="s">
        <v>1311</v>
      </c>
      <c r="H177" s="16" t="s">
        <v>1312</v>
      </c>
      <c r="I177" s="16"/>
      <c r="J177" s="17" t="s">
        <v>100</v>
      </c>
      <c r="K177" s="17" t="s">
        <v>67</v>
      </c>
      <c r="L177" s="17" t="s">
        <v>118</v>
      </c>
      <c r="M177" s="16" t="s">
        <v>58</v>
      </c>
      <c r="N177" s="18" t="s">
        <v>59</v>
      </c>
      <c r="O177" s="16"/>
    </row>
    <row r="178" spans="1:15">
      <c r="A178" s="15" t="s">
        <v>1313</v>
      </c>
      <c r="B178" s="16" t="s">
        <v>1256</v>
      </c>
      <c r="C178" s="16" t="s">
        <v>1314</v>
      </c>
      <c r="D178" s="16" t="s">
        <v>1315</v>
      </c>
      <c r="E178" s="16" t="s">
        <v>1316</v>
      </c>
      <c r="F178" s="16" t="s">
        <v>1317</v>
      </c>
      <c r="G178" s="16" t="s">
        <v>1318</v>
      </c>
      <c r="H178" s="16" t="s">
        <v>1319</v>
      </c>
      <c r="I178" s="16"/>
      <c r="J178" s="17" t="s">
        <v>100</v>
      </c>
      <c r="K178" s="17" t="s">
        <v>101</v>
      </c>
      <c r="L178" s="17" t="s">
        <v>308</v>
      </c>
      <c r="M178" s="16" t="s">
        <v>58</v>
      </c>
      <c r="N178" s="18" t="s">
        <v>59</v>
      </c>
      <c r="O178" s="16"/>
    </row>
    <row r="179" spans="1:15">
      <c r="A179" s="15" t="s">
        <v>1320</v>
      </c>
      <c r="B179" s="16" t="s">
        <v>1256</v>
      </c>
      <c r="C179" s="16" t="s">
        <v>1321</v>
      </c>
      <c r="D179" s="16" t="s">
        <v>1322</v>
      </c>
      <c r="E179" s="16" t="s">
        <v>1323</v>
      </c>
      <c r="F179" s="16" t="s">
        <v>1324</v>
      </c>
      <c r="G179" s="16" t="s">
        <v>1325</v>
      </c>
      <c r="H179" s="16" t="s">
        <v>1326</v>
      </c>
      <c r="I179" s="16"/>
      <c r="J179" s="17" t="s">
        <v>55</v>
      </c>
      <c r="K179" s="17" t="s">
        <v>56</v>
      </c>
      <c r="L179" s="17" t="s">
        <v>57</v>
      </c>
      <c r="M179" s="16" t="s">
        <v>58</v>
      </c>
      <c r="N179" s="18" t="s">
        <v>59</v>
      </c>
      <c r="O179" s="16"/>
    </row>
    <row r="180" spans="1:15">
      <c r="A180" s="15" t="s">
        <v>1327</v>
      </c>
      <c r="B180" s="16" t="s">
        <v>1256</v>
      </c>
      <c r="C180" s="16" t="s">
        <v>1328</v>
      </c>
      <c r="D180" s="16" t="s">
        <v>1329</v>
      </c>
      <c r="E180" s="16" t="s">
        <v>1330</v>
      </c>
      <c r="F180" s="16" t="s">
        <v>1331</v>
      </c>
      <c r="G180" s="16" t="s">
        <v>668</v>
      </c>
      <c r="H180" s="16" t="s">
        <v>1332</v>
      </c>
      <c r="I180" s="16"/>
      <c r="J180" s="17" t="s">
        <v>100</v>
      </c>
      <c r="K180" s="17" t="s">
        <v>101</v>
      </c>
      <c r="L180" s="17" t="s">
        <v>81</v>
      </c>
      <c r="M180" s="16" t="s">
        <v>58</v>
      </c>
      <c r="N180" s="18" t="s">
        <v>59</v>
      </c>
      <c r="O180" s="16"/>
    </row>
    <row r="181" spans="1:15">
      <c r="A181" s="15" t="s">
        <v>1333</v>
      </c>
      <c r="B181" s="16" t="s">
        <v>1256</v>
      </c>
      <c r="C181" s="16" t="s">
        <v>1334</v>
      </c>
      <c r="D181" s="16" t="s">
        <v>1335</v>
      </c>
      <c r="E181" s="16" t="s">
        <v>1336</v>
      </c>
      <c r="F181" s="16" t="s">
        <v>1337</v>
      </c>
      <c r="G181" s="16" t="s">
        <v>1338</v>
      </c>
      <c r="H181" s="16" t="s">
        <v>1339</v>
      </c>
      <c r="I181" s="16"/>
      <c r="J181" s="17" t="s">
        <v>55</v>
      </c>
      <c r="K181" s="17" t="s">
        <v>67</v>
      </c>
      <c r="L181" s="17" t="s">
        <v>149</v>
      </c>
      <c r="M181" s="16" t="s">
        <v>58</v>
      </c>
      <c r="N181" s="18" t="s">
        <v>59</v>
      </c>
      <c r="O181" s="16"/>
    </row>
    <row r="182" spans="1:15">
      <c r="A182" s="15" t="s">
        <v>1340</v>
      </c>
      <c r="B182" s="16" t="s">
        <v>1256</v>
      </c>
      <c r="C182" s="16" t="s">
        <v>1341</v>
      </c>
      <c r="D182" s="16" t="s">
        <v>1342</v>
      </c>
      <c r="E182" s="16" t="s">
        <v>1343</v>
      </c>
      <c r="F182" s="16" t="s">
        <v>1344</v>
      </c>
      <c r="G182" s="16" t="s">
        <v>1345</v>
      </c>
      <c r="H182" s="16" t="s">
        <v>1346</v>
      </c>
      <c r="I182" s="16"/>
      <c r="J182" s="17" t="s">
        <v>55</v>
      </c>
      <c r="K182" s="17" t="s">
        <v>56</v>
      </c>
      <c r="L182" s="17" t="s">
        <v>149</v>
      </c>
      <c r="M182" s="16" t="s">
        <v>58</v>
      </c>
      <c r="N182" s="18" t="s">
        <v>59</v>
      </c>
      <c r="O182" s="16"/>
    </row>
    <row r="183" spans="1:15">
      <c r="A183" s="15" t="s">
        <v>1347</v>
      </c>
      <c r="B183" s="16" t="s">
        <v>1256</v>
      </c>
      <c r="C183" s="16" t="s">
        <v>1348</v>
      </c>
      <c r="D183" s="16" t="s">
        <v>1349</v>
      </c>
      <c r="E183" s="16" t="s">
        <v>1350</v>
      </c>
      <c r="F183" s="16" t="s">
        <v>1351</v>
      </c>
      <c r="G183" s="16" t="s">
        <v>1352</v>
      </c>
      <c r="H183" s="16" t="s">
        <v>1353</v>
      </c>
      <c r="I183" s="16"/>
      <c r="J183" s="17" t="s">
        <v>100</v>
      </c>
      <c r="K183" s="17" t="s">
        <v>67</v>
      </c>
      <c r="L183" s="17" t="s">
        <v>1354</v>
      </c>
      <c r="M183" s="16" t="s">
        <v>58</v>
      </c>
      <c r="N183" s="18" t="s">
        <v>59</v>
      </c>
      <c r="O183" s="16"/>
    </row>
    <row r="184" spans="1:15">
      <c r="A184" s="15" t="s">
        <v>1355</v>
      </c>
      <c r="B184" s="16" t="s">
        <v>1256</v>
      </c>
      <c r="C184" s="16" t="s">
        <v>1356</v>
      </c>
      <c r="D184" s="16" t="s">
        <v>1357</v>
      </c>
      <c r="E184" s="16" t="s">
        <v>1330</v>
      </c>
      <c r="F184" s="16" t="s">
        <v>1358</v>
      </c>
      <c r="G184" s="16" t="s">
        <v>1359</v>
      </c>
      <c r="H184" s="16" t="s">
        <v>1360</v>
      </c>
      <c r="I184" s="16"/>
      <c r="J184" s="17" t="s">
        <v>100</v>
      </c>
      <c r="K184" s="17" t="s">
        <v>101</v>
      </c>
      <c r="L184" s="17" t="s">
        <v>81</v>
      </c>
      <c r="M184" s="16" t="s">
        <v>58</v>
      </c>
      <c r="N184" s="18" t="s">
        <v>59</v>
      </c>
      <c r="O184" s="16"/>
    </row>
    <row r="185" spans="1:15">
      <c r="A185" s="15" t="s">
        <v>1361</v>
      </c>
      <c r="B185" s="16" t="s">
        <v>1256</v>
      </c>
      <c r="C185" s="16" t="s">
        <v>1362</v>
      </c>
      <c r="D185" s="16" t="s">
        <v>1363</v>
      </c>
      <c r="E185" s="16" t="s">
        <v>1364</v>
      </c>
      <c r="F185" s="16" t="s">
        <v>1365</v>
      </c>
      <c r="G185" s="16" t="s">
        <v>1366</v>
      </c>
      <c r="H185" s="16" t="s">
        <v>1367</v>
      </c>
      <c r="I185" s="16"/>
      <c r="J185" s="17" t="s">
        <v>55</v>
      </c>
      <c r="K185" s="17" t="s">
        <v>456</v>
      </c>
      <c r="L185" s="17" t="s">
        <v>1368</v>
      </c>
      <c r="M185" s="16" t="s">
        <v>58</v>
      </c>
      <c r="N185" s="18" t="s">
        <v>59</v>
      </c>
      <c r="O185" s="16" t="s">
        <v>1369</v>
      </c>
    </row>
    <row r="186" spans="1:15">
      <c r="A186" s="15" t="s">
        <v>1370</v>
      </c>
      <c r="B186" s="16" t="s">
        <v>1256</v>
      </c>
      <c r="C186" s="16" t="s">
        <v>1371</v>
      </c>
      <c r="D186" s="16" t="s">
        <v>1372</v>
      </c>
      <c r="E186" s="16" t="s">
        <v>1373</v>
      </c>
      <c r="F186" s="16" t="s">
        <v>1374</v>
      </c>
      <c r="G186" s="16" t="s">
        <v>1375</v>
      </c>
      <c r="H186" s="16" t="s">
        <v>1376</v>
      </c>
      <c r="I186" s="16"/>
      <c r="J186" s="17" t="s">
        <v>100</v>
      </c>
      <c r="K186" s="17" t="s">
        <v>67</v>
      </c>
      <c r="L186" s="17" t="s">
        <v>57</v>
      </c>
      <c r="M186" s="16" t="s">
        <v>58</v>
      </c>
      <c r="N186" s="18" t="s">
        <v>59</v>
      </c>
      <c r="O186" s="16"/>
    </row>
    <row r="187" spans="1:15">
      <c r="A187" s="15" t="s">
        <v>1377</v>
      </c>
      <c r="B187" s="16" t="s">
        <v>1256</v>
      </c>
      <c r="C187" s="16" t="s">
        <v>1378</v>
      </c>
      <c r="D187" s="16" t="s">
        <v>1379</v>
      </c>
      <c r="E187" s="16" t="s">
        <v>1380</v>
      </c>
      <c r="F187" s="16" t="s">
        <v>1381</v>
      </c>
      <c r="G187" s="16" t="s">
        <v>1382</v>
      </c>
      <c r="H187" s="16" t="s">
        <v>1383</v>
      </c>
      <c r="I187" s="16"/>
      <c r="J187" s="17" t="s">
        <v>55</v>
      </c>
      <c r="K187" s="17" t="s">
        <v>67</v>
      </c>
      <c r="L187" s="17" t="s">
        <v>57</v>
      </c>
      <c r="M187" s="16" t="s">
        <v>58</v>
      </c>
      <c r="N187" s="18" t="s">
        <v>59</v>
      </c>
      <c r="O187" s="16"/>
    </row>
    <row r="188" spans="1:15">
      <c r="A188" s="15" t="s">
        <v>1384</v>
      </c>
      <c r="B188" s="16" t="s">
        <v>1256</v>
      </c>
      <c r="C188" s="16" t="s">
        <v>1385</v>
      </c>
      <c r="D188" s="16" t="s">
        <v>1386</v>
      </c>
      <c r="E188" s="16" t="s">
        <v>1387</v>
      </c>
      <c r="F188" s="16" t="s">
        <v>1388</v>
      </c>
      <c r="G188" s="16" t="s">
        <v>1389</v>
      </c>
      <c r="H188" s="16" t="s">
        <v>1390</v>
      </c>
      <c r="I188" s="16"/>
      <c r="J188" s="17" t="s">
        <v>55</v>
      </c>
      <c r="K188" s="17" t="s">
        <v>56</v>
      </c>
      <c r="L188" s="17" t="s">
        <v>118</v>
      </c>
      <c r="M188" s="16" t="s">
        <v>58</v>
      </c>
      <c r="N188" s="18" t="s">
        <v>59</v>
      </c>
      <c r="O188" s="16"/>
    </row>
    <row r="189" spans="1:15">
      <c r="A189" s="15" t="s">
        <v>1391</v>
      </c>
      <c r="B189" s="16" t="s">
        <v>1256</v>
      </c>
      <c r="C189" s="16" t="s">
        <v>1392</v>
      </c>
      <c r="D189" s="16" t="s">
        <v>1393</v>
      </c>
      <c r="E189" s="16" t="s">
        <v>1394</v>
      </c>
      <c r="F189" s="16" t="s">
        <v>1395</v>
      </c>
      <c r="G189" s="16" t="s">
        <v>1396</v>
      </c>
      <c r="H189" s="16" t="s">
        <v>1397</v>
      </c>
      <c r="I189" s="16"/>
      <c r="J189" s="17" t="s">
        <v>100</v>
      </c>
      <c r="K189" s="17" t="s">
        <v>101</v>
      </c>
      <c r="L189" s="17" t="s">
        <v>308</v>
      </c>
      <c r="M189" s="16" t="s">
        <v>58</v>
      </c>
      <c r="N189" s="18" t="s">
        <v>59</v>
      </c>
      <c r="O189" s="16"/>
    </row>
    <row r="190" spans="1:15">
      <c r="A190" s="15" t="s">
        <v>1398</v>
      </c>
      <c r="B190" s="16" t="s">
        <v>1256</v>
      </c>
      <c r="C190" s="16" t="s">
        <v>1399</v>
      </c>
      <c r="D190" s="16" t="s">
        <v>1400</v>
      </c>
      <c r="E190" s="16" t="s">
        <v>1401</v>
      </c>
      <c r="F190" s="16" t="s">
        <v>1402</v>
      </c>
      <c r="G190" s="16" t="s">
        <v>1403</v>
      </c>
      <c r="H190" s="16" t="s">
        <v>1404</v>
      </c>
      <c r="I190" s="16"/>
      <c r="J190" s="17" t="s">
        <v>228</v>
      </c>
      <c r="K190" s="17" t="s">
        <v>101</v>
      </c>
      <c r="L190" s="17" t="s">
        <v>308</v>
      </c>
      <c r="M190" s="16" t="s">
        <v>58</v>
      </c>
      <c r="N190" s="18" t="s">
        <v>59</v>
      </c>
      <c r="O190" s="16"/>
    </row>
    <row r="191" spans="1:15">
      <c r="A191" s="15" t="s">
        <v>1405</v>
      </c>
      <c r="B191" s="16" t="s">
        <v>1256</v>
      </c>
      <c r="C191" s="16" t="s">
        <v>1406</v>
      </c>
      <c r="D191" s="16" t="s">
        <v>1407</v>
      </c>
      <c r="E191" s="16" t="s">
        <v>1408</v>
      </c>
      <c r="F191" s="16" t="s">
        <v>1409</v>
      </c>
      <c r="G191" s="16" t="s">
        <v>1410</v>
      </c>
      <c r="H191" s="16" t="s">
        <v>1411</v>
      </c>
      <c r="I191" s="16"/>
      <c r="J191" s="17" t="s">
        <v>100</v>
      </c>
      <c r="K191" s="17" t="s">
        <v>101</v>
      </c>
      <c r="L191" s="17" t="s">
        <v>308</v>
      </c>
      <c r="M191" s="16" t="s">
        <v>58</v>
      </c>
      <c r="N191" s="18" t="s">
        <v>59</v>
      </c>
      <c r="O191" s="16"/>
    </row>
    <row r="192" spans="1:15">
      <c r="A192" s="15" t="s">
        <v>1412</v>
      </c>
      <c r="B192" s="16" t="s">
        <v>1256</v>
      </c>
      <c r="C192" s="16" t="s">
        <v>1413</v>
      </c>
      <c r="D192" s="16" t="s">
        <v>1414</v>
      </c>
      <c r="E192" s="16" t="s">
        <v>1415</v>
      </c>
      <c r="F192" s="16" t="s">
        <v>1416</v>
      </c>
      <c r="G192" s="16" t="s">
        <v>1417</v>
      </c>
      <c r="H192" s="16" t="s">
        <v>1418</v>
      </c>
      <c r="I192" s="16"/>
      <c r="J192" s="17" t="s">
        <v>55</v>
      </c>
      <c r="K192" s="17" t="s">
        <v>56</v>
      </c>
      <c r="L192" s="17" t="s">
        <v>299</v>
      </c>
      <c r="M192" s="16" t="s">
        <v>58</v>
      </c>
      <c r="N192" s="18" t="s">
        <v>59</v>
      </c>
      <c r="O192" s="16"/>
    </row>
    <row r="193" spans="1:15">
      <c r="A193" s="15" t="s">
        <v>1419</v>
      </c>
      <c r="B193" s="16" t="s">
        <v>1256</v>
      </c>
      <c r="C193" s="16" t="s">
        <v>1420</v>
      </c>
      <c r="D193" s="16" t="s">
        <v>1421</v>
      </c>
      <c r="E193" s="16" t="s">
        <v>1422</v>
      </c>
      <c r="F193" s="16" t="s">
        <v>1423</v>
      </c>
      <c r="G193" s="16" t="s">
        <v>1424</v>
      </c>
      <c r="H193" s="16" t="s">
        <v>1425</v>
      </c>
      <c r="I193" s="16"/>
      <c r="J193" s="17" t="s">
        <v>55</v>
      </c>
      <c r="K193" s="17" t="s">
        <v>456</v>
      </c>
      <c r="L193" s="17" t="s">
        <v>1239</v>
      </c>
      <c r="M193" s="16" t="s">
        <v>58</v>
      </c>
      <c r="N193" s="18" t="s">
        <v>59</v>
      </c>
      <c r="O193" s="16"/>
    </row>
    <row r="194" spans="1:15">
      <c r="A194" s="15" t="s">
        <v>1426</v>
      </c>
      <c r="B194" s="16" t="s">
        <v>1256</v>
      </c>
      <c r="C194" s="16" t="s">
        <v>1427</v>
      </c>
      <c r="D194" s="16" t="s">
        <v>1428</v>
      </c>
      <c r="E194" s="16" t="s">
        <v>1429</v>
      </c>
      <c r="F194" s="16" t="s">
        <v>1430</v>
      </c>
      <c r="G194" s="16" t="s">
        <v>1431</v>
      </c>
      <c r="H194" s="16" t="s">
        <v>1432</v>
      </c>
      <c r="I194" s="16"/>
      <c r="J194" s="17" t="s">
        <v>55</v>
      </c>
      <c r="K194" s="17" t="s">
        <v>56</v>
      </c>
      <c r="L194" s="17" t="s">
        <v>149</v>
      </c>
      <c r="M194" s="16" t="s">
        <v>58</v>
      </c>
      <c r="N194" s="18" t="s">
        <v>59</v>
      </c>
      <c r="O194" s="16"/>
    </row>
    <row r="195" spans="1:15">
      <c r="A195" s="15" t="s">
        <v>1433</v>
      </c>
      <c r="B195" s="16" t="s">
        <v>1256</v>
      </c>
      <c r="C195" s="16" t="s">
        <v>1434</v>
      </c>
      <c r="D195" s="16" t="s">
        <v>1435</v>
      </c>
      <c r="E195" s="16" t="s">
        <v>1436</v>
      </c>
      <c r="F195" s="16" t="s">
        <v>1437</v>
      </c>
      <c r="G195" s="16" t="s">
        <v>1438</v>
      </c>
      <c r="H195" s="16" t="s">
        <v>1439</v>
      </c>
      <c r="I195" s="16"/>
      <c r="J195" s="17" t="s">
        <v>100</v>
      </c>
      <c r="K195" s="17" t="s">
        <v>67</v>
      </c>
      <c r="L195" s="17" t="s">
        <v>594</v>
      </c>
      <c r="M195" s="16" t="s">
        <v>58</v>
      </c>
      <c r="N195" s="18" t="s">
        <v>59</v>
      </c>
      <c r="O195" s="16"/>
    </row>
    <row r="196" spans="1:15">
      <c r="A196" s="15" t="s">
        <v>1440</v>
      </c>
      <c r="B196" s="16" t="s">
        <v>1256</v>
      </c>
      <c r="C196" s="16" t="s">
        <v>1441</v>
      </c>
      <c r="D196" s="16" t="s">
        <v>1442</v>
      </c>
      <c r="E196" s="16" t="s">
        <v>1443</v>
      </c>
      <c r="F196" s="16" t="s">
        <v>1444</v>
      </c>
      <c r="G196" s="16" t="s">
        <v>1445</v>
      </c>
      <c r="H196" s="16" t="s">
        <v>1446</v>
      </c>
      <c r="I196" s="16"/>
      <c r="J196" s="17" t="s">
        <v>228</v>
      </c>
      <c r="K196" s="17" t="s">
        <v>101</v>
      </c>
      <c r="L196" s="17" t="s">
        <v>81</v>
      </c>
      <c r="M196" s="16" t="s">
        <v>58</v>
      </c>
      <c r="N196" s="18" t="s">
        <v>59</v>
      </c>
      <c r="O196" s="16"/>
    </row>
    <row r="197" spans="1:15">
      <c r="A197" s="15" t="s">
        <v>1447</v>
      </c>
      <c r="B197" s="16" t="s">
        <v>1256</v>
      </c>
      <c r="C197" s="16" t="s">
        <v>1448</v>
      </c>
      <c r="D197" s="16" t="s">
        <v>1449</v>
      </c>
      <c r="E197" s="16" t="s">
        <v>1450</v>
      </c>
      <c r="F197" s="16" t="s">
        <v>1451</v>
      </c>
      <c r="G197" s="16" t="s">
        <v>1452</v>
      </c>
      <c r="H197" s="16" t="s">
        <v>1453</v>
      </c>
      <c r="I197" s="16"/>
      <c r="J197" s="17" t="s">
        <v>55</v>
      </c>
      <c r="K197" s="17" t="s">
        <v>56</v>
      </c>
      <c r="L197" s="17" t="s">
        <v>1454</v>
      </c>
      <c r="M197" s="16" t="s">
        <v>58</v>
      </c>
      <c r="N197" s="18" t="s">
        <v>59</v>
      </c>
      <c r="O197" s="16" t="s">
        <v>1455</v>
      </c>
    </row>
    <row r="198" spans="1:15">
      <c r="A198" s="15" t="s">
        <v>1456</v>
      </c>
      <c r="B198" s="16" t="s">
        <v>1256</v>
      </c>
      <c r="C198" s="16" t="s">
        <v>1457</v>
      </c>
      <c r="D198" s="16" t="s">
        <v>1458</v>
      </c>
      <c r="E198" s="16" t="s">
        <v>1459</v>
      </c>
      <c r="F198" s="16" t="s">
        <v>1460</v>
      </c>
      <c r="G198" s="16" t="s">
        <v>1461</v>
      </c>
      <c r="H198" s="16" t="s">
        <v>1462</v>
      </c>
      <c r="I198" s="16"/>
      <c r="J198" s="17" t="s">
        <v>100</v>
      </c>
      <c r="K198" s="17" t="s">
        <v>67</v>
      </c>
      <c r="L198" s="17" t="s">
        <v>1354</v>
      </c>
      <c r="M198" s="16" t="s">
        <v>58</v>
      </c>
      <c r="N198" s="18" t="s">
        <v>59</v>
      </c>
      <c r="O198" s="16"/>
    </row>
    <row r="199" spans="1:15">
      <c r="A199" s="15" t="s">
        <v>1463</v>
      </c>
      <c r="B199" s="16" t="s">
        <v>1256</v>
      </c>
      <c r="C199" s="16" t="s">
        <v>1464</v>
      </c>
      <c r="D199" s="16" t="s">
        <v>1465</v>
      </c>
      <c r="E199" s="16" t="s">
        <v>1466</v>
      </c>
      <c r="F199" s="16" t="s">
        <v>1467</v>
      </c>
      <c r="G199" s="16" t="s">
        <v>1468</v>
      </c>
      <c r="H199" s="16" t="s">
        <v>1469</v>
      </c>
      <c r="I199" s="16"/>
      <c r="J199" s="17" t="s">
        <v>55</v>
      </c>
      <c r="K199" s="17" t="s">
        <v>456</v>
      </c>
      <c r="L199" s="17" t="s">
        <v>488</v>
      </c>
      <c r="M199" s="16" t="s">
        <v>58</v>
      </c>
      <c r="N199" s="18" t="s">
        <v>59</v>
      </c>
      <c r="O199" s="16" t="s">
        <v>1470</v>
      </c>
    </row>
    <row r="200" spans="1:15">
      <c r="A200" s="12" t="s">
        <v>1471</v>
      </c>
      <c r="B200" s="10" t="s">
        <v>1472</v>
      </c>
      <c r="C200" s="10" t="s">
        <v>1473</v>
      </c>
      <c r="D200" s="10" t="s">
        <v>1474</v>
      </c>
      <c r="E200" s="10" t="s">
        <v>1475</v>
      </c>
      <c r="F200" s="10" t="s">
        <v>1476</v>
      </c>
      <c r="G200" s="10" t="s">
        <v>1477</v>
      </c>
      <c r="H200" s="10" t="s">
        <v>1478</v>
      </c>
      <c r="I200" s="10"/>
      <c r="J200" s="13" t="s">
        <v>55</v>
      </c>
      <c r="K200" s="13" t="s">
        <v>56</v>
      </c>
      <c r="L200" s="13" t="s">
        <v>57</v>
      </c>
      <c r="M200" s="10" t="s">
        <v>58</v>
      </c>
      <c r="N200" s="14" t="s">
        <v>59</v>
      </c>
      <c r="O200" s="10"/>
    </row>
    <row r="201" spans="1:15">
      <c r="A201" s="12" t="s">
        <v>1479</v>
      </c>
      <c r="B201" s="10" t="s">
        <v>1472</v>
      </c>
      <c r="C201" s="10" t="s">
        <v>1480</v>
      </c>
      <c r="D201" s="10" t="s">
        <v>1481</v>
      </c>
      <c r="E201" s="10" t="s">
        <v>1475</v>
      </c>
      <c r="F201" s="10" t="s">
        <v>1482</v>
      </c>
      <c r="G201" s="10" t="s">
        <v>1483</v>
      </c>
      <c r="H201" s="10" t="s">
        <v>1484</v>
      </c>
      <c r="I201" s="10"/>
      <c r="J201" s="13" t="s">
        <v>55</v>
      </c>
      <c r="K201" s="13" t="s">
        <v>67</v>
      </c>
      <c r="L201" s="13" t="s">
        <v>57</v>
      </c>
      <c r="M201" s="10" t="s">
        <v>58</v>
      </c>
      <c r="N201" s="14" t="s">
        <v>59</v>
      </c>
      <c r="O201" s="10"/>
    </row>
    <row r="202" spans="1:15">
      <c r="A202" s="12" t="s">
        <v>1485</v>
      </c>
      <c r="B202" s="10" t="s">
        <v>1472</v>
      </c>
      <c r="C202" s="10" t="s">
        <v>1486</v>
      </c>
      <c r="D202" s="10" t="s">
        <v>1487</v>
      </c>
      <c r="E202" s="10" t="s">
        <v>1488</v>
      </c>
      <c r="F202" s="10" t="s">
        <v>1489</v>
      </c>
      <c r="G202" s="10" t="s">
        <v>1490</v>
      </c>
      <c r="H202" s="10" t="s">
        <v>1491</v>
      </c>
      <c r="I202" s="10"/>
      <c r="J202" s="13" t="s">
        <v>55</v>
      </c>
      <c r="K202" s="13" t="s">
        <v>56</v>
      </c>
      <c r="L202" s="13" t="s">
        <v>57</v>
      </c>
      <c r="M202" s="10" t="s">
        <v>58</v>
      </c>
      <c r="N202" s="14" t="s">
        <v>59</v>
      </c>
      <c r="O202" s="10"/>
    </row>
    <row r="203" spans="1:15">
      <c r="A203" s="12" t="s">
        <v>1492</v>
      </c>
      <c r="B203" s="10" t="s">
        <v>1472</v>
      </c>
      <c r="C203" s="10" t="s">
        <v>1493</v>
      </c>
      <c r="D203" s="10" t="s">
        <v>1494</v>
      </c>
      <c r="E203" s="10" t="s">
        <v>1495</v>
      </c>
      <c r="F203" s="10" t="s">
        <v>1496</v>
      </c>
      <c r="G203" s="10" t="s">
        <v>1497</v>
      </c>
      <c r="H203" s="10" t="s">
        <v>1498</v>
      </c>
      <c r="I203" s="10"/>
      <c r="J203" s="13" t="s">
        <v>55</v>
      </c>
      <c r="K203" s="13" t="s">
        <v>67</v>
      </c>
      <c r="L203" s="13" t="s">
        <v>110</v>
      </c>
      <c r="M203" s="10" t="s">
        <v>58</v>
      </c>
      <c r="N203" s="14" t="s">
        <v>59</v>
      </c>
      <c r="O203" s="10"/>
    </row>
    <row r="204" spans="1:15">
      <c r="A204" s="12" t="s">
        <v>1499</v>
      </c>
      <c r="B204" s="10" t="s">
        <v>1472</v>
      </c>
      <c r="C204" s="10" t="s">
        <v>1500</v>
      </c>
      <c r="D204" s="10" t="s">
        <v>1501</v>
      </c>
      <c r="E204" s="10" t="s">
        <v>1502</v>
      </c>
      <c r="F204" s="10" t="s">
        <v>1503</v>
      </c>
      <c r="G204" s="10" t="s">
        <v>1504</v>
      </c>
      <c r="H204" s="10" t="s">
        <v>1505</v>
      </c>
      <c r="I204" s="10"/>
      <c r="J204" s="13" t="s">
        <v>55</v>
      </c>
      <c r="K204" s="13" t="s">
        <v>456</v>
      </c>
      <c r="L204" s="13" t="s">
        <v>185</v>
      </c>
      <c r="M204" s="10" t="s">
        <v>58</v>
      </c>
      <c r="N204" s="14" t="s">
        <v>59</v>
      </c>
      <c r="O204" s="10" t="s">
        <v>1506</v>
      </c>
    </row>
    <row r="205" spans="1:15">
      <c r="A205" s="12" t="s">
        <v>1507</v>
      </c>
      <c r="B205" s="10" t="s">
        <v>1472</v>
      </c>
      <c r="C205" s="10" t="s">
        <v>1508</v>
      </c>
      <c r="D205" s="10" t="s">
        <v>1509</v>
      </c>
      <c r="E205" s="10" t="s">
        <v>1510</v>
      </c>
      <c r="F205" s="10" t="s">
        <v>1511</v>
      </c>
      <c r="G205" s="10" t="s">
        <v>1512</v>
      </c>
      <c r="H205" s="10" t="s">
        <v>1513</v>
      </c>
      <c r="I205" s="10"/>
      <c r="J205" s="13" t="s">
        <v>100</v>
      </c>
      <c r="K205" s="13" t="s">
        <v>67</v>
      </c>
      <c r="L205" s="13" t="s">
        <v>185</v>
      </c>
      <c r="M205" s="10" t="s">
        <v>58</v>
      </c>
      <c r="N205" s="14" t="s">
        <v>59</v>
      </c>
      <c r="O205" s="10"/>
    </row>
    <row r="206" spans="1:15">
      <c r="A206" s="12" t="s">
        <v>1514</v>
      </c>
      <c r="B206" s="10" t="s">
        <v>1472</v>
      </c>
      <c r="C206" s="10" t="s">
        <v>1515</v>
      </c>
      <c r="D206" s="10" t="s">
        <v>1516</v>
      </c>
      <c r="E206" s="10" t="s">
        <v>1517</v>
      </c>
      <c r="F206" s="10" t="s">
        <v>1518</v>
      </c>
      <c r="G206" s="10" t="s">
        <v>1352</v>
      </c>
      <c r="H206" s="10" t="s">
        <v>1519</v>
      </c>
      <c r="I206" s="10"/>
      <c r="J206" s="13" t="s">
        <v>100</v>
      </c>
      <c r="K206" s="13" t="s">
        <v>67</v>
      </c>
      <c r="L206" s="13" t="s">
        <v>102</v>
      </c>
      <c r="M206" s="10" t="s">
        <v>58</v>
      </c>
      <c r="N206" s="14" t="s">
        <v>59</v>
      </c>
      <c r="O206" s="10"/>
    </row>
    <row r="207" spans="1:15">
      <c r="A207" s="12" t="s">
        <v>1520</v>
      </c>
      <c r="B207" s="10" t="s">
        <v>1472</v>
      </c>
      <c r="C207" s="10" t="s">
        <v>1521</v>
      </c>
      <c r="D207" s="10" t="s">
        <v>1522</v>
      </c>
      <c r="E207" s="10" t="s">
        <v>1523</v>
      </c>
      <c r="F207" s="10" t="s">
        <v>1524</v>
      </c>
      <c r="G207" s="10" t="s">
        <v>1525</v>
      </c>
      <c r="H207" s="10" t="s">
        <v>1526</v>
      </c>
      <c r="I207" s="10"/>
      <c r="J207" s="13" t="s">
        <v>55</v>
      </c>
      <c r="K207" s="13" t="s">
        <v>67</v>
      </c>
      <c r="L207" s="13" t="s">
        <v>185</v>
      </c>
      <c r="M207" s="10" t="s">
        <v>58</v>
      </c>
      <c r="N207" s="14" t="s">
        <v>59</v>
      </c>
      <c r="O207" s="10"/>
    </row>
    <row r="208" spans="1:15">
      <c r="A208" s="12" t="s">
        <v>1527</v>
      </c>
      <c r="B208" s="10" t="s">
        <v>1472</v>
      </c>
      <c r="C208" s="10" t="s">
        <v>1528</v>
      </c>
      <c r="D208" s="10" t="s">
        <v>1529</v>
      </c>
      <c r="E208" s="10" t="s">
        <v>1530</v>
      </c>
      <c r="F208" s="10" t="s">
        <v>1531</v>
      </c>
      <c r="G208" s="10" t="s">
        <v>1532</v>
      </c>
      <c r="H208" s="10" t="s">
        <v>1533</v>
      </c>
      <c r="I208" s="10"/>
      <c r="J208" s="13" t="s">
        <v>55</v>
      </c>
      <c r="K208" s="13" t="s">
        <v>456</v>
      </c>
      <c r="L208" s="13" t="s">
        <v>140</v>
      </c>
      <c r="M208" s="10" t="s">
        <v>141</v>
      </c>
      <c r="N208" s="14" t="s">
        <v>59</v>
      </c>
      <c r="O208" s="10" t="s">
        <v>1534</v>
      </c>
    </row>
    <row r="209" spans="1:15">
      <c r="A209" s="12" t="s">
        <v>1535</v>
      </c>
      <c r="B209" s="10" t="s">
        <v>1472</v>
      </c>
      <c r="C209" s="10" t="s">
        <v>1536</v>
      </c>
      <c r="D209" s="10" t="s">
        <v>1537</v>
      </c>
      <c r="E209" s="10" t="s">
        <v>1538</v>
      </c>
      <c r="F209" s="10" t="s">
        <v>1539</v>
      </c>
      <c r="G209" s="10" t="s">
        <v>1540</v>
      </c>
      <c r="H209" s="10" t="s">
        <v>1541</v>
      </c>
      <c r="I209" s="10"/>
      <c r="J209" s="13" t="s">
        <v>55</v>
      </c>
      <c r="K209" s="13" t="s">
        <v>67</v>
      </c>
      <c r="L209" s="13" t="s">
        <v>185</v>
      </c>
      <c r="M209" s="10" t="s">
        <v>58</v>
      </c>
      <c r="N209" s="14" t="s">
        <v>59</v>
      </c>
      <c r="O209" s="10"/>
    </row>
    <row r="210" spans="1:15">
      <c r="A210" s="12" t="s">
        <v>1542</v>
      </c>
      <c r="B210" s="10" t="s">
        <v>1472</v>
      </c>
      <c r="C210" s="10" t="s">
        <v>1543</v>
      </c>
      <c r="D210" s="10" t="s">
        <v>1544</v>
      </c>
      <c r="E210" s="10" t="s">
        <v>1545</v>
      </c>
      <c r="F210" s="10" t="s">
        <v>1546</v>
      </c>
      <c r="G210" s="10" t="s">
        <v>1547</v>
      </c>
      <c r="H210" s="10" t="s">
        <v>1548</v>
      </c>
      <c r="I210" s="10"/>
      <c r="J210" s="13" t="s">
        <v>55</v>
      </c>
      <c r="K210" s="13" t="s">
        <v>56</v>
      </c>
      <c r="L210" s="13" t="s">
        <v>1187</v>
      </c>
      <c r="M210" s="10" t="s">
        <v>58</v>
      </c>
      <c r="N210" s="14" t="s">
        <v>59</v>
      </c>
      <c r="O210" s="10" t="s">
        <v>1549</v>
      </c>
    </row>
    <row r="211" spans="1:15">
      <c r="A211" s="12" t="s">
        <v>1550</v>
      </c>
      <c r="B211" s="10" t="s">
        <v>1472</v>
      </c>
      <c r="C211" s="10" t="s">
        <v>1551</v>
      </c>
      <c r="D211" s="10" t="s">
        <v>1552</v>
      </c>
      <c r="E211" s="10" t="s">
        <v>1553</v>
      </c>
      <c r="F211" s="10" t="s">
        <v>1554</v>
      </c>
      <c r="G211" s="10" t="s">
        <v>1555</v>
      </c>
      <c r="H211" s="10" t="s">
        <v>1556</v>
      </c>
      <c r="I211" s="10"/>
      <c r="J211" s="13" t="s">
        <v>55</v>
      </c>
      <c r="K211" s="13" t="s">
        <v>56</v>
      </c>
      <c r="L211" s="13" t="s">
        <v>1171</v>
      </c>
      <c r="M211" s="10" t="s">
        <v>58</v>
      </c>
      <c r="N211" s="14" t="s">
        <v>59</v>
      </c>
      <c r="O211" s="10" t="s">
        <v>1557</v>
      </c>
    </row>
    <row r="212" spans="1:15">
      <c r="A212" s="12" t="s">
        <v>1558</v>
      </c>
      <c r="B212" s="10" t="s">
        <v>1472</v>
      </c>
      <c r="C212" s="10" t="s">
        <v>1559</v>
      </c>
      <c r="D212" s="10" t="s">
        <v>1560</v>
      </c>
      <c r="E212" s="10" t="s">
        <v>1561</v>
      </c>
      <c r="F212" s="10" t="s">
        <v>1562</v>
      </c>
      <c r="G212" s="10" t="s">
        <v>1563</v>
      </c>
      <c r="H212" s="10" t="s">
        <v>1564</v>
      </c>
      <c r="I212" s="10"/>
      <c r="J212" s="13" t="s">
        <v>100</v>
      </c>
      <c r="K212" s="13" t="s">
        <v>67</v>
      </c>
      <c r="L212" s="13" t="s">
        <v>185</v>
      </c>
      <c r="M212" s="10" t="s">
        <v>58</v>
      </c>
      <c r="N212" s="14" t="s">
        <v>59</v>
      </c>
      <c r="O212" s="10"/>
    </row>
    <row r="213" spans="1:15">
      <c r="A213" s="12" t="s">
        <v>1565</v>
      </c>
      <c r="B213" s="10" t="s">
        <v>1472</v>
      </c>
      <c r="C213" s="10" t="s">
        <v>1566</v>
      </c>
      <c r="D213" s="10" t="s">
        <v>1567</v>
      </c>
      <c r="E213" s="10" t="s">
        <v>1568</v>
      </c>
      <c r="F213" s="10" t="s">
        <v>1569</v>
      </c>
      <c r="G213" s="10" t="s">
        <v>1570</v>
      </c>
      <c r="H213" s="10" t="s">
        <v>1571</v>
      </c>
      <c r="I213" s="10"/>
      <c r="J213" s="13" t="s">
        <v>100</v>
      </c>
      <c r="K213" s="13" t="s">
        <v>67</v>
      </c>
      <c r="L213" s="13" t="s">
        <v>102</v>
      </c>
      <c r="M213" s="10" t="s">
        <v>58</v>
      </c>
      <c r="N213" s="14" t="s">
        <v>59</v>
      </c>
      <c r="O213" s="10" t="s">
        <v>1572</v>
      </c>
    </row>
    <row r="214" spans="1:15">
      <c r="A214" s="12" t="s">
        <v>1573</v>
      </c>
      <c r="B214" s="10" t="s">
        <v>1472</v>
      </c>
      <c r="C214" s="10" t="s">
        <v>1574</v>
      </c>
      <c r="D214" s="10" t="s">
        <v>1575</v>
      </c>
      <c r="E214" s="10" t="s">
        <v>1576</v>
      </c>
      <c r="F214" s="10" t="s">
        <v>1577</v>
      </c>
      <c r="G214" s="10" t="s">
        <v>1578</v>
      </c>
      <c r="H214" s="10" t="s">
        <v>1579</v>
      </c>
      <c r="I214" s="10"/>
      <c r="J214" s="13" t="s">
        <v>100</v>
      </c>
      <c r="K214" s="13" t="s">
        <v>67</v>
      </c>
      <c r="L214" s="13" t="s">
        <v>308</v>
      </c>
      <c r="M214" s="10" t="s">
        <v>58</v>
      </c>
      <c r="N214" s="14" t="s">
        <v>59</v>
      </c>
      <c r="O214" s="10"/>
    </row>
    <row r="215" spans="1:15">
      <c r="A215" s="12" t="s">
        <v>1580</v>
      </c>
      <c r="B215" s="10" t="s">
        <v>1472</v>
      </c>
      <c r="C215" s="10" t="s">
        <v>1581</v>
      </c>
      <c r="D215" s="10" t="s">
        <v>1582</v>
      </c>
      <c r="E215" s="10" t="s">
        <v>1583</v>
      </c>
      <c r="F215" s="10" t="s">
        <v>1584</v>
      </c>
      <c r="G215" s="10" t="s">
        <v>1585</v>
      </c>
      <c r="H215" s="10" t="s">
        <v>1586</v>
      </c>
      <c r="I215" s="10"/>
      <c r="J215" s="13" t="s">
        <v>100</v>
      </c>
      <c r="K215" s="13" t="s">
        <v>67</v>
      </c>
      <c r="L215" s="13" t="s">
        <v>1011</v>
      </c>
      <c r="M215" s="10" t="s">
        <v>58</v>
      </c>
      <c r="N215" s="14" t="s">
        <v>59</v>
      </c>
      <c r="O215" s="10"/>
    </row>
    <row r="216" spans="1:15">
      <c r="A216" s="12" t="s">
        <v>1587</v>
      </c>
      <c r="B216" s="10" t="s">
        <v>1472</v>
      </c>
      <c r="C216" s="10" t="s">
        <v>1588</v>
      </c>
      <c r="D216" s="10" t="s">
        <v>1589</v>
      </c>
      <c r="E216" s="10" t="s">
        <v>1590</v>
      </c>
      <c r="F216" s="10" t="s">
        <v>1591</v>
      </c>
      <c r="G216" s="10" t="s">
        <v>1592</v>
      </c>
      <c r="H216" s="10" t="s">
        <v>1593</v>
      </c>
      <c r="I216" s="10"/>
      <c r="J216" s="13" t="s">
        <v>228</v>
      </c>
      <c r="K216" s="13" t="s">
        <v>101</v>
      </c>
      <c r="L216" s="13" t="s">
        <v>1594</v>
      </c>
      <c r="M216" s="10" t="s">
        <v>58</v>
      </c>
      <c r="N216" s="14" t="s">
        <v>59</v>
      </c>
      <c r="O216" s="10"/>
    </row>
    <row r="217" spans="1:15">
      <c r="A217" s="12" t="s">
        <v>1595</v>
      </c>
      <c r="B217" s="10" t="s">
        <v>1472</v>
      </c>
      <c r="C217" s="10" t="s">
        <v>1596</v>
      </c>
      <c r="D217" s="10" t="s">
        <v>1597</v>
      </c>
      <c r="E217" s="10" t="s">
        <v>1598</v>
      </c>
      <c r="F217" s="10" t="s">
        <v>1599</v>
      </c>
      <c r="G217" s="10" t="s">
        <v>1600</v>
      </c>
      <c r="H217" s="10" t="s">
        <v>1601</v>
      </c>
      <c r="I217" s="10"/>
      <c r="J217" s="13" t="s">
        <v>100</v>
      </c>
      <c r="K217" s="13" t="s">
        <v>67</v>
      </c>
      <c r="L217" s="13" t="s">
        <v>1139</v>
      </c>
      <c r="M217" s="10" t="s">
        <v>58</v>
      </c>
      <c r="N217" s="14" t="s">
        <v>59</v>
      </c>
      <c r="O217" s="10"/>
    </row>
    <row r="218" spans="1:15">
      <c r="A218" s="12" t="s">
        <v>1602</v>
      </c>
      <c r="B218" s="10" t="s">
        <v>1472</v>
      </c>
      <c r="C218" s="10" t="s">
        <v>1603</v>
      </c>
      <c r="D218" s="10" t="s">
        <v>1604</v>
      </c>
      <c r="E218" s="10" t="s">
        <v>1605</v>
      </c>
      <c r="F218" s="10" t="s">
        <v>1606</v>
      </c>
      <c r="G218" s="10" t="s">
        <v>1607</v>
      </c>
      <c r="H218" s="10" t="s">
        <v>1608</v>
      </c>
      <c r="I218" s="10"/>
      <c r="J218" s="13" t="s">
        <v>55</v>
      </c>
      <c r="K218" s="13" t="s">
        <v>67</v>
      </c>
      <c r="L218" s="13" t="s">
        <v>1609</v>
      </c>
      <c r="M218" s="10" t="s">
        <v>58</v>
      </c>
      <c r="N218" s="14" t="s">
        <v>59</v>
      </c>
      <c r="O218" s="10" t="s">
        <v>1610</v>
      </c>
    </row>
    <row r="219" spans="1:15">
      <c r="A219" s="12" t="s">
        <v>1611</v>
      </c>
      <c r="B219" s="10" t="s">
        <v>1472</v>
      </c>
      <c r="C219" s="10" t="s">
        <v>1612</v>
      </c>
      <c r="D219" s="10" t="s">
        <v>1613</v>
      </c>
      <c r="E219" s="10" t="s">
        <v>1614</v>
      </c>
      <c r="F219" s="10" t="s">
        <v>1615</v>
      </c>
      <c r="G219" s="10" t="s">
        <v>1616</v>
      </c>
      <c r="H219" s="10" t="s">
        <v>1617</v>
      </c>
      <c r="I219" s="10"/>
      <c r="J219" s="13" t="s">
        <v>100</v>
      </c>
      <c r="K219" s="13" t="s">
        <v>67</v>
      </c>
      <c r="L219" s="13" t="s">
        <v>57</v>
      </c>
      <c r="M219" s="10" t="s">
        <v>58</v>
      </c>
      <c r="N219" s="14" t="s">
        <v>59</v>
      </c>
      <c r="O219" s="10"/>
    </row>
    <row r="220" spans="1:15">
      <c r="A220" s="12" t="s">
        <v>1618</v>
      </c>
      <c r="B220" s="10" t="s">
        <v>1472</v>
      </c>
      <c r="C220" s="10" t="s">
        <v>1619</v>
      </c>
      <c r="D220" s="10" t="s">
        <v>1620</v>
      </c>
      <c r="E220" s="10" t="s">
        <v>1621</v>
      </c>
      <c r="F220" s="10" t="s">
        <v>1622</v>
      </c>
      <c r="G220" s="10" t="s">
        <v>1623</v>
      </c>
      <c r="H220" s="10" t="s">
        <v>1624</v>
      </c>
      <c r="I220" s="10"/>
      <c r="J220" s="13" t="s">
        <v>55</v>
      </c>
      <c r="K220" s="13" t="s">
        <v>56</v>
      </c>
      <c r="L220" s="13" t="s">
        <v>299</v>
      </c>
      <c r="M220" s="10" t="s">
        <v>58</v>
      </c>
      <c r="N220" s="14" t="s">
        <v>59</v>
      </c>
      <c r="O220" s="10"/>
    </row>
    <row r="221" spans="1:15">
      <c r="A221" s="12" t="s">
        <v>1625</v>
      </c>
      <c r="B221" s="10" t="s">
        <v>1472</v>
      </c>
      <c r="C221" s="10" t="s">
        <v>1626</v>
      </c>
      <c r="D221" s="10" t="s">
        <v>1627</v>
      </c>
      <c r="E221" s="10" t="s">
        <v>1621</v>
      </c>
      <c r="F221" s="10" t="s">
        <v>1628</v>
      </c>
      <c r="G221" s="10" t="s">
        <v>1629</v>
      </c>
      <c r="H221" s="10" t="s">
        <v>1630</v>
      </c>
      <c r="I221" s="10"/>
      <c r="J221" s="13" t="s">
        <v>100</v>
      </c>
      <c r="K221" s="13" t="s">
        <v>67</v>
      </c>
      <c r="L221" s="13" t="s">
        <v>1631</v>
      </c>
      <c r="M221" s="10" t="s">
        <v>58</v>
      </c>
      <c r="N221" s="14" t="s">
        <v>59</v>
      </c>
      <c r="O221" s="10"/>
    </row>
    <row r="222" spans="1:15">
      <c r="A222" s="12" t="s">
        <v>1632</v>
      </c>
      <c r="B222" s="10" t="s">
        <v>1472</v>
      </c>
      <c r="C222" s="10" t="s">
        <v>1633</v>
      </c>
      <c r="D222" s="10" t="s">
        <v>1634</v>
      </c>
      <c r="E222" s="10" t="s">
        <v>1635</v>
      </c>
      <c r="F222" s="10" t="s">
        <v>1636</v>
      </c>
      <c r="G222" s="10" t="s">
        <v>1637</v>
      </c>
      <c r="H222" s="10" t="s">
        <v>1638</v>
      </c>
      <c r="I222" s="10"/>
      <c r="J222" s="13" t="s">
        <v>55</v>
      </c>
      <c r="K222" s="13" t="s">
        <v>56</v>
      </c>
      <c r="L222" s="13" t="s">
        <v>1639</v>
      </c>
      <c r="M222" s="10" t="s">
        <v>58</v>
      </c>
      <c r="N222" s="14" t="s">
        <v>59</v>
      </c>
      <c r="O222" s="10"/>
    </row>
    <row r="223" spans="1:15">
      <c r="A223" s="12" t="s">
        <v>1640</v>
      </c>
      <c r="B223" s="10" t="s">
        <v>1472</v>
      </c>
      <c r="C223" s="10" t="s">
        <v>1641</v>
      </c>
      <c r="D223" s="10" t="s">
        <v>1642</v>
      </c>
      <c r="E223" s="10" t="s">
        <v>1643</v>
      </c>
      <c r="F223" s="10" t="s">
        <v>1644</v>
      </c>
      <c r="G223" s="10" t="s">
        <v>1645</v>
      </c>
      <c r="H223" s="10" t="s">
        <v>1646</v>
      </c>
      <c r="I223" s="10"/>
      <c r="J223" s="13" t="s">
        <v>100</v>
      </c>
      <c r="K223" s="13" t="s">
        <v>67</v>
      </c>
      <c r="L223" s="13" t="s">
        <v>140</v>
      </c>
      <c r="M223" s="10" t="s">
        <v>141</v>
      </c>
      <c r="N223" s="14" t="s">
        <v>59</v>
      </c>
      <c r="O223" s="10"/>
    </row>
    <row r="224" spans="1:15">
      <c r="A224" s="15" t="s">
        <v>1647</v>
      </c>
      <c r="B224" s="16" t="s">
        <v>1648</v>
      </c>
      <c r="C224" s="16" t="s">
        <v>1649</v>
      </c>
      <c r="D224" s="16" t="s">
        <v>1650</v>
      </c>
      <c r="E224" s="16" t="s">
        <v>1651</v>
      </c>
      <c r="F224" s="16" t="s">
        <v>1652</v>
      </c>
      <c r="G224" s="16" t="s">
        <v>1653</v>
      </c>
      <c r="H224" s="16" t="s">
        <v>1654</v>
      </c>
      <c r="I224" s="16"/>
      <c r="J224" s="17" t="s">
        <v>55</v>
      </c>
      <c r="K224" s="17" t="s">
        <v>56</v>
      </c>
      <c r="L224" s="17" t="s">
        <v>57</v>
      </c>
      <c r="M224" s="16" t="s">
        <v>58</v>
      </c>
      <c r="N224" s="18" t="s">
        <v>59</v>
      </c>
      <c r="O224" s="16"/>
    </row>
    <row r="225" spans="1:15">
      <c r="A225" s="15" t="s">
        <v>1655</v>
      </c>
      <c r="B225" s="16" t="s">
        <v>1648</v>
      </c>
      <c r="C225" s="16" t="s">
        <v>1656</v>
      </c>
      <c r="D225" s="16" t="s">
        <v>1657</v>
      </c>
      <c r="E225" s="16" t="s">
        <v>1658</v>
      </c>
      <c r="F225" s="16" t="s">
        <v>1659</v>
      </c>
      <c r="G225" s="16" t="s">
        <v>1660</v>
      </c>
      <c r="H225" s="16" t="s">
        <v>1661</v>
      </c>
      <c r="I225" s="16"/>
      <c r="J225" s="17" t="s">
        <v>55</v>
      </c>
      <c r="K225" s="17" t="s">
        <v>56</v>
      </c>
      <c r="L225" s="17" t="s">
        <v>57</v>
      </c>
      <c r="M225" s="16" t="s">
        <v>58</v>
      </c>
      <c r="N225" s="18" t="s">
        <v>59</v>
      </c>
      <c r="O225" s="16"/>
    </row>
    <row r="226" spans="1:15">
      <c r="A226" s="15" t="s">
        <v>1662</v>
      </c>
      <c r="B226" s="16" t="s">
        <v>1648</v>
      </c>
      <c r="C226" s="16" t="s">
        <v>1663</v>
      </c>
      <c r="D226" s="16" t="s">
        <v>1664</v>
      </c>
      <c r="E226" s="16" t="s">
        <v>1665</v>
      </c>
      <c r="F226" s="16" t="s">
        <v>1666</v>
      </c>
      <c r="G226" s="16" t="s">
        <v>1667</v>
      </c>
      <c r="H226" s="16" t="s">
        <v>1668</v>
      </c>
      <c r="I226" s="16"/>
      <c r="J226" s="17" t="s">
        <v>100</v>
      </c>
      <c r="K226" s="17" t="s">
        <v>67</v>
      </c>
      <c r="L226" s="17" t="s">
        <v>81</v>
      </c>
      <c r="M226" s="16" t="s">
        <v>58</v>
      </c>
      <c r="N226" s="18" t="s">
        <v>59</v>
      </c>
      <c r="O226" s="16"/>
    </row>
    <row r="227" spans="1:15">
      <c r="A227" s="15" t="s">
        <v>1669</v>
      </c>
      <c r="B227" s="16" t="s">
        <v>1648</v>
      </c>
      <c r="C227" s="16" t="s">
        <v>1670</v>
      </c>
      <c r="D227" s="16" t="s">
        <v>1671</v>
      </c>
      <c r="E227" s="16" t="s">
        <v>273</v>
      </c>
      <c r="F227" s="16" t="s">
        <v>1672</v>
      </c>
      <c r="G227" s="16" t="s">
        <v>1673</v>
      </c>
      <c r="H227" s="16" t="s">
        <v>1674</v>
      </c>
      <c r="I227" s="16"/>
      <c r="J227" s="17" t="s">
        <v>55</v>
      </c>
      <c r="K227" s="17" t="s">
        <v>456</v>
      </c>
      <c r="L227" s="17" t="s">
        <v>229</v>
      </c>
      <c r="M227" s="16" t="s">
        <v>141</v>
      </c>
      <c r="N227" s="18" t="s">
        <v>59</v>
      </c>
      <c r="O227" s="16" t="s">
        <v>1675</v>
      </c>
    </row>
    <row r="228" spans="1:15">
      <c r="A228" s="15" t="s">
        <v>1676</v>
      </c>
      <c r="B228" s="16" t="s">
        <v>1648</v>
      </c>
      <c r="C228" s="16" t="s">
        <v>1677</v>
      </c>
      <c r="D228" s="16" t="s">
        <v>1678</v>
      </c>
      <c r="E228" s="16" t="s">
        <v>1679</v>
      </c>
      <c r="F228" s="16" t="s">
        <v>1680</v>
      </c>
      <c r="G228" s="16" t="s">
        <v>1681</v>
      </c>
      <c r="H228" s="16" t="s">
        <v>1682</v>
      </c>
      <c r="I228" s="16"/>
      <c r="J228" s="17" t="s">
        <v>100</v>
      </c>
      <c r="K228" s="17" t="s">
        <v>101</v>
      </c>
      <c r="L228" s="17" t="s">
        <v>102</v>
      </c>
      <c r="M228" s="16" t="s">
        <v>58</v>
      </c>
      <c r="N228" s="18" t="s">
        <v>59</v>
      </c>
      <c r="O228" s="16"/>
    </row>
    <row r="229" spans="1:15">
      <c r="A229" s="15" t="s">
        <v>1683</v>
      </c>
      <c r="B229" s="16" t="s">
        <v>1648</v>
      </c>
      <c r="C229" s="16" t="s">
        <v>1684</v>
      </c>
      <c r="D229" s="16" t="s">
        <v>1685</v>
      </c>
      <c r="E229" s="16" t="s">
        <v>273</v>
      </c>
      <c r="F229" s="16" t="s">
        <v>1686</v>
      </c>
      <c r="G229" s="16" t="s">
        <v>1687</v>
      </c>
      <c r="H229" s="16" t="s">
        <v>1688</v>
      </c>
      <c r="I229" s="16"/>
      <c r="J229" s="17" t="s">
        <v>55</v>
      </c>
      <c r="K229" s="17" t="s">
        <v>67</v>
      </c>
      <c r="L229" s="17" t="s">
        <v>1053</v>
      </c>
      <c r="M229" s="16" t="s">
        <v>141</v>
      </c>
      <c r="N229" s="18" t="s">
        <v>59</v>
      </c>
      <c r="O229" s="16"/>
    </row>
    <row r="230" spans="1:15">
      <c r="A230" s="15" t="s">
        <v>1689</v>
      </c>
      <c r="B230" s="16" t="s">
        <v>1648</v>
      </c>
      <c r="C230" s="16" t="s">
        <v>1690</v>
      </c>
      <c r="D230" s="16" t="s">
        <v>1691</v>
      </c>
      <c r="E230" s="16" t="s">
        <v>1692</v>
      </c>
      <c r="F230" s="16" t="s">
        <v>1693</v>
      </c>
      <c r="G230" s="16" t="s">
        <v>1694</v>
      </c>
      <c r="H230" s="16" t="s">
        <v>1695</v>
      </c>
      <c r="I230" s="16"/>
      <c r="J230" s="17" t="s">
        <v>55</v>
      </c>
      <c r="K230" s="17" t="s">
        <v>456</v>
      </c>
      <c r="L230" s="17" t="s">
        <v>140</v>
      </c>
      <c r="M230" s="16" t="s">
        <v>141</v>
      </c>
      <c r="N230" s="18" t="s">
        <v>59</v>
      </c>
      <c r="O230" s="16" t="s">
        <v>1696</v>
      </c>
    </row>
    <row r="231" spans="1:15">
      <c r="A231" s="15" t="s">
        <v>1697</v>
      </c>
      <c r="B231" s="16" t="s">
        <v>1648</v>
      </c>
      <c r="C231" s="16" t="s">
        <v>1698</v>
      </c>
      <c r="D231" s="16" t="s">
        <v>1699</v>
      </c>
      <c r="E231" s="16" t="s">
        <v>1700</v>
      </c>
      <c r="F231" s="16" t="s">
        <v>1701</v>
      </c>
      <c r="G231" s="16" t="s">
        <v>1702</v>
      </c>
      <c r="H231" s="16" t="s">
        <v>1703</v>
      </c>
      <c r="I231" s="16"/>
      <c r="J231" s="17" t="s">
        <v>55</v>
      </c>
      <c r="K231" s="17" t="s">
        <v>67</v>
      </c>
      <c r="L231" s="17" t="s">
        <v>308</v>
      </c>
      <c r="M231" s="16" t="s">
        <v>58</v>
      </c>
      <c r="N231" s="18" t="s">
        <v>59</v>
      </c>
      <c r="O231" s="16"/>
    </row>
    <row r="232" spans="1:15">
      <c r="A232" s="15" t="s">
        <v>1704</v>
      </c>
      <c r="B232" s="16" t="s">
        <v>1648</v>
      </c>
      <c r="C232" s="16" t="s">
        <v>1705</v>
      </c>
      <c r="D232" s="16" t="s">
        <v>1706</v>
      </c>
      <c r="E232" s="16" t="s">
        <v>1707</v>
      </c>
      <c r="F232" s="16" t="s">
        <v>1708</v>
      </c>
      <c r="G232" s="16" t="s">
        <v>1709</v>
      </c>
      <c r="H232" s="16" t="s">
        <v>1710</v>
      </c>
      <c r="I232" s="16"/>
      <c r="J232" s="17" t="s">
        <v>55</v>
      </c>
      <c r="K232" s="17" t="s">
        <v>67</v>
      </c>
      <c r="L232" s="17" t="s">
        <v>308</v>
      </c>
      <c r="M232" s="16" t="s">
        <v>58</v>
      </c>
      <c r="N232" s="18" t="s">
        <v>59</v>
      </c>
      <c r="O232" s="16"/>
    </row>
    <row r="233" spans="1:15">
      <c r="A233" s="15" t="s">
        <v>1711</v>
      </c>
      <c r="B233" s="16" t="s">
        <v>1648</v>
      </c>
      <c r="C233" s="16" t="s">
        <v>1712</v>
      </c>
      <c r="D233" s="16" t="s">
        <v>1713</v>
      </c>
      <c r="E233" s="16" t="s">
        <v>1714</v>
      </c>
      <c r="F233" s="16" t="s">
        <v>1715</v>
      </c>
      <c r="G233" s="16" t="s">
        <v>1716</v>
      </c>
      <c r="H233" s="16" t="s">
        <v>1717</v>
      </c>
      <c r="I233" s="16"/>
      <c r="J233" s="17" t="s">
        <v>55</v>
      </c>
      <c r="K233" s="17" t="s">
        <v>456</v>
      </c>
      <c r="L233" s="17" t="s">
        <v>441</v>
      </c>
      <c r="M233" s="16" t="s">
        <v>141</v>
      </c>
      <c r="N233" s="18" t="s">
        <v>59</v>
      </c>
      <c r="O233" s="16" t="s">
        <v>1718</v>
      </c>
    </row>
    <row r="234" spans="1:15">
      <c r="A234" s="15" t="s">
        <v>1719</v>
      </c>
      <c r="B234" s="16" t="s">
        <v>1648</v>
      </c>
      <c r="C234" s="16" t="s">
        <v>1720</v>
      </c>
      <c r="D234" s="16" t="s">
        <v>1721</v>
      </c>
      <c r="E234" s="16" t="s">
        <v>1722</v>
      </c>
      <c r="F234" s="16" t="s">
        <v>1723</v>
      </c>
      <c r="G234" s="16" t="s">
        <v>1716</v>
      </c>
      <c r="H234" s="16" t="s">
        <v>1724</v>
      </c>
      <c r="I234" s="16"/>
      <c r="J234" s="17" t="s">
        <v>55</v>
      </c>
      <c r="K234" s="17" t="s">
        <v>56</v>
      </c>
      <c r="L234" s="17" t="s">
        <v>441</v>
      </c>
      <c r="M234" s="16" t="s">
        <v>141</v>
      </c>
      <c r="N234" s="18" t="s">
        <v>59</v>
      </c>
      <c r="O234" s="16"/>
    </row>
    <row r="235" spans="1:15">
      <c r="A235" s="15" t="s">
        <v>1725</v>
      </c>
      <c r="B235" s="16" t="s">
        <v>1648</v>
      </c>
      <c r="C235" s="16" t="s">
        <v>1726</v>
      </c>
      <c r="D235" s="16" t="s">
        <v>1727</v>
      </c>
      <c r="E235" s="16" t="s">
        <v>1722</v>
      </c>
      <c r="F235" s="16" t="s">
        <v>1728</v>
      </c>
      <c r="G235" s="16" t="s">
        <v>1716</v>
      </c>
      <c r="H235" s="16" t="s">
        <v>1729</v>
      </c>
      <c r="I235" s="16"/>
      <c r="J235" s="17" t="s">
        <v>55</v>
      </c>
      <c r="K235" s="17" t="s">
        <v>56</v>
      </c>
      <c r="L235" s="17" t="s">
        <v>441</v>
      </c>
      <c r="M235" s="16" t="s">
        <v>141</v>
      </c>
      <c r="N235" s="18" t="s">
        <v>59</v>
      </c>
      <c r="O235" s="16"/>
    </row>
    <row r="236" spans="1:15">
      <c r="A236" s="15" t="s">
        <v>1730</v>
      </c>
      <c r="B236" s="16" t="s">
        <v>1648</v>
      </c>
      <c r="C236" s="16" t="s">
        <v>1731</v>
      </c>
      <c r="D236" s="16" t="s">
        <v>1732</v>
      </c>
      <c r="E236" s="16" t="s">
        <v>1733</v>
      </c>
      <c r="F236" s="16" t="s">
        <v>1734</v>
      </c>
      <c r="G236" s="16" t="s">
        <v>1735</v>
      </c>
      <c r="H236" s="16" t="s">
        <v>1736</v>
      </c>
      <c r="I236" s="16"/>
      <c r="J236" s="17" t="s">
        <v>55</v>
      </c>
      <c r="K236" s="17" t="s">
        <v>456</v>
      </c>
      <c r="L236" s="17" t="s">
        <v>284</v>
      </c>
      <c r="M236" s="16" t="s">
        <v>58</v>
      </c>
      <c r="N236" s="18" t="s">
        <v>59</v>
      </c>
      <c r="O236" s="16" t="s">
        <v>1737</v>
      </c>
    </row>
    <row r="237" spans="1:15">
      <c r="A237" s="15" t="s">
        <v>1738</v>
      </c>
      <c r="B237" s="16" t="s">
        <v>1648</v>
      </c>
      <c r="C237" s="16" t="s">
        <v>1739</v>
      </c>
      <c r="D237" s="16" t="s">
        <v>1740</v>
      </c>
      <c r="E237" s="16" t="s">
        <v>1741</v>
      </c>
      <c r="F237" s="16" t="s">
        <v>1742</v>
      </c>
      <c r="G237" s="16" t="s">
        <v>1743</v>
      </c>
      <c r="H237" s="16" t="s">
        <v>1744</v>
      </c>
      <c r="I237" s="16"/>
      <c r="J237" s="17" t="s">
        <v>100</v>
      </c>
      <c r="K237" s="17" t="s">
        <v>101</v>
      </c>
      <c r="L237" s="17" t="s">
        <v>1745</v>
      </c>
      <c r="M237" s="16" t="s">
        <v>58</v>
      </c>
      <c r="N237" s="18" t="s">
        <v>59</v>
      </c>
      <c r="O237" s="16"/>
    </row>
    <row r="238" spans="1:15">
      <c r="A238" s="15" t="s">
        <v>1746</v>
      </c>
      <c r="B238" s="16" t="s">
        <v>1648</v>
      </c>
      <c r="C238" s="16" t="s">
        <v>1747</v>
      </c>
      <c r="D238" s="16" t="s">
        <v>1748</v>
      </c>
      <c r="E238" s="16" t="s">
        <v>1741</v>
      </c>
      <c r="F238" s="16" t="s">
        <v>1749</v>
      </c>
      <c r="G238" s="16" t="s">
        <v>1750</v>
      </c>
      <c r="H238" s="16" t="s">
        <v>1751</v>
      </c>
      <c r="I238" s="16"/>
      <c r="J238" s="17" t="s">
        <v>55</v>
      </c>
      <c r="K238" s="17" t="s">
        <v>56</v>
      </c>
      <c r="L238" s="17" t="s">
        <v>118</v>
      </c>
      <c r="M238" s="16" t="s">
        <v>58</v>
      </c>
      <c r="N238" s="18" t="s">
        <v>59</v>
      </c>
      <c r="O238" s="16" t="s">
        <v>1752</v>
      </c>
    </row>
    <row r="239" spans="1:15">
      <c r="A239" s="15" t="s">
        <v>1753</v>
      </c>
      <c r="B239" s="16" t="s">
        <v>1648</v>
      </c>
      <c r="C239" s="16" t="s">
        <v>1754</v>
      </c>
      <c r="D239" s="16" t="s">
        <v>1755</v>
      </c>
      <c r="E239" s="16" t="s">
        <v>1756</v>
      </c>
      <c r="F239" s="16" t="s">
        <v>1757</v>
      </c>
      <c r="G239" s="16" t="s">
        <v>1758</v>
      </c>
      <c r="H239" s="16" t="s">
        <v>1759</v>
      </c>
      <c r="I239" s="16"/>
      <c r="J239" s="17" t="s">
        <v>100</v>
      </c>
      <c r="K239" s="17" t="s">
        <v>67</v>
      </c>
      <c r="L239" s="17" t="s">
        <v>308</v>
      </c>
      <c r="M239" s="16" t="s">
        <v>58</v>
      </c>
      <c r="N239" s="18" t="s">
        <v>59</v>
      </c>
      <c r="O239" s="16"/>
    </row>
    <row r="240" spans="1:15">
      <c r="A240" s="15" t="s">
        <v>1760</v>
      </c>
      <c r="B240" s="16" t="s">
        <v>1648</v>
      </c>
      <c r="C240" s="16" t="s">
        <v>1761</v>
      </c>
      <c r="D240" s="16" t="s">
        <v>1762</v>
      </c>
      <c r="E240" s="16" t="s">
        <v>1763</v>
      </c>
      <c r="F240" s="16" t="s">
        <v>1764</v>
      </c>
      <c r="G240" s="16" t="s">
        <v>1765</v>
      </c>
      <c r="H240" s="16" t="s">
        <v>1766</v>
      </c>
      <c r="I240" s="16"/>
      <c r="J240" s="17" t="s">
        <v>55</v>
      </c>
      <c r="K240" s="17" t="s">
        <v>56</v>
      </c>
      <c r="L240" s="17" t="s">
        <v>1011</v>
      </c>
      <c r="M240" s="16" t="s">
        <v>58</v>
      </c>
      <c r="N240" s="18" t="s">
        <v>59</v>
      </c>
      <c r="O240" s="16"/>
    </row>
    <row r="241" spans="1:15">
      <c r="A241" s="15" t="s">
        <v>1767</v>
      </c>
      <c r="B241" s="16" t="s">
        <v>1648</v>
      </c>
      <c r="C241" s="16" t="s">
        <v>1768</v>
      </c>
      <c r="D241" s="16" t="s">
        <v>1769</v>
      </c>
      <c r="E241" s="16" t="s">
        <v>1770</v>
      </c>
      <c r="F241" s="16" t="s">
        <v>1771</v>
      </c>
      <c r="G241" s="16" t="s">
        <v>1772</v>
      </c>
      <c r="H241" s="16" t="s">
        <v>1773</v>
      </c>
      <c r="I241" s="16"/>
      <c r="J241" s="17" t="s">
        <v>55</v>
      </c>
      <c r="K241" s="17" t="s">
        <v>67</v>
      </c>
      <c r="L241" s="17" t="s">
        <v>1774</v>
      </c>
      <c r="M241" s="16" t="s">
        <v>58</v>
      </c>
      <c r="N241" s="18" t="s">
        <v>59</v>
      </c>
      <c r="O241" s="16"/>
    </row>
    <row r="242" spans="1:15">
      <c r="A242" s="15" t="s">
        <v>1775</v>
      </c>
      <c r="B242" s="16" t="s">
        <v>1648</v>
      </c>
      <c r="C242" s="16" t="s">
        <v>1776</v>
      </c>
      <c r="D242" s="16" t="s">
        <v>1777</v>
      </c>
      <c r="E242" s="16" t="s">
        <v>1778</v>
      </c>
      <c r="F242" s="16" t="s">
        <v>1779</v>
      </c>
      <c r="G242" s="16" t="s">
        <v>1780</v>
      </c>
      <c r="H242" s="16" t="s">
        <v>1781</v>
      </c>
      <c r="I242" s="16"/>
      <c r="J242" s="17" t="s">
        <v>55</v>
      </c>
      <c r="K242" s="17" t="s">
        <v>56</v>
      </c>
      <c r="L242" s="17" t="s">
        <v>1254</v>
      </c>
      <c r="M242" s="16" t="s">
        <v>58</v>
      </c>
      <c r="N242" s="18" t="s">
        <v>59</v>
      </c>
      <c r="O242" s="16"/>
    </row>
    <row r="243" spans="1:15">
      <c r="A243" s="15" t="s">
        <v>1782</v>
      </c>
      <c r="B243" s="16" t="s">
        <v>1648</v>
      </c>
      <c r="C243" s="16" t="s">
        <v>1783</v>
      </c>
      <c r="D243" s="16" t="s">
        <v>1784</v>
      </c>
      <c r="E243" s="16" t="s">
        <v>1785</v>
      </c>
      <c r="F243" s="16" t="s">
        <v>1786</v>
      </c>
      <c r="G243" s="16" t="s">
        <v>1787</v>
      </c>
      <c r="H243" s="16" t="s">
        <v>1788</v>
      </c>
      <c r="I243" s="16"/>
      <c r="J243" s="17" t="s">
        <v>100</v>
      </c>
      <c r="K243" s="17" t="s">
        <v>101</v>
      </c>
      <c r="L243" s="17" t="s">
        <v>308</v>
      </c>
      <c r="M243" s="16" t="s">
        <v>58</v>
      </c>
      <c r="N243" s="18" t="s">
        <v>59</v>
      </c>
      <c r="O243" s="16"/>
    </row>
    <row r="244" spans="1:15">
      <c r="A244" s="15" t="s">
        <v>1789</v>
      </c>
      <c r="B244" s="16" t="s">
        <v>1648</v>
      </c>
      <c r="C244" s="16" t="s">
        <v>1790</v>
      </c>
      <c r="D244" s="16" t="s">
        <v>1791</v>
      </c>
      <c r="E244" s="16" t="s">
        <v>273</v>
      </c>
      <c r="F244" s="16" t="s">
        <v>1792</v>
      </c>
      <c r="G244" s="16" t="s">
        <v>1793</v>
      </c>
      <c r="H244" s="16" t="s">
        <v>1794</v>
      </c>
      <c r="I244" s="16"/>
      <c r="J244" s="17" t="s">
        <v>100</v>
      </c>
      <c r="K244" s="17" t="s">
        <v>101</v>
      </c>
      <c r="L244" s="17" t="s">
        <v>308</v>
      </c>
      <c r="M244" s="16" t="s">
        <v>58</v>
      </c>
      <c r="N244" s="18" t="s">
        <v>59</v>
      </c>
      <c r="O244" s="16"/>
    </row>
    <row r="245" spans="1:15">
      <c r="A245" s="15" t="s">
        <v>1795</v>
      </c>
      <c r="B245" s="16" t="s">
        <v>1648</v>
      </c>
      <c r="C245" s="16" t="s">
        <v>1796</v>
      </c>
      <c r="D245" s="16" t="s">
        <v>1797</v>
      </c>
      <c r="E245" s="16" t="s">
        <v>548</v>
      </c>
      <c r="F245" s="16" t="s">
        <v>1798</v>
      </c>
      <c r="G245" s="16" t="s">
        <v>1799</v>
      </c>
      <c r="H245" s="16" t="s">
        <v>1800</v>
      </c>
      <c r="I245" s="16"/>
      <c r="J245" s="17" t="s">
        <v>228</v>
      </c>
      <c r="K245" s="17" t="s">
        <v>101</v>
      </c>
      <c r="L245" s="17" t="s">
        <v>1801</v>
      </c>
      <c r="M245" s="16" t="s">
        <v>58</v>
      </c>
      <c r="N245" s="18" t="s">
        <v>59</v>
      </c>
      <c r="O245" s="16"/>
    </row>
    <row r="246" spans="1:15">
      <c r="A246" s="15" t="s">
        <v>1802</v>
      </c>
      <c r="B246" s="16" t="s">
        <v>1648</v>
      </c>
      <c r="C246" s="16" t="s">
        <v>1803</v>
      </c>
      <c r="D246" s="16" t="s">
        <v>1804</v>
      </c>
      <c r="E246" s="16" t="s">
        <v>1805</v>
      </c>
      <c r="F246" s="16" t="s">
        <v>1806</v>
      </c>
      <c r="G246" s="16" t="s">
        <v>1793</v>
      </c>
      <c r="H246" s="16" t="s">
        <v>1807</v>
      </c>
      <c r="I246" s="16"/>
      <c r="J246" s="17" t="s">
        <v>228</v>
      </c>
      <c r="K246" s="17" t="s">
        <v>101</v>
      </c>
      <c r="L246" s="17" t="s">
        <v>308</v>
      </c>
      <c r="M246" s="16" t="s">
        <v>58</v>
      </c>
      <c r="N246" s="18" t="s">
        <v>59</v>
      </c>
      <c r="O246" s="16"/>
    </row>
    <row r="247" spans="1:15">
      <c r="A247" s="15" t="s">
        <v>1808</v>
      </c>
      <c r="B247" s="16" t="s">
        <v>1648</v>
      </c>
      <c r="C247" s="16" t="s">
        <v>1809</v>
      </c>
      <c r="D247" s="16" t="s">
        <v>1810</v>
      </c>
      <c r="E247" s="16" t="s">
        <v>1811</v>
      </c>
      <c r="F247" s="16" t="s">
        <v>1812</v>
      </c>
      <c r="G247" s="16" t="s">
        <v>1813</v>
      </c>
      <c r="H247" s="16" t="s">
        <v>1814</v>
      </c>
      <c r="I247" s="16"/>
      <c r="J247" s="17" t="s">
        <v>228</v>
      </c>
      <c r="K247" s="17" t="s">
        <v>101</v>
      </c>
      <c r="L247" s="17" t="s">
        <v>308</v>
      </c>
      <c r="M247" s="16" t="s">
        <v>58</v>
      </c>
      <c r="N247" s="18" t="s">
        <v>59</v>
      </c>
      <c r="O247" s="16"/>
    </row>
    <row r="248" spans="1:15">
      <c r="A248" s="15" t="s">
        <v>1815</v>
      </c>
      <c r="B248" s="16" t="s">
        <v>1648</v>
      </c>
      <c r="C248" s="16" t="s">
        <v>1816</v>
      </c>
      <c r="D248" s="16" t="s">
        <v>1817</v>
      </c>
      <c r="E248" s="16" t="s">
        <v>1818</v>
      </c>
      <c r="F248" s="16" t="s">
        <v>1819</v>
      </c>
      <c r="G248" s="16" t="s">
        <v>1820</v>
      </c>
      <c r="H248" s="16" t="s">
        <v>1821</v>
      </c>
      <c r="I248" s="16"/>
      <c r="J248" s="17" t="s">
        <v>228</v>
      </c>
      <c r="K248" s="17" t="s">
        <v>101</v>
      </c>
      <c r="L248" s="17" t="s">
        <v>149</v>
      </c>
      <c r="M248" s="16" t="s">
        <v>58</v>
      </c>
      <c r="N248" s="18" t="s">
        <v>59</v>
      </c>
      <c r="O248" s="16"/>
    </row>
    <row r="249" spans="1:15">
      <c r="A249" s="15" t="s">
        <v>1822</v>
      </c>
      <c r="B249" s="16" t="s">
        <v>1648</v>
      </c>
      <c r="C249" s="16" t="s">
        <v>1823</v>
      </c>
      <c r="D249" s="16" t="s">
        <v>1824</v>
      </c>
      <c r="E249" s="16" t="s">
        <v>273</v>
      </c>
      <c r="F249" s="16" t="s">
        <v>1825</v>
      </c>
      <c r="G249" s="16" t="s">
        <v>1826</v>
      </c>
      <c r="H249" s="16" t="s">
        <v>1827</v>
      </c>
      <c r="I249" s="16"/>
      <c r="J249" s="17" t="s">
        <v>228</v>
      </c>
      <c r="K249" s="17" t="s">
        <v>101</v>
      </c>
      <c r="L249" s="17" t="s">
        <v>308</v>
      </c>
      <c r="M249" s="16" t="s">
        <v>58</v>
      </c>
      <c r="N249" s="18" t="s">
        <v>59</v>
      </c>
      <c r="O249" s="16"/>
    </row>
    <row r="250" spans="1:15">
      <c r="A250" s="15" t="s">
        <v>1828</v>
      </c>
      <c r="B250" s="16" t="s">
        <v>1648</v>
      </c>
      <c r="C250" s="16" t="s">
        <v>1829</v>
      </c>
      <c r="D250" s="16" t="s">
        <v>1830</v>
      </c>
      <c r="E250" s="16" t="s">
        <v>1831</v>
      </c>
      <c r="F250" s="16" t="s">
        <v>1832</v>
      </c>
      <c r="G250" s="16" t="s">
        <v>1833</v>
      </c>
      <c r="H250" s="16" t="s">
        <v>1834</v>
      </c>
      <c r="I250" s="16"/>
      <c r="J250" s="17" t="s">
        <v>100</v>
      </c>
      <c r="K250" s="17" t="s">
        <v>67</v>
      </c>
      <c r="L250" s="17" t="s">
        <v>441</v>
      </c>
      <c r="M250" s="16" t="s">
        <v>141</v>
      </c>
      <c r="N250" s="18" t="s">
        <v>59</v>
      </c>
      <c r="O250" s="16"/>
    </row>
    <row r="251" spans="1:15">
      <c r="A251" s="12" t="s">
        <v>1835</v>
      </c>
      <c r="B251" s="10" t="s">
        <v>1836</v>
      </c>
      <c r="C251" s="10" t="s">
        <v>1837</v>
      </c>
      <c r="D251" s="10" t="s">
        <v>1838</v>
      </c>
      <c r="E251" s="10" t="s">
        <v>1839</v>
      </c>
      <c r="F251" s="10" t="s">
        <v>1840</v>
      </c>
      <c r="G251" s="10" t="s">
        <v>1841</v>
      </c>
      <c r="H251" s="10" t="s">
        <v>1842</v>
      </c>
      <c r="I251" s="10"/>
      <c r="J251" s="13" t="s">
        <v>55</v>
      </c>
      <c r="K251" s="13" t="s">
        <v>456</v>
      </c>
      <c r="L251" s="13" t="s">
        <v>1843</v>
      </c>
      <c r="M251" s="10" t="s">
        <v>58</v>
      </c>
      <c r="N251" s="14" t="s">
        <v>59</v>
      </c>
      <c r="O251" s="10"/>
    </row>
    <row r="252" spans="1:15">
      <c r="A252" s="12" t="s">
        <v>1844</v>
      </c>
      <c r="B252" s="10" t="s">
        <v>1836</v>
      </c>
      <c r="C252" s="10" t="s">
        <v>1845</v>
      </c>
      <c r="D252" s="10" t="s">
        <v>1846</v>
      </c>
      <c r="E252" s="10" t="s">
        <v>1847</v>
      </c>
      <c r="F252" s="10" t="s">
        <v>1848</v>
      </c>
      <c r="G252" s="10" t="s">
        <v>1849</v>
      </c>
      <c r="H252" s="10" t="s">
        <v>1850</v>
      </c>
      <c r="I252" s="10"/>
      <c r="J252" s="13" t="s">
        <v>55</v>
      </c>
      <c r="K252" s="13" t="s">
        <v>456</v>
      </c>
      <c r="L252" s="13" t="s">
        <v>1843</v>
      </c>
      <c r="M252" s="10" t="s">
        <v>58</v>
      </c>
      <c r="N252" s="14" t="s">
        <v>59</v>
      </c>
      <c r="O252" s="10" t="s">
        <v>1851</v>
      </c>
    </row>
    <row r="253" spans="1:15">
      <c r="A253" s="12" t="s">
        <v>1852</v>
      </c>
      <c r="B253" s="10" t="s">
        <v>1836</v>
      </c>
      <c r="C253" s="10" t="s">
        <v>1853</v>
      </c>
      <c r="D253" s="10" t="s">
        <v>1854</v>
      </c>
      <c r="E253" s="10" t="s">
        <v>1855</v>
      </c>
      <c r="F253" s="10" t="s">
        <v>1856</v>
      </c>
      <c r="G253" s="10" t="s">
        <v>668</v>
      </c>
      <c r="H253" s="10" t="s">
        <v>1857</v>
      </c>
      <c r="I253" s="10"/>
      <c r="J253" s="13" t="s">
        <v>55</v>
      </c>
      <c r="K253" s="13" t="s">
        <v>67</v>
      </c>
      <c r="L253" s="13" t="s">
        <v>81</v>
      </c>
      <c r="M253" s="10" t="s">
        <v>58</v>
      </c>
      <c r="N253" s="14" t="s">
        <v>59</v>
      </c>
      <c r="O253" s="10"/>
    </row>
    <row r="254" spans="1:15">
      <c r="A254" s="12" t="s">
        <v>1858</v>
      </c>
      <c r="B254" s="10" t="s">
        <v>1836</v>
      </c>
      <c r="C254" s="10" t="s">
        <v>1859</v>
      </c>
      <c r="D254" s="10" t="s">
        <v>1860</v>
      </c>
      <c r="E254" s="10" t="s">
        <v>1861</v>
      </c>
      <c r="F254" s="10" t="s">
        <v>1862</v>
      </c>
      <c r="G254" s="10" t="s">
        <v>1863</v>
      </c>
      <c r="H254" s="10" t="s">
        <v>1864</v>
      </c>
      <c r="I254" s="10"/>
      <c r="J254" s="13" t="s">
        <v>100</v>
      </c>
      <c r="K254" s="13" t="s">
        <v>101</v>
      </c>
      <c r="L254" s="13" t="s">
        <v>229</v>
      </c>
      <c r="M254" s="10" t="s">
        <v>58</v>
      </c>
      <c r="N254" s="14" t="s">
        <v>59</v>
      </c>
      <c r="O254" s="10"/>
    </row>
    <row r="255" spans="1:15">
      <c r="A255" s="12" t="s">
        <v>1865</v>
      </c>
      <c r="B255" s="10" t="s">
        <v>1836</v>
      </c>
      <c r="C255" s="10" t="s">
        <v>1866</v>
      </c>
      <c r="D255" s="10" t="s">
        <v>1867</v>
      </c>
      <c r="E255" s="10" t="s">
        <v>1861</v>
      </c>
      <c r="F255" s="10" t="s">
        <v>1868</v>
      </c>
      <c r="G255" s="10" t="s">
        <v>1869</v>
      </c>
      <c r="H255" s="10" t="s">
        <v>1870</v>
      </c>
      <c r="I255" s="10"/>
      <c r="J255" s="13" t="s">
        <v>100</v>
      </c>
      <c r="K255" s="13" t="s">
        <v>101</v>
      </c>
      <c r="L255" s="13" t="s">
        <v>229</v>
      </c>
      <c r="M255" s="10" t="s">
        <v>58</v>
      </c>
      <c r="N255" s="14" t="s">
        <v>59</v>
      </c>
      <c r="O255" s="10"/>
    </row>
    <row r="256" spans="1:15">
      <c r="A256" s="12" t="s">
        <v>1871</v>
      </c>
      <c r="B256" s="10" t="s">
        <v>1836</v>
      </c>
      <c r="C256" s="10" t="s">
        <v>1872</v>
      </c>
      <c r="D256" s="10" t="s">
        <v>1873</v>
      </c>
      <c r="E256" s="10" t="s">
        <v>1861</v>
      </c>
      <c r="F256" s="10" t="s">
        <v>1874</v>
      </c>
      <c r="G256" s="10" t="s">
        <v>1875</v>
      </c>
      <c r="H256" s="10" t="s">
        <v>1876</v>
      </c>
      <c r="I256" s="10"/>
      <c r="J256" s="13" t="s">
        <v>100</v>
      </c>
      <c r="K256" s="13" t="s">
        <v>101</v>
      </c>
      <c r="L256" s="13" t="s">
        <v>229</v>
      </c>
      <c r="M256" s="10" t="s">
        <v>58</v>
      </c>
      <c r="N256" s="14" t="s">
        <v>59</v>
      </c>
      <c r="O256" s="10"/>
    </row>
    <row r="257" spans="1:15">
      <c r="A257" s="12" t="s">
        <v>1877</v>
      </c>
      <c r="B257" s="10" t="s">
        <v>1836</v>
      </c>
      <c r="C257" s="10" t="s">
        <v>1878</v>
      </c>
      <c r="D257" s="10" t="s">
        <v>1879</v>
      </c>
      <c r="E257" s="10" t="s">
        <v>1880</v>
      </c>
      <c r="F257" s="10" t="s">
        <v>1881</v>
      </c>
      <c r="G257" s="10" t="s">
        <v>1882</v>
      </c>
      <c r="H257" s="10" t="s">
        <v>1883</v>
      </c>
      <c r="I257" s="10"/>
      <c r="J257" s="13" t="s">
        <v>100</v>
      </c>
      <c r="K257" s="13" t="s">
        <v>67</v>
      </c>
      <c r="L257" s="13" t="s">
        <v>308</v>
      </c>
      <c r="M257" s="10" t="s">
        <v>58</v>
      </c>
      <c r="N257" s="14" t="s">
        <v>59</v>
      </c>
      <c r="O257" s="10"/>
    </row>
    <row r="258" spans="1:15">
      <c r="A258" s="12" t="s">
        <v>1884</v>
      </c>
      <c r="B258" s="10" t="s">
        <v>1836</v>
      </c>
      <c r="C258" s="10" t="s">
        <v>1885</v>
      </c>
      <c r="D258" s="10" t="s">
        <v>1886</v>
      </c>
      <c r="E258" s="10" t="s">
        <v>273</v>
      </c>
      <c r="F258" s="10" t="s">
        <v>1887</v>
      </c>
      <c r="G258" s="10" t="s">
        <v>1888</v>
      </c>
      <c r="H258" s="10" t="s">
        <v>1889</v>
      </c>
      <c r="I258" s="10"/>
      <c r="J258" s="13" t="s">
        <v>100</v>
      </c>
      <c r="K258" s="13" t="s">
        <v>67</v>
      </c>
      <c r="L258" s="13" t="s">
        <v>308</v>
      </c>
      <c r="M258" s="10" t="s">
        <v>58</v>
      </c>
      <c r="N258" s="14" t="s">
        <v>59</v>
      </c>
      <c r="O258" s="10"/>
    </row>
    <row r="259" spans="1:15">
      <c r="A259" s="12" t="s">
        <v>1890</v>
      </c>
      <c r="B259" s="10" t="s">
        <v>1836</v>
      </c>
      <c r="C259" s="10" t="s">
        <v>1891</v>
      </c>
      <c r="D259" s="10" t="s">
        <v>1892</v>
      </c>
      <c r="E259" s="10" t="s">
        <v>1893</v>
      </c>
      <c r="F259" s="10" t="s">
        <v>1894</v>
      </c>
      <c r="G259" s="10" t="s">
        <v>1895</v>
      </c>
      <c r="H259" s="10" t="s">
        <v>1896</v>
      </c>
      <c r="I259" s="10"/>
      <c r="J259" s="13" t="s">
        <v>55</v>
      </c>
      <c r="K259" s="13" t="s">
        <v>456</v>
      </c>
      <c r="L259" s="13" t="s">
        <v>441</v>
      </c>
      <c r="M259" s="10" t="s">
        <v>141</v>
      </c>
      <c r="N259" s="14" t="s">
        <v>59</v>
      </c>
      <c r="O259" s="10"/>
    </row>
    <row r="260" spans="1:15">
      <c r="A260" s="12" t="s">
        <v>1897</v>
      </c>
      <c r="B260" s="10" t="s">
        <v>1836</v>
      </c>
      <c r="C260" s="10" t="s">
        <v>1898</v>
      </c>
      <c r="D260" s="10" t="s">
        <v>1899</v>
      </c>
      <c r="E260" s="10" t="s">
        <v>1900</v>
      </c>
      <c r="F260" s="10" t="s">
        <v>1901</v>
      </c>
      <c r="G260" s="10" t="s">
        <v>1902</v>
      </c>
      <c r="H260" s="10" t="s">
        <v>1903</v>
      </c>
      <c r="I260" s="10"/>
      <c r="J260" s="13" t="s">
        <v>100</v>
      </c>
      <c r="K260" s="13" t="s">
        <v>101</v>
      </c>
      <c r="L260" s="13" t="s">
        <v>308</v>
      </c>
      <c r="M260" s="10" t="s">
        <v>58</v>
      </c>
      <c r="N260" s="14" t="s">
        <v>59</v>
      </c>
      <c r="O260" s="10"/>
    </row>
    <row r="261" spans="1:15">
      <c r="A261" s="12" t="s">
        <v>1904</v>
      </c>
      <c r="B261" s="10" t="s">
        <v>1836</v>
      </c>
      <c r="C261" s="10" t="s">
        <v>1905</v>
      </c>
      <c r="D261" s="10" t="s">
        <v>1906</v>
      </c>
      <c r="E261" s="10" t="s">
        <v>1907</v>
      </c>
      <c r="F261" s="10" t="s">
        <v>1908</v>
      </c>
      <c r="G261" s="10" t="s">
        <v>1909</v>
      </c>
      <c r="H261" s="10" t="s">
        <v>1910</v>
      </c>
      <c r="I261" s="10"/>
      <c r="J261" s="13" t="s">
        <v>55</v>
      </c>
      <c r="K261" s="13" t="s">
        <v>67</v>
      </c>
      <c r="L261" s="13" t="s">
        <v>299</v>
      </c>
      <c r="M261" s="10" t="s">
        <v>58</v>
      </c>
      <c r="N261" s="14" t="s">
        <v>59</v>
      </c>
      <c r="O261" s="10"/>
    </row>
    <row r="262" spans="1:15">
      <c r="A262" s="12" t="s">
        <v>1911</v>
      </c>
      <c r="B262" s="10" t="s">
        <v>1836</v>
      </c>
      <c r="C262" s="10" t="s">
        <v>1912</v>
      </c>
      <c r="D262" s="10" t="s">
        <v>1913</v>
      </c>
      <c r="E262" s="10" t="s">
        <v>1914</v>
      </c>
      <c r="F262" s="10" t="s">
        <v>1915</v>
      </c>
      <c r="G262" s="10" t="s">
        <v>1916</v>
      </c>
      <c r="H262" s="10" t="s">
        <v>1917</v>
      </c>
      <c r="I262" s="10"/>
      <c r="J262" s="13" t="s">
        <v>55</v>
      </c>
      <c r="K262" s="13" t="s">
        <v>456</v>
      </c>
      <c r="L262" s="13" t="s">
        <v>1918</v>
      </c>
      <c r="M262" s="10" t="s">
        <v>58</v>
      </c>
      <c r="N262" s="14" t="s">
        <v>59</v>
      </c>
      <c r="O262" s="10"/>
    </row>
    <row r="263" spans="1:15">
      <c r="A263" s="12" t="s">
        <v>1919</v>
      </c>
      <c r="B263" s="10" t="s">
        <v>1836</v>
      </c>
      <c r="C263" s="10" t="s">
        <v>1920</v>
      </c>
      <c r="D263" s="10" t="s">
        <v>1921</v>
      </c>
      <c r="E263" s="10" t="s">
        <v>1922</v>
      </c>
      <c r="F263" s="10" t="s">
        <v>1923</v>
      </c>
      <c r="G263" s="10" t="s">
        <v>1924</v>
      </c>
      <c r="H263" s="10" t="s">
        <v>1925</v>
      </c>
      <c r="I263" s="10"/>
      <c r="J263" s="13" t="s">
        <v>100</v>
      </c>
      <c r="K263" s="13" t="s">
        <v>67</v>
      </c>
      <c r="L263" s="13" t="s">
        <v>81</v>
      </c>
      <c r="M263" s="10" t="s">
        <v>141</v>
      </c>
      <c r="N263" s="14" t="s">
        <v>59</v>
      </c>
      <c r="O263" s="10"/>
    </row>
    <row r="264" spans="1:15">
      <c r="A264" s="12" t="s">
        <v>1926</v>
      </c>
      <c r="B264" s="10" t="s">
        <v>1836</v>
      </c>
      <c r="C264" s="10" t="s">
        <v>1927</v>
      </c>
      <c r="D264" s="10" t="s">
        <v>1928</v>
      </c>
      <c r="E264" s="10" t="s">
        <v>1929</v>
      </c>
      <c r="F264" s="10" t="s">
        <v>1930</v>
      </c>
      <c r="G264" s="10" t="s">
        <v>1931</v>
      </c>
      <c r="H264" s="10" t="s">
        <v>1932</v>
      </c>
      <c r="I264" s="10"/>
      <c r="J264" s="13" t="s">
        <v>55</v>
      </c>
      <c r="K264" s="13" t="s">
        <v>456</v>
      </c>
      <c r="L264" s="13" t="s">
        <v>1933</v>
      </c>
      <c r="M264" s="10" t="s">
        <v>58</v>
      </c>
      <c r="N264" s="14" t="s">
        <v>59</v>
      </c>
      <c r="O264" s="10"/>
    </row>
    <row r="265" spans="1:15">
      <c r="A265" s="12" t="s">
        <v>1934</v>
      </c>
      <c r="B265" s="10" t="s">
        <v>1836</v>
      </c>
      <c r="C265" s="10" t="s">
        <v>1935</v>
      </c>
      <c r="D265" s="10" t="s">
        <v>1936</v>
      </c>
      <c r="E265" s="10" t="s">
        <v>1937</v>
      </c>
      <c r="F265" s="10" t="s">
        <v>1938</v>
      </c>
      <c r="G265" s="10" t="s">
        <v>1939</v>
      </c>
      <c r="H265" s="10" t="s">
        <v>1940</v>
      </c>
      <c r="I265" s="10"/>
      <c r="J265" s="13" t="s">
        <v>55</v>
      </c>
      <c r="K265" s="13" t="s">
        <v>456</v>
      </c>
      <c r="L265" s="13" t="s">
        <v>140</v>
      </c>
      <c r="M265" s="10" t="s">
        <v>141</v>
      </c>
      <c r="N265" s="14" t="s">
        <v>59</v>
      </c>
      <c r="O265" s="10" t="s">
        <v>1941</v>
      </c>
    </row>
    <row r="266" spans="1:15">
      <c r="A266" s="12" t="s">
        <v>1942</v>
      </c>
      <c r="B266" s="10" t="s">
        <v>1836</v>
      </c>
      <c r="C266" s="10" t="s">
        <v>1943</v>
      </c>
      <c r="D266" s="10" t="s">
        <v>1944</v>
      </c>
      <c r="E266" s="10" t="s">
        <v>1945</v>
      </c>
      <c r="F266" s="10" t="s">
        <v>1946</v>
      </c>
      <c r="G266" s="10" t="s">
        <v>1947</v>
      </c>
      <c r="H266" s="10" t="s">
        <v>1948</v>
      </c>
      <c r="I266" s="10"/>
      <c r="J266" s="13" t="s">
        <v>55</v>
      </c>
      <c r="K266" s="13" t="s">
        <v>56</v>
      </c>
      <c r="L266" s="13" t="s">
        <v>140</v>
      </c>
      <c r="M266" s="10" t="s">
        <v>141</v>
      </c>
      <c r="N266" s="14" t="s">
        <v>59</v>
      </c>
      <c r="O266" s="10"/>
    </row>
    <row r="267" spans="1:15">
      <c r="A267" s="12" t="s">
        <v>1949</v>
      </c>
      <c r="B267" s="10" t="s">
        <v>1836</v>
      </c>
      <c r="C267" s="10" t="s">
        <v>1950</v>
      </c>
      <c r="D267" s="10" t="s">
        <v>1951</v>
      </c>
      <c r="E267" s="10" t="s">
        <v>1952</v>
      </c>
      <c r="F267" s="10" t="s">
        <v>1953</v>
      </c>
      <c r="G267" s="10" t="s">
        <v>1954</v>
      </c>
      <c r="H267" s="10" t="s">
        <v>1955</v>
      </c>
      <c r="I267" s="10"/>
      <c r="J267" s="13" t="s">
        <v>55</v>
      </c>
      <c r="K267" s="13" t="s">
        <v>56</v>
      </c>
      <c r="L267" s="13" t="s">
        <v>1933</v>
      </c>
      <c r="M267" s="10" t="s">
        <v>58</v>
      </c>
      <c r="N267" s="14" t="s">
        <v>59</v>
      </c>
      <c r="O267" s="10"/>
    </row>
    <row r="268" spans="1:15">
      <c r="A268" s="12" t="s">
        <v>1956</v>
      </c>
      <c r="B268" s="10" t="s">
        <v>1836</v>
      </c>
      <c r="C268" s="10" t="s">
        <v>1957</v>
      </c>
      <c r="D268" s="10" t="s">
        <v>1958</v>
      </c>
      <c r="E268" s="10" t="s">
        <v>1959</v>
      </c>
      <c r="F268" s="10" t="s">
        <v>1960</v>
      </c>
      <c r="G268" s="10" t="s">
        <v>1961</v>
      </c>
      <c r="H268" s="10" t="s">
        <v>1962</v>
      </c>
      <c r="I268" s="10"/>
      <c r="J268" s="13" t="s">
        <v>100</v>
      </c>
      <c r="K268" s="13" t="s">
        <v>67</v>
      </c>
      <c r="L268" s="13" t="s">
        <v>118</v>
      </c>
      <c r="M268" s="10" t="s">
        <v>58</v>
      </c>
      <c r="N268" s="14" t="s">
        <v>59</v>
      </c>
      <c r="O268" s="10"/>
    </row>
    <row r="269" spans="1:15">
      <c r="A269" s="12" t="s">
        <v>1963</v>
      </c>
      <c r="B269" s="10" t="s">
        <v>1836</v>
      </c>
      <c r="C269" s="10" t="s">
        <v>1964</v>
      </c>
      <c r="D269" s="10" t="s">
        <v>1965</v>
      </c>
      <c r="E269" s="10" t="s">
        <v>1966</v>
      </c>
      <c r="F269" s="10" t="s">
        <v>1967</v>
      </c>
      <c r="G269" s="10" t="s">
        <v>341</v>
      </c>
      <c r="H269" s="10" t="s">
        <v>1968</v>
      </c>
      <c r="I269" s="10"/>
      <c r="J269" s="13" t="s">
        <v>100</v>
      </c>
      <c r="K269" s="13" t="s">
        <v>67</v>
      </c>
      <c r="L269" s="13" t="s">
        <v>391</v>
      </c>
      <c r="M269" s="10" t="s">
        <v>58</v>
      </c>
      <c r="N269" s="14" t="s">
        <v>59</v>
      </c>
      <c r="O269" s="10"/>
    </row>
    <row r="270" spans="1:15">
      <c r="A270" s="12" t="s">
        <v>1969</v>
      </c>
      <c r="B270" s="10" t="s">
        <v>1836</v>
      </c>
      <c r="C270" s="10" t="s">
        <v>1970</v>
      </c>
      <c r="D270" s="10" t="s">
        <v>1971</v>
      </c>
      <c r="E270" s="10" t="s">
        <v>1972</v>
      </c>
      <c r="F270" s="10" t="s">
        <v>1973</v>
      </c>
      <c r="G270" s="10" t="s">
        <v>1974</v>
      </c>
      <c r="H270" s="10" t="s">
        <v>1975</v>
      </c>
      <c r="I270" s="10"/>
      <c r="J270" s="13" t="s">
        <v>55</v>
      </c>
      <c r="K270" s="13" t="s">
        <v>56</v>
      </c>
      <c r="L270" s="13" t="s">
        <v>1976</v>
      </c>
      <c r="M270" s="10" t="s">
        <v>58</v>
      </c>
      <c r="N270" s="14" t="s">
        <v>59</v>
      </c>
      <c r="O270" s="10"/>
    </row>
    <row r="271" spans="1:15">
      <c r="A271" s="12" t="s">
        <v>1977</v>
      </c>
      <c r="B271" s="10" t="s">
        <v>1836</v>
      </c>
      <c r="C271" s="10" t="s">
        <v>1978</v>
      </c>
      <c r="D271" s="10" t="s">
        <v>1979</v>
      </c>
      <c r="E271" s="10" t="s">
        <v>1980</v>
      </c>
      <c r="F271" s="10" t="s">
        <v>1981</v>
      </c>
      <c r="G271" s="10" t="s">
        <v>1982</v>
      </c>
      <c r="H271" s="10" t="s">
        <v>1983</v>
      </c>
      <c r="I271" s="10"/>
      <c r="J271" s="13" t="s">
        <v>55</v>
      </c>
      <c r="K271" s="13" t="s">
        <v>56</v>
      </c>
      <c r="L271" s="13" t="s">
        <v>1984</v>
      </c>
      <c r="M271" s="10" t="s">
        <v>58</v>
      </c>
      <c r="N271" s="14" t="s">
        <v>59</v>
      </c>
      <c r="O271" s="10" t="s">
        <v>1985</v>
      </c>
    </row>
    <row r="272" spans="1:15">
      <c r="A272" s="12" t="s">
        <v>1986</v>
      </c>
      <c r="B272" s="10" t="s">
        <v>1836</v>
      </c>
      <c r="C272" s="10" t="s">
        <v>1987</v>
      </c>
      <c r="D272" s="10" t="s">
        <v>1988</v>
      </c>
      <c r="E272" s="10" t="s">
        <v>1989</v>
      </c>
      <c r="F272" s="10" t="s">
        <v>1990</v>
      </c>
      <c r="G272" s="10" t="s">
        <v>1991</v>
      </c>
      <c r="H272" s="10" t="s">
        <v>1992</v>
      </c>
      <c r="I272" s="10"/>
      <c r="J272" s="13" t="s">
        <v>100</v>
      </c>
      <c r="K272" s="13" t="s">
        <v>67</v>
      </c>
      <c r="L272" s="13" t="s">
        <v>299</v>
      </c>
      <c r="M272" s="10" t="s">
        <v>58</v>
      </c>
      <c r="N272" s="14" t="s">
        <v>59</v>
      </c>
      <c r="O272" s="10"/>
    </row>
    <row r="273" spans="1:15">
      <c r="A273" s="12" t="s">
        <v>1993</v>
      </c>
      <c r="B273" s="10" t="s">
        <v>1836</v>
      </c>
      <c r="C273" s="10" t="s">
        <v>1994</v>
      </c>
      <c r="D273" s="10" t="s">
        <v>1995</v>
      </c>
      <c r="E273" s="10" t="s">
        <v>1996</v>
      </c>
      <c r="F273" s="10" t="s">
        <v>1997</v>
      </c>
      <c r="G273" s="10" t="s">
        <v>1998</v>
      </c>
      <c r="H273" s="10" t="s">
        <v>1999</v>
      </c>
      <c r="I273" s="10"/>
      <c r="J273" s="13" t="s">
        <v>228</v>
      </c>
      <c r="K273" s="13" t="s">
        <v>101</v>
      </c>
      <c r="L273" s="13" t="s">
        <v>81</v>
      </c>
      <c r="M273" s="10" t="s">
        <v>58</v>
      </c>
      <c r="N273" s="14" t="s">
        <v>59</v>
      </c>
      <c r="O273" s="10"/>
    </row>
    <row r="274" spans="1:15">
      <c r="A274" s="12" t="s">
        <v>2000</v>
      </c>
      <c r="B274" s="10" t="s">
        <v>1836</v>
      </c>
      <c r="C274" s="10" t="s">
        <v>2001</v>
      </c>
      <c r="D274" s="10" t="s">
        <v>2002</v>
      </c>
      <c r="E274" s="10" t="s">
        <v>2003</v>
      </c>
      <c r="F274" s="10" t="s">
        <v>2004</v>
      </c>
      <c r="G274" s="10" t="s">
        <v>2005</v>
      </c>
      <c r="H274" s="10" t="s">
        <v>2006</v>
      </c>
      <c r="I274" s="10"/>
      <c r="J274" s="13" t="s">
        <v>228</v>
      </c>
      <c r="K274" s="13" t="s">
        <v>101</v>
      </c>
      <c r="L274" s="13" t="s">
        <v>689</v>
      </c>
      <c r="M274" s="10" t="s">
        <v>58</v>
      </c>
      <c r="N274" s="14" t="s">
        <v>59</v>
      </c>
      <c r="O274" s="10"/>
    </row>
    <row r="275" spans="1:15">
      <c r="A275" s="12" t="s">
        <v>2007</v>
      </c>
      <c r="B275" s="10" t="s">
        <v>1836</v>
      </c>
      <c r="C275" s="10" t="s">
        <v>2008</v>
      </c>
      <c r="D275" s="10" t="s">
        <v>2009</v>
      </c>
      <c r="E275" s="10" t="s">
        <v>2010</v>
      </c>
      <c r="F275" s="10" t="s">
        <v>2011</v>
      </c>
      <c r="G275" s="10" t="s">
        <v>2012</v>
      </c>
      <c r="H275" s="10" t="s">
        <v>2013</v>
      </c>
      <c r="I275" s="10"/>
      <c r="J275" s="13" t="s">
        <v>100</v>
      </c>
      <c r="K275" s="13" t="s">
        <v>67</v>
      </c>
      <c r="L275" s="13" t="s">
        <v>308</v>
      </c>
      <c r="M275" s="10" t="s">
        <v>58</v>
      </c>
      <c r="N275" s="14" t="s">
        <v>59</v>
      </c>
      <c r="O275" s="10"/>
    </row>
    <row r="276" spans="1:15">
      <c r="A276" s="12" t="s">
        <v>2014</v>
      </c>
      <c r="B276" s="10" t="s">
        <v>1836</v>
      </c>
      <c r="C276" s="10" t="s">
        <v>2015</v>
      </c>
      <c r="D276" s="10" t="s">
        <v>2016</v>
      </c>
      <c r="E276" s="10" t="s">
        <v>2017</v>
      </c>
      <c r="F276" s="10" t="s">
        <v>2018</v>
      </c>
      <c r="G276" s="10" t="s">
        <v>2019</v>
      </c>
      <c r="H276" s="10" t="s">
        <v>2020</v>
      </c>
      <c r="I276" s="10"/>
      <c r="J276" s="13" t="s">
        <v>55</v>
      </c>
      <c r="K276" s="13" t="s">
        <v>67</v>
      </c>
      <c r="L276" s="13" t="s">
        <v>2021</v>
      </c>
      <c r="M276" s="10" t="s">
        <v>300</v>
      </c>
      <c r="N276" s="14" t="s">
        <v>59</v>
      </c>
      <c r="O276" s="10"/>
    </row>
    <row r="277" spans="1:15">
      <c r="A277" s="15" t="s">
        <v>2022</v>
      </c>
      <c r="B277" s="16" t="s">
        <v>2023</v>
      </c>
      <c r="C277" s="16" t="s">
        <v>2024</v>
      </c>
      <c r="D277" s="16" t="s">
        <v>2025</v>
      </c>
      <c r="E277" s="16" t="s">
        <v>2026</v>
      </c>
      <c r="F277" s="16" t="s">
        <v>2027</v>
      </c>
      <c r="G277" s="16" t="s">
        <v>2028</v>
      </c>
      <c r="H277" s="16" t="s">
        <v>2029</v>
      </c>
      <c r="I277" s="16"/>
      <c r="J277" s="17" t="s">
        <v>55</v>
      </c>
      <c r="K277" s="17" t="s">
        <v>56</v>
      </c>
      <c r="L277" s="17" t="s">
        <v>57</v>
      </c>
      <c r="M277" s="16" t="s">
        <v>58</v>
      </c>
      <c r="N277" s="18" t="s">
        <v>59</v>
      </c>
      <c r="O277" s="16"/>
    </row>
    <row r="278" spans="1:15">
      <c r="A278" s="15" t="s">
        <v>2030</v>
      </c>
      <c r="B278" s="16" t="s">
        <v>2023</v>
      </c>
      <c r="C278" s="16" t="s">
        <v>2031</v>
      </c>
      <c r="D278" s="16" t="s">
        <v>2032</v>
      </c>
      <c r="E278" s="16" t="s">
        <v>2033</v>
      </c>
      <c r="F278" s="16" t="s">
        <v>2034</v>
      </c>
      <c r="G278" s="16" t="s">
        <v>2031</v>
      </c>
      <c r="H278" s="16" t="s">
        <v>2035</v>
      </c>
      <c r="I278" s="16"/>
      <c r="J278" s="17" t="s">
        <v>100</v>
      </c>
      <c r="K278" s="17" t="s">
        <v>67</v>
      </c>
      <c r="L278" s="17" t="s">
        <v>200</v>
      </c>
      <c r="M278" s="16" t="s">
        <v>141</v>
      </c>
      <c r="N278" s="18" t="s">
        <v>59</v>
      </c>
      <c r="O278" s="16"/>
    </row>
    <row r="279" spans="1:15">
      <c r="A279" s="15" t="s">
        <v>2036</v>
      </c>
      <c r="B279" s="16" t="s">
        <v>2023</v>
      </c>
      <c r="C279" s="16" t="s">
        <v>2037</v>
      </c>
      <c r="D279" s="16" t="s">
        <v>2038</v>
      </c>
      <c r="E279" s="16" t="s">
        <v>2039</v>
      </c>
      <c r="F279" s="16" t="s">
        <v>2040</v>
      </c>
      <c r="G279" s="16" t="s">
        <v>2041</v>
      </c>
      <c r="H279" s="16" t="s">
        <v>2042</v>
      </c>
      <c r="I279" s="16"/>
      <c r="J279" s="17" t="s">
        <v>55</v>
      </c>
      <c r="K279" s="17" t="s">
        <v>456</v>
      </c>
      <c r="L279" s="17" t="s">
        <v>376</v>
      </c>
      <c r="M279" s="16" t="s">
        <v>58</v>
      </c>
      <c r="N279" s="18" t="s">
        <v>59</v>
      </c>
      <c r="O279" s="16"/>
    </row>
    <row r="280" spans="1:15">
      <c r="A280" s="15" t="s">
        <v>2043</v>
      </c>
      <c r="B280" s="16" t="s">
        <v>2023</v>
      </c>
      <c r="C280" s="16" t="s">
        <v>2044</v>
      </c>
      <c r="D280" s="16" t="s">
        <v>2045</v>
      </c>
      <c r="E280" s="16" t="s">
        <v>2046</v>
      </c>
      <c r="F280" s="16" t="s">
        <v>2047</v>
      </c>
      <c r="G280" s="16" t="s">
        <v>2048</v>
      </c>
      <c r="H280" s="16" t="s">
        <v>2049</v>
      </c>
      <c r="I280" s="16"/>
      <c r="J280" s="17" t="s">
        <v>55</v>
      </c>
      <c r="K280" s="17" t="s">
        <v>456</v>
      </c>
      <c r="L280" s="17" t="s">
        <v>1368</v>
      </c>
      <c r="M280" s="16" t="s">
        <v>58</v>
      </c>
      <c r="N280" s="18" t="s">
        <v>59</v>
      </c>
      <c r="O280" s="16" t="s">
        <v>2050</v>
      </c>
    </row>
    <row r="281" spans="1:15">
      <c r="A281" s="15" t="s">
        <v>2051</v>
      </c>
      <c r="B281" s="16" t="s">
        <v>2023</v>
      </c>
      <c r="C281" s="16" t="s">
        <v>2052</v>
      </c>
      <c r="D281" s="16" t="s">
        <v>2053</v>
      </c>
      <c r="E281" s="16" t="s">
        <v>2039</v>
      </c>
      <c r="F281" s="16" t="s">
        <v>2054</v>
      </c>
      <c r="G281" s="16" t="s">
        <v>2055</v>
      </c>
      <c r="H281" s="16" t="s">
        <v>2056</v>
      </c>
      <c r="I281" s="16"/>
      <c r="J281" s="17" t="s">
        <v>55</v>
      </c>
      <c r="K281" s="17" t="s">
        <v>456</v>
      </c>
      <c r="L281" s="17" t="s">
        <v>1195</v>
      </c>
      <c r="M281" s="16" t="s">
        <v>58</v>
      </c>
      <c r="N281" s="18" t="s">
        <v>59</v>
      </c>
      <c r="O281" s="16"/>
    </row>
    <row r="282" spans="1:15">
      <c r="A282" s="15" t="s">
        <v>2057</v>
      </c>
      <c r="B282" s="16" t="s">
        <v>2023</v>
      </c>
      <c r="C282" s="16" t="s">
        <v>2058</v>
      </c>
      <c r="D282" s="16" t="s">
        <v>2059</v>
      </c>
      <c r="E282" s="16" t="s">
        <v>2039</v>
      </c>
      <c r="F282" s="16" t="s">
        <v>2060</v>
      </c>
      <c r="G282" s="16" t="s">
        <v>2061</v>
      </c>
      <c r="H282" s="16" t="s">
        <v>2062</v>
      </c>
      <c r="I282" s="16"/>
      <c r="J282" s="17" t="s">
        <v>55</v>
      </c>
      <c r="K282" s="17" t="s">
        <v>56</v>
      </c>
      <c r="L282" s="17" t="s">
        <v>1984</v>
      </c>
      <c r="M282" s="16" t="s">
        <v>58</v>
      </c>
      <c r="N282" s="18" t="s">
        <v>59</v>
      </c>
      <c r="O282" s="16"/>
    </row>
    <row r="283" spans="1:15">
      <c r="A283" s="15" t="s">
        <v>2063</v>
      </c>
      <c r="B283" s="16" t="s">
        <v>2023</v>
      </c>
      <c r="C283" s="16" t="s">
        <v>2064</v>
      </c>
      <c r="D283" s="16" t="s">
        <v>2065</v>
      </c>
      <c r="E283" s="16" t="s">
        <v>2039</v>
      </c>
      <c r="F283" s="16" t="s">
        <v>2066</v>
      </c>
      <c r="G283" s="16" t="s">
        <v>2067</v>
      </c>
      <c r="H283" s="16" t="s">
        <v>2068</v>
      </c>
      <c r="I283" s="16"/>
      <c r="J283" s="17" t="s">
        <v>100</v>
      </c>
      <c r="K283" s="17" t="s">
        <v>67</v>
      </c>
      <c r="L283" s="17" t="s">
        <v>1195</v>
      </c>
      <c r="M283" s="16" t="s">
        <v>58</v>
      </c>
      <c r="N283" s="18" t="s">
        <v>59</v>
      </c>
      <c r="O283" s="16"/>
    </row>
    <row r="284" spans="1:15">
      <c r="A284" s="15" t="s">
        <v>2069</v>
      </c>
      <c r="B284" s="16" t="s">
        <v>2023</v>
      </c>
      <c r="C284" s="16" t="s">
        <v>2070</v>
      </c>
      <c r="D284" s="16" t="s">
        <v>2071</v>
      </c>
      <c r="E284" s="16" t="s">
        <v>2072</v>
      </c>
      <c r="F284" s="16" t="s">
        <v>2073</v>
      </c>
      <c r="G284" s="16" t="s">
        <v>2074</v>
      </c>
      <c r="H284" s="16" t="s">
        <v>2075</v>
      </c>
      <c r="I284" s="16"/>
      <c r="J284" s="17" t="s">
        <v>100</v>
      </c>
      <c r="K284" s="17" t="s">
        <v>101</v>
      </c>
      <c r="L284" s="17" t="s">
        <v>81</v>
      </c>
      <c r="M284" s="16" t="s">
        <v>58</v>
      </c>
      <c r="N284" s="18" t="s">
        <v>59</v>
      </c>
      <c r="O284" s="16"/>
    </row>
    <row r="285" spans="1:15">
      <c r="A285" s="15" t="s">
        <v>2076</v>
      </c>
      <c r="B285" s="16" t="s">
        <v>2023</v>
      </c>
      <c r="C285" s="16" t="s">
        <v>2077</v>
      </c>
      <c r="D285" s="16" t="s">
        <v>2078</v>
      </c>
      <c r="E285" s="16" t="s">
        <v>2079</v>
      </c>
      <c r="F285" s="16" t="s">
        <v>2080</v>
      </c>
      <c r="G285" s="16" t="s">
        <v>2081</v>
      </c>
      <c r="H285" s="16" t="s">
        <v>2082</v>
      </c>
      <c r="I285" s="16"/>
      <c r="J285" s="17" t="s">
        <v>55</v>
      </c>
      <c r="K285" s="17" t="s">
        <v>456</v>
      </c>
      <c r="L285" s="17" t="s">
        <v>376</v>
      </c>
      <c r="M285" s="16" t="s">
        <v>58</v>
      </c>
      <c r="N285" s="18" t="s">
        <v>59</v>
      </c>
      <c r="O285" s="16"/>
    </row>
    <row r="286" spans="1:15">
      <c r="A286" s="15" t="s">
        <v>2083</v>
      </c>
      <c r="B286" s="16" t="s">
        <v>2023</v>
      </c>
      <c r="C286" s="16" t="s">
        <v>2084</v>
      </c>
      <c r="D286" s="16" t="s">
        <v>2085</v>
      </c>
      <c r="E286" s="16" t="s">
        <v>2079</v>
      </c>
      <c r="F286" s="16" t="s">
        <v>2086</v>
      </c>
      <c r="G286" s="16" t="s">
        <v>2087</v>
      </c>
      <c r="H286" s="16" t="s">
        <v>2088</v>
      </c>
      <c r="I286" s="16"/>
      <c r="J286" s="17" t="s">
        <v>55</v>
      </c>
      <c r="K286" s="17" t="s">
        <v>456</v>
      </c>
      <c r="L286" s="17" t="s">
        <v>140</v>
      </c>
      <c r="M286" s="16" t="s">
        <v>58</v>
      </c>
      <c r="N286" s="18" t="s">
        <v>59</v>
      </c>
      <c r="O286" s="16" t="s">
        <v>2089</v>
      </c>
    </row>
    <row r="287" spans="1:15">
      <c r="A287" s="15" t="s">
        <v>2090</v>
      </c>
      <c r="B287" s="16" t="s">
        <v>2023</v>
      </c>
      <c r="C287" s="16" t="s">
        <v>2091</v>
      </c>
      <c r="D287" s="16" t="s">
        <v>2092</v>
      </c>
      <c r="E287" s="16" t="s">
        <v>2079</v>
      </c>
      <c r="F287" s="16" t="s">
        <v>2093</v>
      </c>
      <c r="G287" s="16" t="s">
        <v>2094</v>
      </c>
      <c r="H287" s="16" t="s">
        <v>2095</v>
      </c>
      <c r="I287" s="16"/>
      <c r="J287" s="17" t="s">
        <v>100</v>
      </c>
      <c r="K287" s="17" t="s">
        <v>67</v>
      </c>
      <c r="L287" s="17" t="s">
        <v>1195</v>
      </c>
      <c r="M287" s="16" t="s">
        <v>58</v>
      </c>
      <c r="N287" s="18" t="s">
        <v>59</v>
      </c>
      <c r="O287" s="16"/>
    </row>
    <row r="288" spans="1:15">
      <c r="A288" s="15" t="s">
        <v>2096</v>
      </c>
      <c r="B288" s="16" t="s">
        <v>2023</v>
      </c>
      <c r="C288" s="16" t="s">
        <v>2097</v>
      </c>
      <c r="D288" s="16" t="s">
        <v>2098</v>
      </c>
      <c r="E288" s="16" t="s">
        <v>2099</v>
      </c>
      <c r="F288" s="16" t="s">
        <v>2100</v>
      </c>
      <c r="G288" s="16" t="s">
        <v>2101</v>
      </c>
      <c r="H288" s="16" t="s">
        <v>2102</v>
      </c>
      <c r="I288" s="16"/>
      <c r="J288" s="17" t="s">
        <v>55</v>
      </c>
      <c r="K288" s="17" t="s">
        <v>456</v>
      </c>
      <c r="L288" s="17" t="s">
        <v>376</v>
      </c>
      <c r="M288" s="16" t="s">
        <v>58</v>
      </c>
      <c r="N288" s="18" t="s">
        <v>59</v>
      </c>
      <c r="O288" s="16"/>
    </row>
    <row r="289" spans="1:15">
      <c r="A289" s="15" t="s">
        <v>2103</v>
      </c>
      <c r="B289" s="16" t="s">
        <v>2023</v>
      </c>
      <c r="C289" s="16" t="s">
        <v>2104</v>
      </c>
      <c r="D289" s="16" t="s">
        <v>2105</v>
      </c>
      <c r="E289" s="16" t="s">
        <v>1922</v>
      </c>
      <c r="F289" s="16" t="s">
        <v>2106</v>
      </c>
      <c r="G289" s="16" t="s">
        <v>2107</v>
      </c>
      <c r="H289" s="16" t="s">
        <v>2108</v>
      </c>
      <c r="I289" s="16"/>
      <c r="J289" s="17" t="s">
        <v>55</v>
      </c>
      <c r="K289" s="17" t="s">
        <v>456</v>
      </c>
      <c r="L289" s="17" t="s">
        <v>140</v>
      </c>
      <c r="M289" s="16" t="s">
        <v>141</v>
      </c>
      <c r="N289" s="18" t="s">
        <v>59</v>
      </c>
      <c r="O289" s="16" t="s">
        <v>2109</v>
      </c>
    </row>
    <row r="290" spans="1:15">
      <c r="A290" s="15" t="s">
        <v>2110</v>
      </c>
      <c r="B290" s="16" t="s">
        <v>2023</v>
      </c>
      <c r="C290" s="16" t="s">
        <v>2111</v>
      </c>
      <c r="D290" s="16" t="s">
        <v>2112</v>
      </c>
      <c r="E290" s="16" t="s">
        <v>2113</v>
      </c>
      <c r="F290" s="16" t="s">
        <v>2114</v>
      </c>
      <c r="G290" s="16" t="s">
        <v>2115</v>
      </c>
      <c r="H290" s="16" t="s">
        <v>2116</v>
      </c>
      <c r="I290" s="16"/>
      <c r="J290" s="17" t="s">
        <v>55</v>
      </c>
      <c r="K290" s="17" t="s">
        <v>56</v>
      </c>
      <c r="L290" s="17" t="s">
        <v>376</v>
      </c>
      <c r="M290" s="16" t="s">
        <v>58</v>
      </c>
      <c r="N290" s="18" t="s">
        <v>59</v>
      </c>
      <c r="O290" s="16"/>
    </row>
    <row r="291" spans="1:15">
      <c r="A291" s="15" t="s">
        <v>2117</v>
      </c>
      <c r="B291" s="16" t="s">
        <v>2023</v>
      </c>
      <c r="C291" s="16" t="s">
        <v>2118</v>
      </c>
      <c r="D291" s="16" t="s">
        <v>2119</v>
      </c>
      <c r="E291" s="16" t="s">
        <v>2120</v>
      </c>
      <c r="F291" s="16" t="s">
        <v>2121</v>
      </c>
      <c r="G291" s="16" t="s">
        <v>2122</v>
      </c>
      <c r="H291" s="16" t="s">
        <v>2123</v>
      </c>
      <c r="I291" s="16"/>
      <c r="J291" s="17" t="s">
        <v>55</v>
      </c>
      <c r="K291" s="17" t="s">
        <v>456</v>
      </c>
      <c r="L291" s="17" t="s">
        <v>2124</v>
      </c>
      <c r="M291" s="16" t="s">
        <v>58</v>
      </c>
      <c r="N291" s="18" t="s">
        <v>59</v>
      </c>
      <c r="O291" s="16" t="s">
        <v>2125</v>
      </c>
    </row>
    <row r="292" spans="1:15">
      <c r="A292" s="15" t="s">
        <v>2126</v>
      </c>
      <c r="B292" s="16" t="s">
        <v>2023</v>
      </c>
      <c r="C292" s="16" t="s">
        <v>2127</v>
      </c>
      <c r="D292" s="16" t="s">
        <v>2128</v>
      </c>
      <c r="E292" s="16" t="s">
        <v>2129</v>
      </c>
      <c r="F292" s="16" t="s">
        <v>2130</v>
      </c>
      <c r="G292" s="16" t="s">
        <v>2131</v>
      </c>
      <c r="H292" s="16" t="s">
        <v>2132</v>
      </c>
      <c r="I292" s="16"/>
      <c r="J292" s="17" t="s">
        <v>100</v>
      </c>
      <c r="K292" s="17" t="s">
        <v>67</v>
      </c>
      <c r="L292" s="17" t="s">
        <v>376</v>
      </c>
      <c r="M292" s="16" t="s">
        <v>58</v>
      </c>
      <c r="N292" s="18" t="s">
        <v>59</v>
      </c>
      <c r="O292" s="16"/>
    </row>
    <row r="293" spans="1:15">
      <c r="A293" s="15" t="s">
        <v>2133</v>
      </c>
      <c r="B293" s="16" t="s">
        <v>2023</v>
      </c>
      <c r="C293" s="16" t="s">
        <v>2134</v>
      </c>
      <c r="D293" s="16" t="s">
        <v>2135</v>
      </c>
      <c r="E293" s="16" t="s">
        <v>2129</v>
      </c>
      <c r="F293" s="16" t="s">
        <v>2136</v>
      </c>
      <c r="G293" s="16" t="s">
        <v>2137</v>
      </c>
      <c r="H293" s="16" t="s">
        <v>2138</v>
      </c>
      <c r="I293" s="16"/>
      <c r="J293" s="17" t="s">
        <v>100</v>
      </c>
      <c r="K293" s="17" t="s">
        <v>67</v>
      </c>
      <c r="L293" s="17" t="s">
        <v>1195</v>
      </c>
      <c r="M293" s="16" t="s">
        <v>58</v>
      </c>
      <c r="N293" s="18" t="s">
        <v>59</v>
      </c>
      <c r="O293" s="16"/>
    </row>
    <row r="294" spans="1:15">
      <c r="A294" s="15" t="s">
        <v>2139</v>
      </c>
      <c r="B294" s="16" t="s">
        <v>2023</v>
      </c>
      <c r="C294" s="16" t="s">
        <v>2140</v>
      </c>
      <c r="D294" s="16" t="s">
        <v>2141</v>
      </c>
      <c r="E294" s="16" t="s">
        <v>2142</v>
      </c>
      <c r="F294" s="16" t="s">
        <v>2143</v>
      </c>
      <c r="G294" s="16" t="s">
        <v>2144</v>
      </c>
      <c r="H294" s="16" t="s">
        <v>2145</v>
      </c>
      <c r="I294" s="16"/>
      <c r="J294" s="17" t="s">
        <v>55</v>
      </c>
      <c r="K294" s="17" t="s">
        <v>56</v>
      </c>
      <c r="L294" s="17" t="s">
        <v>2146</v>
      </c>
      <c r="M294" s="16" t="s">
        <v>58</v>
      </c>
      <c r="N294" s="18" t="s">
        <v>59</v>
      </c>
      <c r="O294" s="16"/>
    </row>
    <row r="295" spans="1:15">
      <c r="A295" s="15" t="s">
        <v>2147</v>
      </c>
      <c r="B295" s="16" t="s">
        <v>2023</v>
      </c>
      <c r="C295" s="16" t="s">
        <v>2148</v>
      </c>
      <c r="D295" s="16" t="s">
        <v>2149</v>
      </c>
      <c r="E295" s="16" t="s">
        <v>2150</v>
      </c>
      <c r="F295" s="16" t="s">
        <v>2151</v>
      </c>
      <c r="G295" s="16" t="s">
        <v>2152</v>
      </c>
      <c r="H295" s="16" t="s">
        <v>2153</v>
      </c>
      <c r="I295" s="16"/>
      <c r="J295" s="17" t="s">
        <v>55</v>
      </c>
      <c r="K295" s="17" t="s">
        <v>456</v>
      </c>
      <c r="L295" s="17" t="s">
        <v>140</v>
      </c>
      <c r="M295" s="16" t="s">
        <v>141</v>
      </c>
      <c r="N295" s="18" t="s">
        <v>59</v>
      </c>
      <c r="O295" s="16"/>
    </row>
    <row r="296" spans="1:15">
      <c r="A296" s="15" t="s">
        <v>2154</v>
      </c>
      <c r="B296" s="16" t="s">
        <v>2023</v>
      </c>
      <c r="C296" s="16" t="s">
        <v>2155</v>
      </c>
      <c r="D296" s="16" t="s">
        <v>2156</v>
      </c>
      <c r="E296" s="16" t="s">
        <v>2157</v>
      </c>
      <c r="F296" s="16" t="s">
        <v>2158</v>
      </c>
      <c r="G296" s="16" t="s">
        <v>2159</v>
      </c>
      <c r="H296" s="16" t="s">
        <v>2160</v>
      </c>
      <c r="I296" s="16"/>
      <c r="J296" s="17" t="s">
        <v>100</v>
      </c>
      <c r="K296" s="17" t="s">
        <v>101</v>
      </c>
      <c r="L296" s="17" t="s">
        <v>1195</v>
      </c>
      <c r="M296" s="16" t="s">
        <v>58</v>
      </c>
      <c r="N296" s="18" t="s">
        <v>59</v>
      </c>
      <c r="O296" s="16"/>
    </row>
    <row r="297" spans="1:15">
      <c r="A297" s="15" t="s">
        <v>2161</v>
      </c>
      <c r="B297" s="16" t="s">
        <v>2023</v>
      </c>
      <c r="C297" s="16" t="s">
        <v>2162</v>
      </c>
      <c r="D297" s="16" t="s">
        <v>2163</v>
      </c>
      <c r="E297" s="16" t="s">
        <v>2164</v>
      </c>
      <c r="F297" s="16" t="s">
        <v>2165</v>
      </c>
      <c r="G297" s="16" t="s">
        <v>2166</v>
      </c>
      <c r="H297" s="16" t="s">
        <v>2167</v>
      </c>
      <c r="I297" s="16"/>
      <c r="J297" s="17" t="s">
        <v>100</v>
      </c>
      <c r="K297" s="17" t="s">
        <v>67</v>
      </c>
      <c r="L297" s="17" t="s">
        <v>376</v>
      </c>
      <c r="M297" s="16" t="s">
        <v>58</v>
      </c>
      <c r="N297" s="18" t="s">
        <v>59</v>
      </c>
      <c r="O297" s="16"/>
    </row>
    <row r="298" spans="1:15">
      <c r="A298" s="15" t="s">
        <v>2168</v>
      </c>
      <c r="B298" s="16" t="s">
        <v>2023</v>
      </c>
      <c r="C298" s="16" t="s">
        <v>2169</v>
      </c>
      <c r="D298" s="16" t="s">
        <v>2170</v>
      </c>
      <c r="E298" s="16" t="s">
        <v>2164</v>
      </c>
      <c r="F298" s="16" t="s">
        <v>2171</v>
      </c>
      <c r="G298" s="16" t="s">
        <v>2172</v>
      </c>
      <c r="H298" s="16" t="s">
        <v>2173</v>
      </c>
      <c r="I298" s="16"/>
      <c r="J298" s="17" t="s">
        <v>55</v>
      </c>
      <c r="K298" s="17" t="s">
        <v>456</v>
      </c>
      <c r="L298" s="17" t="s">
        <v>140</v>
      </c>
      <c r="M298" s="16" t="s">
        <v>141</v>
      </c>
      <c r="N298" s="18" t="s">
        <v>59</v>
      </c>
      <c r="O298" s="16" t="s">
        <v>2174</v>
      </c>
    </row>
    <row r="299" spans="1:15">
      <c r="A299" s="15" t="s">
        <v>2175</v>
      </c>
      <c r="B299" s="16" t="s">
        <v>2023</v>
      </c>
      <c r="C299" s="16" t="s">
        <v>2176</v>
      </c>
      <c r="D299" s="16" t="s">
        <v>2177</v>
      </c>
      <c r="E299" s="16" t="s">
        <v>2178</v>
      </c>
      <c r="F299" s="16" t="s">
        <v>2179</v>
      </c>
      <c r="G299" s="16" t="s">
        <v>2180</v>
      </c>
      <c r="H299" s="16" t="s">
        <v>2181</v>
      </c>
      <c r="I299" s="16"/>
      <c r="J299" s="17" t="s">
        <v>100</v>
      </c>
      <c r="K299" s="17" t="s">
        <v>67</v>
      </c>
      <c r="L299" s="17" t="s">
        <v>57</v>
      </c>
      <c r="M299" s="16" t="s">
        <v>58</v>
      </c>
      <c r="N299" s="18" t="s">
        <v>59</v>
      </c>
      <c r="O299" s="16"/>
    </row>
    <row r="300" spans="1:15">
      <c r="A300" s="15" t="s">
        <v>2182</v>
      </c>
      <c r="B300" s="16" t="s">
        <v>2023</v>
      </c>
      <c r="C300" s="16" t="s">
        <v>2183</v>
      </c>
      <c r="D300" s="16" t="s">
        <v>2184</v>
      </c>
      <c r="E300" s="16" t="s">
        <v>2185</v>
      </c>
      <c r="F300" s="16" t="s">
        <v>2186</v>
      </c>
      <c r="G300" s="16" t="s">
        <v>2187</v>
      </c>
      <c r="H300" s="16" t="s">
        <v>2188</v>
      </c>
      <c r="I300" s="16"/>
      <c r="J300" s="17" t="s">
        <v>100</v>
      </c>
      <c r="K300" s="17" t="s">
        <v>67</v>
      </c>
      <c r="L300" s="17" t="s">
        <v>308</v>
      </c>
      <c r="M300" s="16" t="s">
        <v>58</v>
      </c>
      <c r="N300" s="18" t="s">
        <v>59</v>
      </c>
      <c r="O300" s="16"/>
    </row>
    <row r="301" spans="1:15">
      <c r="A301" s="15" t="s">
        <v>2189</v>
      </c>
      <c r="B301" s="16" t="s">
        <v>2023</v>
      </c>
      <c r="C301" s="16" t="s">
        <v>2190</v>
      </c>
      <c r="D301" s="16" t="s">
        <v>2191</v>
      </c>
      <c r="E301" s="16" t="s">
        <v>2192</v>
      </c>
      <c r="F301" s="16" t="s">
        <v>2193</v>
      </c>
      <c r="G301" s="16" t="s">
        <v>2194</v>
      </c>
      <c r="H301" s="16" t="s">
        <v>2195</v>
      </c>
      <c r="I301" s="16"/>
      <c r="J301" s="17" t="s">
        <v>55</v>
      </c>
      <c r="K301" s="17" t="s">
        <v>56</v>
      </c>
      <c r="L301" s="17" t="s">
        <v>284</v>
      </c>
      <c r="M301" s="16" t="s">
        <v>58</v>
      </c>
      <c r="N301" s="18" t="s">
        <v>59</v>
      </c>
      <c r="O301" s="16"/>
    </row>
    <row r="302" spans="1:15">
      <c r="A302" s="15" t="s">
        <v>2196</v>
      </c>
      <c r="B302" s="16" t="s">
        <v>2023</v>
      </c>
      <c r="C302" s="16" t="s">
        <v>2197</v>
      </c>
      <c r="D302" s="16" t="s">
        <v>2198</v>
      </c>
      <c r="E302" s="16" t="s">
        <v>2199</v>
      </c>
      <c r="F302" s="16" t="s">
        <v>2200</v>
      </c>
      <c r="G302" s="16" t="s">
        <v>2201</v>
      </c>
      <c r="H302" s="16" t="s">
        <v>2202</v>
      </c>
      <c r="I302" s="16"/>
      <c r="J302" s="17" t="s">
        <v>55</v>
      </c>
      <c r="K302" s="17" t="s">
        <v>456</v>
      </c>
      <c r="L302" s="17" t="s">
        <v>2203</v>
      </c>
      <c r="M302" s="16" t="s">
        <v>58</v>
      </c>
      <c r="N302" s="18" t="s">
        <v>59</v>
      </c>
      <c r="O302" s="16"/>
    </row>
    <row r="303" spans="1:15">
      <c r="A303" s="15" t="s">
        <v>2204</v>
      </c>
      <c r="B303" s="16" t="s">
        <v>2023</v>
      </c>
      <c r="C303" s="16" t="s">
        <v>2205</v>
      </c>
      <c r="D303" s="16" t="s">
        <v>2206</v>
      </c>
      <c r="E303" s="16" t="s">
        <v>2207</v>
      </c>
      <c r="F303" s="16" t="s">
        <v>2208</v>
      </c>
      <c r="G303" s="16" t="s">
        <v>2209</v>
      </c>
      <c r="H303" s="16" t="s">
        <v>2210</v>
      </c>
      <c r="I303" s="16"/>
      <c r="J303" s="17" t="s">
        <v>55</v>
      </c>
      <c r="K303" s="17" t="s">
        <v>56</v>
      </c>
      <c r="L303" s="17" t="s">
        <v>1976</v>
      </c>
      <c r="M303" s="16" t="s">
        <v>58</v>
      </c>
      <c r="N303" s="18" t="s">
        <v>59</v>
      </c>
      <c r="O303" s="16"/>
    </row>
    <row r="304" spans="1:15">
      <c r="A304" s="15" t="s">
        <v>2211</v>
      </c>
      <c r="B304" s="16" t="s">
        <v>2023</v>
      </c>
      <c r="C304" s="16" t="s">
        <v>2212</v>
      </c>
      <c r="D304" s="16" t="s">
        <v>2213</v>
      </c>
      <c r="E304" s="16" t="s">
        <v>2214</v>
      </c>
      <c r="F304" s="16" t="s">
        <v>2215</v>
      </c>
      <c r="G304" s="16" t="s">
        <v>2216</v>
      </c>
      <c r="H304" s="16" t="s">
        <v>2217</v>
      </c>
      <c r="I304" s="16"/>
      <c r="J304" s="17" t="s">
        <v>55</v>
      </c>
      <c r="K304" s="17" t="s">
        <v>456</v>
      </c>
      <c r="L304" s="17" t="s">
        <v>1933</v>
      </c>
      <c r="M304" s="16" t="s">
        <v>58</v>
      </c>
      <c r="N304" s="18" t="s">
        <v>59</v>
      </c>
      <c r="O304" s="16"/>
    </row>
    <row r="305" spans="1:15">
      <c r="A305" s="15" t="s">
        <v>2218</v>
      </c>
      <c r="B305" s="16" t="s">
        <v>2023</v>
      </c>
      <c r="C305" s="16" t="s">
        <v>2219</v>
      </c>
      <c r="D305" s="16" t="s">
        <v>2220</v>
      </c>
      <c r="E305" s="16" t="s">
        <v>1937</v>
      </c>
      <c r="F305" s="16" t="s">
        <v>2221</v>
      </c>
      <c r="G305" s="16" t="s">
        <v>2222</v>
      </c>
      <c r="H305" s="16" t="s">
        <v>2223</v>
      </c>
      <c r="I305" s="16"/>
      <c r="J305" s="17" t="s">
        <v>55</v>
      </c>
      <c r="K305" s="17" t="s">
        <v>456</v>
      </c>
      <c r="L305" s="17" t="s">
        <v>140</v>
      </c>
      <c r="M305" s="16" t="s">
        <v>141</v>
      </c>
      <c r="N305" s="18" t="s">
        <v>59</v>
      </c>
      <c r="O305" s="16"/>
    </row>
    <row r="306" spans="1:15">
      <c r="A306" s="15" t="s">
        <v>2224</v>
      </c>
      <c r="B306" s="16" t="s">
        <v>2023</v>
      </c>
      <c r="C306" s="16" t="s">
        <v>2225</v>
      </c>
      <c r="D306" s="16" t="s">
        <v>2226</v>
      </c>
      <c r="E306" s="16" t="s">
        <v>2227</v>
      </c>
      <c r="F306" s="16" t="s">
        <v>2228</v>
      </c>
      <c r="G306" s="16" t="s">
        <v>2229</v>
      </c>
      <c r="H306" s="16" t="s">
        <v>2230</v>
      </c>
      <c r="I306" s="16"/>
      <c r="J306" s="17" t="s">
        <v>100</v>
      </c>
      <c r="K306" s="17" t="s">
        <v>56</v>
      </c>
      <c r="L306" s="17" t="s">
        <v>2231</v>
      </c>
      <c r="M306" s="16" t="s">
        <v>58</v>
      </c>
      <c r="N306" s="18" t="s">
        <v>59</v>
      </c>
      <c r="O306" s="16"/>
    </row>
    <row r="307" spans="1:15">
      <c r="A307" s="12" t="s">
        <v>2232</v>
      </c>
      <c r="B307" s="10" t="s">
        <v>2233</v>
      </c>
      <c r="C307" s="10" t="s">
        <v>2234</v>
      </c>
      <c r="D307" s="10" t="s">
        <v>2235</v>
      </c>
      <c r="E307" s="10" t="s">
        <v>2236</v>
      </c>
      <c r="F307" s="10" t="s">
        <v>2237</v>
      </c>
      <c r="G307" s="10" t="s">
        <v>2238</v>
      </c>
      <c r="H307" s="10" t="s">
        <v>2239</v>
      </c>
      <c r="I307" s="10"/>
      <c r="J307" s="13" t="s">
        <v>55</v>
      </c>
      <c r="K307" s="13" t="s">
        <v>56</v>
      </c>
      <c r="L307" s="13" t="s">
        <v>57</v>
      </c>
      <c r="M307" s="10" t="s">
        <v>58</v>
      </c>
      <c r="N307" s="14" t="s">
        <v>59</v>
      </c>
      <c r="O307" s="10"/>
    </row>
    <row r="308" spans="1:15">
      <c r="A308" s="12" t="s">
        <v>2240</v>
      </c>
      <c r="B308" s="10" t="s">
        <v>2233</v>
      </c>
      <c r="C308" s="10" t="s">
        <v>2241</v>
      </c>
      <c r="D308" s="10" t="s">
        <v>2242</v>
      </c>
      <c r="E308" s="10" t="s">
        <v>2243</v>
      </c>
      <c r="F308" s="10" t="s">
        <v>2244</v>
      </c>
      <c r="G308" s="10" t="s">
        <v>2245</v>
      </c>
      <c r="H308" s="10" t="s">
        <v>2246</v>
      </c>
      <c r="I308" s="10"/>
      <c r="J308" s="13" t="s">
        <v>55</v>
      </c>
      <c r="K308" s="13" t="s">
        <v>56</v>
      </c>
      <c r="L308" s="13" t="s">
        <v>308</v>
      </c>
      <c r="M308" s="10" t="s">
        <v>58</v>
      </c>
      <c r="N308" s="14" t="s">
        <v>59</v>
      </c>
      <c r="O308" s="10"/>
    </row>
    <row r="309" spans="1:15">
      <c r="A309" s="12" t="s">
        <v>2247</v>
      </c>
      <c r="B309" s="10" t="s">
        <v>2233</v>
      </c>
      <c r="C309" s="10" t="s">
        <v>2248</v>
      </c>
      <c r="D309" s="10" t="s">
        <v>2249</v>
      </c>
      <c r="E309" s="10" t="s">
        <v>2250</v>
      </c>
      <c r="F309" s="10" t="s">
        <v>2251</v>
      </c>
      <c r="G309" s="10" t="s">
        <v>2252</v>
      </c>
      <c r="H309" s="10" t="s">
        <v>2253</v>
      </c>
      <c r="I309" s="10"/>
      <c r="J309" s="13" t="s">
        <v>55</v>
      </c>
      <c r="K309" s="13" t="s">
        <v>456</v>
      </c>
      <c r="L309" s="13" t="s">
        <v>2254</v>
      </c>
      <c r="M309" s="10" t="s">
        <v>2255</v>
      </c>
      <c r="N309" s="14" t="s">
        <v>59</v>
      </c>
      <c r="O309" s="10" t="s">
        <v>2256</v>
      </c>
    </row>
    <row r="310" spans="1:15">
      <c r="A310" s="12" t="s">
        <v>2257</v>
      </c>
      <c r="B310" s="10" t="s">
        <v>2233</v>
      </c>
      <c r="C310" s="10" t="s">
        <v>2258</v>
      </c>
      <c r="D310" s="10" t="s">
        <v>2259</v>
      </c>
      <c r="E310" s="10" t="s">
        <v>2260</v>
      </c>
      <c r="F310" s="10" t="s">
        <v>2261</v>
      </c>
      <c r="G310" s="10" t="s">
        <v>2262</v>
      </c>
      <c r="H310" s="10" t="s">
        <v>2263</v>
      </c>
      <c r="I310" s="10"/>
      <c r="J310" s="13" t="s">
        <v>55</v>
      </c>
      <c r="K310" s="13" t="s">
        <v>56</v>
      </c>
      <c r="L310" s="13" t="s">
        <v>57</v>
      </c>
      <c r="M310" s="10" t="s">
        <v>58</v>
      </c>
      <c r="N310" s="14" t="s">
        <v>59</v>
      </c>
      <c r="O310" s="10"/>
    </row>
    <row r="311" spans="1:15">
      <c r="A311" s="12" t="s">
        <v>2264</v>
      </c>
      <c r="B311" s="10" t="s">
        <v>2233</v>
      </c>
      <c r="C311" s="10" t="s">
        <v>2265</v>
      </c>
      <c r="D311" s="10" t="s">
        <v>2266</v>
      </c>
      <c r="E311" s="10" t="s">
        <v>2267</v>
      </c>
      <c r="F311" s="10" t="s">
        <v>2268</v>
      </c>
      <c r="G311" s="10" t="s">
        <v>2269</v>
      </c>
      <c r="H311" s="10" t="s">
        <v>2270</v>
      </c>
      <c r="I311" s="10"/>
      <c r="J311" s="13" t="s">
        <v>55</v>
      </c>
      <c r="K311" s="13" t="s">
        <v>56</v>
      </c>
      <c r="L311" s="13" t="s">
        <v>185</v>
      </c>
      <c r="M311" s="10" t="s">
        <v>58</v>
      </c>
      <c r="N311" s="14" t="s">
        <v>59</v>
      </c>
      <c r="O311" s="10" t="s">
        <v>2271</v>
      </c>
    </row>
    <row r="312" spans="1:15">
      <c r="A312" s="12" t="s">
        <v>2272</v>
      </c>
      <c r="B312" s="10" t="s">
        <v>2233</v>
      </c>
      <c r="C312" s="10" t="s">
        <v>2273</v>
      </c>
      <c r="D312" s="10" t="s">
        <v>2274</v>
      </c>
      <c r="E312" s="10" t="s">
        <v>2275</v>
      </c>
      <c r="F312" s="10" t="s">
        <v>2276</v>
      </c>
      <c r="G312" s="10" t="s">
        <v>2277</v>
      </c>
      <c r="H312" s="10" t="s">
        <v>2278</v>
      </c>
      <c r="I312" s="10"/>
      <c r="J312" s="13" t="s">
        <v>55</v>
      </c>
      <c r="K312" s="13" t="s">
        <v>56</v>
      </c>
      <c r="L312" s="13" t="s">
        <v>81</v>
      </c>
      <c r="M312" s="10" t="s">
        <v>141</v>
      </c>
      <c r="N312" s="14" t="s">
        <v>59</v>
      </c>
      <c r="O312" s="10"/>
    </row>
    <row r="313" spans="1:15">
      <c r="A313" s="12" t="s">
        <v>2279</v>
      </c>
      <c r="B313" s="10" t="s">
        <v>2233</v>
      </c>
      <c r="C313" s="10" t="s">
        <v>2280</v>
      </c>
      <c r="D313" s="10" t="s">
        <v>2281</v>
      </c>
      <c r="E313" s="10" t="s">
        <v>2282</v>
      </c>
      <c r="F313" s="10" t="s">
        <v>2283</v>
      </c>
      <c r="G313" s="10" t="s">
        <v>2284</v>
      </c>
      <c r="H313" s="10" t="s">
        <v>2285</v>
      </c>
      <c r="I313" s="10"/>
      <c r="J313" s="13" t="s">
        <v>228</v>
      </c>
      <c r="K313" s="13" t="s">
        <v>101</v>
      </c>
      <c r="L313" s="13" t="s">
        <v>1594</v>
      </c>
      <c r="M313" s="10" t="s">
        <v>2255</v>
      </c>
      <c r="N313" s="14" t="s">
        <v>59</v>
      </c>
      <c r="O313" s="10"/>
    </row>
    <row r="314" spans="1:15">
      <c r="A314" s="12" t="s">
        <v>2286</v>
      </c>
      <c r="B314" s="10" t="s">
        <v>2233</v>
      </c>
      <c r="C314" s="10" t="s">
        <v>2287</v>
      </c>
      <c r="D314" s="10" t="s">
        <v>2288</v>
      </c>
      <c r="E314" s="10" t="s">
        <v>2289</v>
      </c>
      <c r="F314" s="10" t="s">
        <v>2290</v>
      </c>
      <c r="G314" s="10" t="s">
        <v>2291</v>
      </c>
      <c r="H314" s="10" t="s">
        <v>2292</v>
      </c>
      <c r="I314" s="10"/>
      <c r="J314" s="13" t="s">
        <v>55</v>
      </c>
      <c r="K314" s="13" t="s">
        <v>67</v>
      </c>
      <c r="L314" s="13" t="s">
        <v>1609</v>
      </c>
      <c r="M314" s="10" t="s">
        <v>58</v>
      </c>
      <c r="N314" s="14" t="s">
        <v>59</v>
      </c>
      <c r="O314" s="10" t="s">
        <v>2293</v>
      </c>
    </row>
    <row r="315" spans="1:15">
      <c r="A315" s="12" t="s">
        <v>2294</v>
      </c>
      <c r="B315" s="10" t="s">
        <v>2233</v>
      </c>
      <c r="C315" s="10" t="s">
        <v>2295</v>
      </c>
      <c r="D315" s="10" t="s">
        <v>2296</v>
      </c>
      <c r="E315" s="10" t="s">
        <v>2297</v>
      </c>
      <c r="F315" s="10" t="s">
        <v>2298</v>
      </c>
      <c r="G315" s="10" t="s">
        <v>2299</v>
      </c>
      <c r="H315" s="10" t="s">
        <v>2300</v>
      </c>
      <c r="I315" s="10"/>
      <c r="J315" s="13" t="s">
        <v>100</v>
      </c>
      <c r="K315" s="13" t="s">
        <v>67</v>
      </c>
      <c r="L315" s="13" t="s">
        <v>1088</v>
      </c>
      <c r="M315" s="10" t="s">
        <v>58</v>
      </c>
      <c r="N315" s="14" t="s">
        <v>59</v>
      </c>
      <c r="O315" s="10"/>
    </row>
    <row r="316" spans="1:15">
      <c r="A316" s="12" t="s">
        <v>2301</v>
      </c>
      <c r="B316" s="10" t="s">
        <v>2233</v>
      </c>
      <c r="C316" s="10" t="s">
        <v>2302</v>
      </c>
      <c r="D316" s="10" t="s">
        <v>2303</v>
      </c>
      <c r="E316" s="10" t="s">
        <v>2304</v>
      </c>
      <c r="F316" s="10" t="s">
        <v>2305</v>
      </c>
      <c r="G316" s="10" t="s">
        <v>2306</v>
      </c>
      <c r="H316" s="10" t="s">
        <v>2307</v>
      </c>
      <c r="I316" s="10"/>
      <c r="J316" s="13" t="s">
        <v>55</v>
      </c>
      <c r="K316" s="13" t="s">
        <v>456</v>
      </c>
      <c r="L316" s="13" t="s">
        <v>299</v>
      </c>
      <c r="M316" s="10" t="s">
        <v>58</v>
      </c>
      <c r="N316" s="14" t="s">
        <v>59</v>
      </c>
      <c r="O316" s="10" t="s">
        <v>2308</v>
      </c>
    </row>
    <row r="317" spans="1:15">
      <c r="A317" s="12" t="s">
        <v>2309</v>
      </c>
      <c r="B317" s="10" t="s">
        <v>2233</v>
      </c>
      <c r="C317" s="10" t="s">
        <v>2310</v>
      </c>
      <c r="D317" s="10" t="s">
        <v>2311</v>
      </c>
      <c r="E317" s="10" t="s">
        <v>2267</v>
      </c>
      <c r="F317" s="10" t="s">
        <v>2312</v>
      </c>
      <c r="G317" s="10" t="s">
        <v>2313</v>
      </c>
      <c r="H317" s="10" t="s">
        <v>2314</v>
      </c>
      <c r="I317" s="10"/>
      <c r="J317" s="13" t="s">
        <v>55</v>
      </c>
      <c r="K317" s="13" t="s">
        <v>67</v>
      </c>
      <c r="L317" s="13" t="s">
        <v>185</v>
      </c>
      <c r="M317" s="10" t="s">
        <v>58</v>
      </c>
      <c r="N317" s="14" t="s">
        <v>59</v>
      </c>
      <c r="O317" s="10"/>
    </row>
    <row r="318" spans="1:15">
      <c r="A318" s="12" t="s">
        <v>2315</v>
      </c>
      <c r="B318" s="10" t="s">
        <v>2233</v>
      </c>
      <c r="C318" s="10" t="s">
        <v>2316</v>
      </c>
      <c r="D318" s="10" t="s">
        <v>2317</v>
      </c>
      <c r="E318" s="10" t="s">
        <v>2318</v>
      </c>
      <c r="F318" s="10" t="s">
        <v>2319</v>
      </c>
      <c r="G318" s="10" t="s">
        <v>2320</v>
      </c>
      <c r="H318" s="10" t="s">
        <v>2321</v>
      </c>
      <c r="I318" s="10"/>
      <c r="J318" s="13" t="s">
        <v>55</v>
      </c>
      <c r="K318" s="13" t="s">
        <v>456</v>
      </c>
      <c r="L318" s="13" t="s">
        <v>441</v>
      </c>
      <c r="M318" s="10" t="s">
        <v>141</v>
      </c>
      <c r="N318" s="14" t="s">
        <v>59</v>
      </c>
      <c r="O318" s="10"/>
    </row>
    <row r="319" spans="1:15">
      <c r="A319" s="12" t="s">
        <v>2322</v>
      </c>
      <c r="B319" s="10" t="s">
        <v>2233</v>
      </c>
      <c r="C319" s="10" t="s">
        <v>2323</v>
      </c>
      <c r="D319" s="10" t="s">
        <v>2324</v>
      </c>
      <c r="E319" s="10" t="s">
        <v>2325</v>
      </c>
      <c r="F319" s="10" t="s">
        <v>2326</v>
      </c>
      <c r="G319" s="10" t="s">
        <v>2327</v>
      </c>
      <c r="H319" s="10" t="s">
        <v>2328</v>
      </c>
      <c r="I319" s="10"/>
      <c r="J319" s="13" t="s">
        <v>55</v>
      </c>
      <c r="K319" s="13" t="s">
        <v>456</v>
      </c>
      <c r="L319" s="13" t="s">
        <v>140</v>
      </c>
      <c r="M319" s="10" t="s">
        <v>141</v>
      </c>
      <c r="N319" s="14" t="s">
        <v>59</v>
      </c>
      <c r="O319" s="10" t="s">
        <v>2329</v>
      </c>
    </row>
    <row r="320" spans="1:15">
      <c r="A320" s="12" t="s">
        <v>2330</v>
      </c>
      <c r="B320" s="10" t="s">
        <v>2233</v>
      </c>
      <c r="C320" s="10" t="s">
        <v>2331</v>
      </c>
      <c r="D320" s="10" t="s">
        <v>2332</v>
      </c>
      <c r="E320" s="10" t="s">
        <v>2333</v>
      </c>
      <c r="F320" s="10" t="s">
        <v>2334</v>
      </c>
      <c r="G320" s="10" t="s">
        <v>2335</v>
      </c>
      <c r="H320" s="10" t="s">
        <v>2336</v>
      </c>
      <c r="I320" s="10"/>
      <c r="J320" s="13" t="s">
        <v>55</v>
      </c>
      <c r="K320" s="13" t="s">
        <v>456</v>
      </c>
      <c r="L320" s="13" t="s">
        <v>1368</v>
      </c>
      <c r="M320" s="10" t="s">
        <v>58</v>
      </c>
      <c r="N320" s="14" t="s">
        <v>59</v>
      </c>
      <c r="O320" s="10" t="s">
        <v>2337</v>
      </c>
    </row>
    <row r="321" spans="1:15">
      <c r="A321" s="12" t="s">
        <v>2338</v>
      </c>
      <c r="B321" s="10" t="s">
        <v>2233</v>
      </c>
      <c r="C321" s="10" t="s">
        <v>2339</v>
      </c>
      <c r="D321" s="10" t="s">
        <v>2340</v>
      </c>
      <c r="E321" s="10" t="s">
        <v>2333</v>
      </c>
      <c r="F321" s="10" t="s">
        <v>2341</v>
      </c>
      <c r="G321" s="10" t="s">
        <v>2342</v>
      </c>
      <c r="H321" s="10" t="s">
        <v>2343</v>
      </c>
      <c r="I321" s="10"/>
      <c r="J321" s="13" t="s">
        <v>100</v>
      </c>
      <c r="K321" s="13" t="s">
        <v>67</v>
      </c>
      <c r="L321" s="13" t="s">
        <v>299</v>
      </c>
      <c r="M321" s="10" t="s">
        <v>58</v>
      </c>
      <c r="N321" s="14" t="s">
        <v>59</v>
      </c>
      <c r="O321" s="10"/>
    </row>
    <row r="322" spans="1:15">
      <c r="A322" s="12" t="s">
        <v>2344</v>
      </c>
      <c r="B322" s="10" t="s">
        <v>2233</v>
      </c>
      <c r="C322" s="10" t="s">
        <v>2345</v>
      </c>
      <c r="D322" s="10" t="s">
        <v>2346</v>
      </c>
      <c r="E322" s="10" t="s">
        <v>2333</v>
      </c>
      <c r="F322" s="10" t="s">
        <v>2347</v>
      </c>
      <c r="G322" s="10" t="s">
        <v>2348</v>
      </c>
      <c r="H322" s="10" t="s">
        <v>2349</v>
      </c>
      <c r="I322" s="10"/>
      <c r="J322" s="13" t="s">
        <v>55</v>
      </c>
      <c r="K322" s="13" t="s">
        <v>56</v>
      </c>
      <c r="L322" s="13" t="s">
        <v>185</v>
      </c>
      <c r="M322" s="10" t="s">
        <v>58</v>
      </c>
      <c r="N322" s="14" t="s">
        <v>59</v>
      </c>
      <c r="O322" s="10"/>
    </row>
    <row r="323" spans="1:15">
      <c r="A323" s="12" t="s">
        <v>2350</v>
      </c>
      <c r="B323" s="10" t="s">
        <v>2233</v>
      </c>
      <c r="C323" s="10" t="s">
        <v>2351</v>
      </c>
      <c r="D323" s="10" t="s">
        <v>2352</v>
      </c>
      <c r="E323" s="10" t="s">
        <v>2353</v>
      </c>
      <c r="F323" s="10" t="s">
        <v>2354</v>
      </c>
      <c r="G323" s="10" t="s">
        <v>2355</v>
      </c>
      <c r="H323" s="10" t="s">
        <v>2356</v>
      </c>
      <c r="I323" s="10"/>
      <c r="J323" s="13" t="s">
        <v>55</v>
      </c>
      <c r="K323" s="13" t="s">
        <v>56</v>
      </c>
      <c r="L323" s="13" t="s">
        <v>1933</v>
      </c>
      <c r="M323" s="10" t="s">
        <v>58</v>
      </c>
      <c r="N323" s="14" t="s">
        <v>59</v>
      </c>
      <c r="O323" s="10"/>
    </row>
    <row r="324" spans="1:15">
      <c r="A324" s="12" t="s">
        <v>2357</v>
      </c>
      <c r="B324" s="10" t="s">
        <v>2233</v>
      </c>
      <c r="C324" s="10" t="s">
        <v>2358</v>
      </c>
      <c r="D324" s="10" t="s">
        <v>2359</v>
      </c>
      <c r="E324" s="10" t="s">
        <v>2360</v>
      </c>
      <c r="F324" s="10" t="s">
        <v>2361</v>
      </c>
      <c r="G324" s="10" t="s">
        <v>600</v>
      </c>
      <c r="H324" s="10" t="s">
        <v>2362</v>
      </c>
      <c r="I324" s="10"/>
      <c r="J324" s="13" t="s">
        <v>55</v>
      </c>
      <c r="K324" s="13" t="s">
        <v>456</v>
      </c>
      <c r="L324" s="13" t="s">
        <v>140</v>
      </c>
      <c r="M324" s="10" t="s">
        <v>141</v>
      </c>
      <c r="N324" s="14" t="s">
        <v>59</v>
      </c>
      <c r="O324" s="10" t="s">
        <v>2363</v>
      </c>
    </row>
    <row r="325" spans="1:15">
      <c r="A325" s="12" t="s">
        <v>2364</v>
      </c>
      <c r="B325" s="10" t="s">
        <v>2233</v>
      </c>
      <c r="C325" s="10" t="s">
        <v>2365</v>
      </c>
      <c r="D325" s="10" t="s">
        <v>2366</v>
      </c>
      <c r="E325" s="10" t="s">
        <v>2367</v>
      </c>
      <c r="F325" s="10" t="s">
        <v>2368</v>
      </c>
      <c r="G325" s="10" t="s">
        <v>2369</v>
      </c>
      <c r="H325" s="10" t="s">
        <v>2370</v>
      </c>
      <c r="I325" s="10"/>
      <c r="J325" s="13" t="s">
        <v>55</v>
      </c>
      <c r="K325" s="13" t="s">
        <v>56</v>
      </c>
      <c r="L325" s="13" t="s">
        <v>2254</v>
      </c>
      <c r="M325" s="10" t="s">
        <v>2255</v>
      </c>
      <c r="N325" s="14" t="s">
        <v>59</v>
      </c>
      <c r="O325" s="10"/>
    </row>
    <row r="326" spans="1:15">
      <c r="A326" s="12" t="s">
        <v>2371</v>
      </c>
      <c r="B326" s="10" t="s">
        <v>2233</v>
      </c>
      <c r="C326" s="10" t="s">
        <v>2372</v>
      </c>
      <c r="D326" s="10" t="s">
        <v>2373</v>
      </c>
      <c r="E326" s="10" t="s">
        <v>2374</v>
      </c>
      <c r="F326" s="10" t="s">
        <v>2375</v>
      </c>
      <c r="G326" s="10" t="s">
        <v>2376</v>
      </c>
      <c r="H326" s="10" t="s">
        <v>2377</v>
      </c>
      <c r="I326" s="10"/>
      <c r="J326" s="13" t="s">
        <v>100</v>
      </c>
      <c r="K326" s="13" t="s">
        <v>101</v>
      </c>
      <c r="L326" s="13" t="s">
        <v>594</v>
      </c>
      <c r="M326" s="10" t="s">
        <v>58</v>
      </c>
      <c r="N326" s="14" t="s">
        <v>59</v>
      </c>
      <c r="O326" s="10"/>
    </row>
    <row r="327" spans="1:15">
      <c r="A327" s="12" t="s">
        <v>2378</v>
      </c>
      <c r="B327" s="10" t="s">
        <v>2233</v>
      </c>
      <c r="C327" s="10" t="s">
        <v>2379</v>
      </c>
      <c r="D327" s="10" t="s">
        <v>2380</v>
      </c>
      <c r="E327" s="10" t="s">
        <v>2381</v>
      </c>
      <c r="F327" s="10" t="s">
        <v>2382</v>
      </c>
      <c r="G327" s="10" t="s">
        <v>2383</v>
      </c>
      <c r="H327" s="10" t="s">
        <v>2384</v>
      </c>
      <c r="I327" s="10"/>
      <c r="J327" s="13" t="s">
        <v>100</v>
      </c>
      <c r="K327" s="13" t="s">
        <v>101</v>
      </c>
      <c r="L327" s="13" t="s">
        <v>149</v>
      </c>
      <c r="M327" s="10" t="s">
        <v>58</v>
      </c>
      <c r="N327" s="14" t="s">
        <v>59</v>
      </c>
      <c r="O327" s="10"/>
    </row>
    <row r="328" spans="1:15">
      <c r="A328" s="12" t="s">
        <v>2385</v>
      </c>
      <c r="B328" s="10" t="s">
        <v>2233</v>
      </c>
      <c r="C328" s="10" t="s">
        <v>2386</v>
      </c>
      <c r="D328" s="10" t="s">
        <v>2387</v>
      </c>
      <c r="E328" s="10" t="s">
        <v>2388</v>
      </c>
      <c r="F328" s="10" t="s">
        <v>2389</v>
      </c>
      <c r="G328" s="10" t="s">
        <v>1961</v>
      </c>
      <c r="H328" s="10" t="s">
        <v>2390</v>
      </c>
      <c r="I328" s="10"/>
      <c r="J328" s="13" t="s">
        <v>100</v>
      </c>
      <c r="K328" s="13" t="s">
        <v>67</v>
      </c>
      <c r="L328" s="13" t="s">
        <v>299</v>
      </c>
      <c r="M328" s="10" t="s">
        <v>58</v>
      </c>
      <c r="N328" s="14" t="s">
        <v>59</v>
      </c>
      <c r="O328" s="10"/>
    </row>
    <row r="329" spans="1:15">
      <c r="A329" s="12" t="s">
        <v>2391</v>
      </c>
      <c r="B329" s="10" t="s">
        <v>2233</v>
      </c>
      <c r="C329" s="10" t="s">
        <v>2392</v>
      </c>
      <c r="D329" s="10" t="s">
        <v>2393</v>
      </c>
      <c r="E329" s="10" t="s">
        <v>2318</v>
      </c>
      <c r="F329" s="10" t="s">
        <v>2394</v>
      </c>
      <c r="G329" s="10" t="s">
        <v>2320</v>
      </c>
      <c r="H329" s="10" t="s">
        <v>2395</v>
      </c>
      <c r="I329" s="10"/>
      <c r="J329" s="13" t="s">
        <v>55</v>
      </c>
      <c r="K329" s="13" t="s">
        <v>56</v>
      </c>
      <c r="L329" s="13" t="s">
        <v>441</v>
      </c>
      <c r="M329" s="10" t="s">
        <v>141</v>
      </c>
      <c r="N329" s="14" t="s">
        <v>59</v>
      </c>
      <c r="O329" s="10"/>
    </row>
    <row r="330" spans="1:15">
      <c r="A330" s="12" t="s">
        <v>2396</v>
      </c>
      <c r="B330" s="10" t="s">
        <v>2233</v>
      </c>
      <c r="C330" s="10" t="s">
        <v>2397</v>
      </c>
      <c r="D330" s="10" t="s">
        <v>2398</v>
      </c>
      <c r="E330" s="10" t="s">
        <v>2399</v>
      </c>
      <c r="F330" s="10" t="s">
        <v>2400</v>
      </c>
      <c r="G330" s="10" t="s">
        <v>2401</v>
      </c>
      <c r="H330" s="10" t="s">
        <v>2402</v>
      </c>
      <c r="I330" s="10"/>
      <c r="J330" s="13" t="s">
        <v>55</v>
      </c>
      <c r="K330" s="13" t="s">
        <v>67</v>
      </c>
      <c r="L330" s="13" t="s">
        <v>284</v>
      </c>
      <c r="M330" s="10" t="s">
        <v>58</v>
      </c>
      <c r="N330" s="14" t="s">
        <v>59</v>
      </c>
      <c r="O330" s="10"/>
    </row>
    <row r="331" spans="1:15">
      <c r="A331" s="12" t="s">
        <v>2403</v>
      </c>
      <c r="B331" s="10" t="s">
        <v>2233</v>
      </c>
      <c r="C331" s="10" t="s">
        <v>2404</v>
      </c>
      <c r="D331" s="10" t="s">
        <v>2405</v>
      </c>
      <c r="E331" s="10" t="s">
        <v>2318</v>
      </c>
      <c r="F331" s="10" t="s">
        <v>2406</v>
      </c>
      <c r="G331" s="10" t="s">
        <v>2320</v>
      </c>
      <c r="H331" s="10" t="s">
        <v>2407</v>
      </c>
      <c r="I331" s="10"/>
      <c r="J331" s="13" t="s">
        <v>55</v>
      </c>
      <c r="K331" s="13" t="s">
        <v>456</v>
      </c>
      <c r="L331" s="13" t="s">
        <v>441</v>
      </c>
      <c r="M331" s="10" t="s">
        <v>58</v>
      </c>
      <c r="N331" s="14" t="s">
        <v>59</v>
      </c>
      <c r="O331" s="10"/>
    </row>
    <row r="332" spans="1:15">
      <c r="A332" s="12" t="s">
        <v>2408</v>
      </c>
      <c r="B332" s="10" t="s">
        <v>2233</v>
      </c>
      <c r="C332" s="10" t="s">
        <v>2409</v>
      </c>
      <c r="D332" s="10" t="s">
        <v>2410</v>
      </c>
      <c r="E332" s="10" t="s">
        <v>2411</v>
      </c>
      <c r="F332" s="10" t="s">
        <v>2412</v>
      </c>
      <c r="G332" s="10" t="s">
        <v>2413</v>
      </c>
      <c r="H332" s="10" t="s">
        <v>2414</v>
      </c>
      <c r="I332" s="10"/>
      <c r="J332" s="13" t="s">
        <v>100</v>
      </c>
      <c r="K332" s="13" t="s">
        <v>67</v>
      </c>
      <c r="L332" s="13" t="s">
        <v>284</v>
      </c>
      <c r="M332" s="10" t="s">
        <v>58</v>
      </c>
      <c r="N332" s="14" t="s">
        <v>59</v>
      </c>
      <c r="O332" s="10"/>
    </row>
    <row r="333" spans="1:15">
      <c r="A333" s="12" t="s">
        <v>2415</v>
      </c>
      <c r="B333" s="10" t="s">
        <v>2233</v>
      </c>
      <c r="C333" s="10" t="s">
        <v>2416</v>
      </c>
      <c r="D333" s="10" t="s">
        <v>2417</v>
      </c>
      <c r="E333" s="10" t="s">
        <v>2418</v>
      </c>
      <c r="F333" s="10" t="s">
        <v>2419</v>
      </c>
      <c r="G333" s="10" t="s">
        <v>2420</v>
      </c>
      <c r="H333" s="10" t="s">
        <v>2421</v>
      </c>
      <c r="I333" s="10"/>
      <c r="J333" s="13" t="s">
        <v>100</v>
      </c>
      <c r="K333" s="13" t="s">
        <v>67</v>
      </c>
      <c r="L333" s="13" t="s">
        <v>140</v>
      </c>
      <c r="M333" s="10" t="s">
        <v>58</v>
      </c>
      <c r="N333" s="14" t="s">
        <v>59</v>
      </c>
      <c r="O333" s="10"/>
    </row>
    <row r="334" spans="1:15">
      <c r="A334" s="12" t="s">
        <v>2422</v>
      </c>
      <c r="B334" s="10" t="s">
        <v>2233</v>
      </c>
      <c r="C334" s="10" t="s">
        <v>2423</v>
      </c>
      <c r="D334" s="10" t="s">
        <v>2424</v>
      </c>
      <c r="E334" s="10" t="s">
        <v>2425</v>
      </c>
      <c r="F334" s="10" t="s">
        <v>2426</v>
      </c>
      <c r="G334" s="10" t="s">
        <v>2427</v>
      </c>
      <c r="H334" s="10" t="s">
        <v>2428</v>
      </c>
      <c r="I334" s="10"/>
      <c r="J334" s="13" t="s">
        <v>228</v>
      </c>
      <c r="K334" s="13" t="s">
        <v>101</v>
      </c>
      <c r="L334" s="13" t="s">
        <v>308</v>
      </c>
      <c r="M334" s="10" t="s">
        <v>58</v>
      </c>
      <c r="N334" s="14" t="s">
        <v>59</v>
      </c>
      <c r="O334" s="10"/>
    </row>
    <row r="335" spans="1:15">
      <c r="A335" s="12" t="s">
        <v>2429</v>
      </c>
      <c r="B335" s="10" t="s">
        <v>2233</v>
      </c>
      <c r="C335" s="10" t="s">
        <v>2430</v>
      </c>
      <c r="D335" s="10" t="s">
        <v>2431</v>
      </c>
      <c r="E335" s="10" t="s">
        <v>2432</v>
      </c>
      <c r="F335" s="10" t="s">
        <v>2433</v>
      </c>
      <c r="G335" s="10" t="s">
        <v>2427</v>
      </c>
      <c r="H335" s="10" t="s">
        <v>2434</v>
      </c>
      <c r="I335" s="10"/>
      <c r="J335" s="13" t="s">
        <v>228</v>
      </c>
      <c r="K335" s="13" t="s">
        <v>101</v>
      </c>
      <c r="L335" s="13" t="s">
        <v>308</v>
      </c>
      <c r="M335" s="10" t="s">
        <v>58</v>
      </c>
      <c r="N335" s="14" t="s">
        <v>59</v>
      </c>
      <c r="O335" s="10"/>
    </row>
    <row r="336" spans="1:15">
      <c r="A336" s="12" t="s">
        <v>2435</v>
      </c>
      <c r="B336" s="10" t="s">
        <v>2233</v>
      </c>
      <c r="C336" s="10" t="s">
        <v>2436</v>
      </c>
      <c r="D336" s="10" t="s">
        <v>2437</v>
      </c>
      <c r="E336" s="10" t="s">
        <v>2438</v>
      </c>
      <c r="F336" s="10" t="s">
        <v>2439</v>
      </c>
      <c r="G336" s="10" t="s">
        <v>2440</v>
      </c>
      <c r="H336" s="10" t="s">
        <v>2441</v>
      </c>
      <c r="I336" s="10"/>
      <c r="J336" s="13" t="s">
        <v>228</v>
      </c>
      <c r="K336" s="13" t="s">
        <v>101</v>
      </c>
      <c r="L336" s="13" t="s">
        <v>308</v>
      </c>
      <c r="M336" s="10" t="s">
        <v>58</v>
      </c>
      <c r="N336" s="14" t="s">
        <v>59</v>
      </c>
      <c r="O336" s="10"/>
    </row>
    <row r="337" spans="1:15">
      <c r="A337" s="12" t="s">
        <v>2442</v>
      </c>
      <c r="B337" s="10" t="s">
        <v>2233</v>
      </c>
      <c r="C337" s="10" t="s">
        <v>2443</v>
      </c>
      <c r="D337" s="10" t="s">
        <v>2444</v>
      </c>
      <c r="E337" s="10" t="s">
        <v>2445</v>
      </c>
      <c r="F337" s="10" t="s">
        <v>2446</v>
      </c>
      <c r="G337" s="10" t="s">
        <v>2447</v>
      </c>
      <c r="H337" s="10" t="s">
        <v>2448</v>
      </c>
      <c r="I337" s="10"/>
      <c r="J337" s="13" t="s">
        <v>100</v>
      </c>
      <c r="K337" s="13" t="s">
        <v>67</v>
      </c>
      <c r="L337" s="13" t="s">
        <v>2449</v>
      </c>
      <c r="M337" s="10" t="s">
        <v>58</v>
      </c>
      <c r="N337" s="14" t="s">
        <v>59</v>
      </c>
      <c r="O337" s="10"/>
    </row>
    <row r="338" spans="1:15">
      <c r="A338" s="12" t="s">
        <v>2450</v>
      </c>
      <c r="B338" s="10" t="s">
        <v>2233</v>
      </c>
      <c r="C338" s="10" t="s">
        <v>2451</v>
      </c>
      <c r="D338" s="10" t="s">
        <v>2452</v>
      </c>
      <c r="E338" s="10" t="s">
        <v>2453</v>
      </c>
      <c r="F338" s="10" t="s">
        <v>2454</v>
      </c>
      <c r="G338" s="10" t="s">
        <v>1607</v>
      </c>
      <c r="H338" s="10" t="s">
        <v>2455</v>
      </c>
      <c r="I338" s="10"/>
      <c r="J338" s="13" t="s">
        <v>55</v>
      </c>
      <c r="K338" s="13" t="s">
        <v>67</v>
      </c>
      <c r="L338" s="13" t="s">
        <v>308</v>
      </c>
      <c r="M338" s="10" t="s">
        <v>58</v>
      </c>
      <c r="N338" s="14" t="s">
        <v>59</v>
      </c>
      <c r="O338" s="10" t="s">
        <v>2456</v>
      </c>
    </row>
    <row r="339" spans="1:15">
      <c r="A339" s="12" t="s">
        <v>2457</v>
      </c>
      <c r="B339" s="10" t="s">
        <v>2233</v>
      </c>
      <c r="C339" s="10" t="s">
        <v>2458</v>
      </c>
      <c r="D339" s="10" t="s">
        <v>2459</v>
      </c>
      <c r="E339" s="10" t="s">
        <v>2460</v>
      </c>
      <c r="F339" s="10" t="s">
        <v>2461</v>
      </c>
      <c r="G339" s="10" t="s">
        <v>2462</v>
      </c>
      <c r="H339" s="10" t="s">
        <v>2463</v>
      </c>
      <c r="I339" s="10"/>
      <c r="J339" s="13" t="s">
        <v>228</v>
      </c>
      <c r="K339" s="13" t="s">
        <v>101</v>
      </c>
      <c r="L339" s="13" t="s">
        <v>308</v>
      </c>
      <c r="M339" s="10" t="s">
        <v>58</v>
      </c>
      <c r="N339" s="14" t="s">
        <v>59</v>
      </c>
      <c r="O339" s="10"/>
    </row>
    <row r="340" spans="1:15">
      <c r="A340" s="12" t="s">
        <v>2464</v>
      </c>
      <c r="B340" s="10" t="s">
        <v>2233</v>
      </c>
      <c r="C340" s="10" t="s">
        <v>2465</v>
      </c>
      <c r="D340" s="10" t="s">
        <v>2466</v>
      </c>
      <c r="E340" s="10" t="s">
        <v>2267</v>
      </c>
      <c r="F340" s="10" t="s">
        <v>2467</v>
      </c>
      <c r="G340" s="10" t="s">
        <v>2468</v>
      </c>
      <c r="H340" s="10" t="s">
        <v>2469</v>
      </c>
      <c r="I340" s="10"/>
      <c r="J340" s="13" t="s">
        <v>55</v>
      </c>
      <c r="K340" s="13" t="s">
        <v>56</v>
      </c>
      <c r="L340" s="13" t="s">
        <v>299</v>
      </c>
      <c r="M340" s="10" t="s">
        <v>58</v>
      </c>
      <c r="N340" s="14" t="s">
        <v>59</v>
      </c>
      <c r="O340" s="10"/>
    </row>
    <row r="341" spans="1:15">
      <c r="A341" s="12" t="s">
        <v>2470</v>
      </c>
      <c r="B341" s="10" t="s">
        <v>2233</v>
      </c>
      <c r="C341" s="10" t="s">
        <v>2471</v>
      </c>
      <c r="D341" s="10" t="s">
        <v>2472</v>
      </c>
      <c r="E341" s="10" t="s">
        <v>2473</v>
      </c>
      <c r="F341" s="10" t="s">
        <v>2474</v>
      </c>
      <c r="G341" s="10" t="s">
        <v>2475</v>
      </c>
      <c r="H341" s="10" t="s">
        <v>2476</v>
      </c>
      <c r="I341" s="10"/>
      <c r="J341" s="13" t="s">
        <v>100</v>
      </c>
      <c r="K341" s="13" t="s">
        <v>67</v>
      </c>
      <c r="L341" s="13" t="s">
        <v>2477</v>
      </c>
      <c r="M341" s="10" t="s">
        <v>58</v>
      </c>
      <c r="N341" s="14" t="s">
        <v>59</v>
      </c>
      <c r="O341" s="10"/>
    </row>
    <row r="342" spans="1:15">
      <c r="A342" s="15" t="s">
        <v>2478</v>
      </c>
      <c r="B342" s="16" t="s">
        <v>2479</v>
      </c>
      <c r="C342" s="16" t="s">
        <v>2480</v>
      </c>
      <c r="D342" s="16" t="s">
        <v>2481</v>
      </c>
      <c r="E342" s="16" t="s">
        <v>2482</v>
      </c>
      <c r="F342" s="16" t="s">
        <v>2483</v>
      </c>
      <c r="G342" s="16" t="s">
        <v>2484</v>
      </c>
      <c r="H342" s="16" t="s">
        <v>2485</v>
      </c>
      <c r="I342" s="16"/>
      <c r="J342" s="17" t="s">
        <v>55</v>
      </c>
      <c r="K342" s="17" t="s">
        <v>56</v>
      </c>
      <c r="L342" s="17" t="s">
        <v>57</v>
      </c>
      <c r="M342" s="16" t="s">
        <v>58</v>
      </c>
      <c r="N342" s="18" t="s">
        <v>59</v>
      </c>
      <c r="O342" s="16"/>
    </row>
    <row r="343" spans="1:15">
      <c r="A343" s="15" t="s">
        <v>2486</v>
      </c>
      <c r="B343" s="16" t="s">
        <v>2479</v>
      </c>
      <c r="C343" s="16" t="s">
        <v>2487</v>
      </c>
      <c r="D343" s="16" t="s">
        <v>2488</v>
      </c>
      <c r="E343" s="16" t="s">
        <v>2489</v>
      </c>
      <c r="F343" s="16" t="s">
        <v>2490</v>
      </c>
      <c r="G343" s="16" t="s">
        <v>470</v>
      </c>
      <c r="H343" s="16" t="s">
        <v>2491</v>
      </c>
      <c r="I343" s="16"/>
      <c r="J343" s="17" t="s">
        <v>55</v>
      </c>
      <c r="K343" s="17" t="s">
        <v>456</v>
      </c>
      <c r="L343" s="17" t="s">
        <v>140</v>
      </c>
      <c r="M343" s="16" t="s">
        <v>141</v>
      </c>
      <c r="N343" s="18" t="s">
        <v>59</v>
      </c>
      <c r="O343" s="16" t="s">
        <v>2492</v>
      </c>
    </row>
    <row r="344" spans="1:15">
      <c r="A344" s="15" t="s">
        <v>2493</v>
      </c>
      <c r="B344" s="16" t="s">
        <v>2479</v>
      </c>
      <c r="C344" s="16" t="s">
        <v>2494</v>
      </c>
      <c r="D344" s="16" t="s">
        <v>2495</v>
      </c>
      <c r="E344" s="16" t="s">
        <v>2496</v>
      </c>
      <c r="F344" s="16" t="s">
        <v>2497</v>
      </c>
      <c r="G344" s="16" t="s">
        <v>2498</v>
      </c>
      <c r="H344" s="16" t="s">
        <v>2499</v>
      </c>
      <c r="I344" s="16"/>
      <c r="J344" s="17" t="s">
        <v>55</v>
      </c>
      <c r="K344" s="17" t="s">
        <v>56</v>
      </c>
      <c r="L344" s="17" t="s">
        <v>299</v>
      </c>
      <c r="M344" s="16" t="s">
        <v>58</v>
      </c>
      <c r="N344" s="18" t="s">
        <v>59</v>
      </c>
      <c r="O344" s="16"/>
    </row>
    <row r="345" spans="1:15">
      <c r="A345" s="15" t="s">
        <v>2500</v>
      </c>
      <c r="B345" s="16" t="s">
        <v>2479</v>
      </c>
      <c r="C345" s="16" t="s">
        <v>2501</v>
      </c>
      <c r="D345" s="16" t="s">
        <v>2502</v>
      </c>
      <c r="E345" s="16" t="s">
        <v>2503</v>
      </c>
      <c r="F345" s="16" t="s">
        <v>2504</v>
      </c>
      <c r="G345" s="16" t="s">
        <v>2505</v>
      </c>
      <c r="H345" s="16" t="s">
        <v>2506</v>
      </c>
      <c r="I345" s="16"/>
      <c r="J345" s="17" t="s">
        <v>55</v>
      </c>
      <c r="K345" s="17" t="s">
        <v>456</v>
      </c>
      <c r="L345" s="17" t="s">
        <v>140</v>
      </c>
      <c r="M345" s="16" t="s">
        <v>141</v>
      </c>
      <c r="N345" s="18" t="s">
        <v>59</v>
      </c>
      <c r="O345" s="16"/>
    </row>
    <row r="346" spans="1:15">
      <c r="A346" s="15" t="s">
        <v>2507</v>
      </c>
      <c r="B346" s="16" t="s">
        <v>2479</v>
      </c>
      <c r="C346" s="16" t="s">
        <v>2508</v>
      </c>
      <c r="D346" s="16" t="s">
        <v>2509</v>
      </c>
      <c r="E346" s="16" t="s">
        <v>2510</v>
      </c>
      <c r="F346" s="16" t="s">
        <v>2511</v>
      </c>
      <c r="G346" s="16" t="s">
        <v>2512</v>
      </c>
      <c r="H346" s="16" t="s">
        <v>2513</v>
      </c>
      <c r="I346" s="16"/>
      <c r="J346" s="17" t="s">
        <v>100</v>
      </c>
      <c r="K346" s="17" t="s">
        <v>67</v>
      </c>
      <c r="L346" s="17" t="s">
        <v>229</v>
      </c>
      <c r="M346" s="16" t="s">
        <v>58</v>
      </c>
      <c r="N346" s="18" t="s">
        <v>59</v>
      </c>
      <c r="O346" s="16"/>
    </row>
    <row r="347" spans="1:15">
      <c r="A347" s="15" t="s">
        <v>2514</v>
      </c>
      <c r="B347" s="16" t="s">
        <v>2479</v>
      </c>
      <c r="C347" s="16" t="s">
        <v>2515</v>
      </c>
      <c r="D347" s="16" t="s">
        <v>2516</v>
      </c>
      <c r="E347" s="16" t="s">
        <v>2517</v>
      </c>
      <c r="F347" s="16" t="s">
        <v>2518</v>
      </c>
      <c r="G347" s="16" t="s">
        <v>2519</v>
      </c>
      <c r="H347" s="16" t="s">
        <v>2520</v>
      </c>
      <c r="I347" s="16"/>
      <c r="J347" s="17" t="s">
        <v>55</v>
      </c>
      <c r="K347" s="17" t="s">
        <v>56</v>
      </c>
      <c r="L347" s="17" t="s">
        <v>299</v>
      </c>
      <c r="M347" s="16" t="s">
        <v>58</v>
      </c>
      <c r="N347" s="18" t="s">
        <v>59</v>
      </c>
      <c r="O347" s="16"/>
    </row>
    <row r="348" spans="1:15">
      <c r="A348" s="15" t="s">
        <v>2521</v>
      </c>
      <c r="B348" s="16" t="s">
        <v>2479</v>
      </c>
      <c r="C348" s="16" t="s">
        <v>2522</v>
      </c>
      <c r="D348" s="16" t="s">
        <v>2523</v>
      </c>
      <c r="E348" s="16" t="s">
        <v>2524</v>
      </c>
      <c r="F348" s="16" t="s">
        <v>2525</v>
      </c>
      <c r="G348" s="16" t="s">
        <v>2526</v>
      </c>
      <c r="H348" s="16" t="s">
        <v>2527</v>
      </c>
      <c r="I348" s="16"/>
      <c r="J348" s="17" t="s">
        <v>55</v>
      </c>
      <c r="K348" s="17" t="s">
        <v>56</v>
      </c>
      <c r="L348" s="17" t="s">
        <v>185</v>
      </c>
      <c r="M348" s="16" t="s">
        <v>58</v>
      </c>
      <c r="N348" s="18" t="s">
        <v>59</v>
      </c>
      <c r="O348" s="16"/>
    </row>
    <row r="349" spans="1:15">
      <c r="A349" s="15" t="s">
        <v>2528</v>
      </c>
      <c r="B349" s="16" t="s">
        <v>2479</v>
      </c>
      <c r="C349" s="16" t="s">
        <v>2529</v>
      </c>
      <c r="D349" s="16" t="s">
        <v>2530</v>
      </c>
      <c r="E349" s="16" t="s">
        <v>2531</v>
      </c>
      <c r="F349" s="16" t="s">
        <v>2532</v>
      </c>
      <c r="G349" s="16" t="s">
        <v>2533</v>
      </c>
      <c r="H349" s="16" t="s">
        <v>2534</v>
      </c>
      <c r="I349" s="16"/>
      <c r="J349" s="17" t="s">
        <v>55</v>
      </c>
      <c r="K349" s="17" t="s">
        <v>456</v>
      </c>
      <c r="L349" s="17" t="s">
        <v>1639</v>
      </c>
      <c r="M349" s="16" t="s">
        <v>58</v>
      </c>
      <c r="N349" s="18" t="s">
        <v>59</v>
      </c>
      <c r="O349" s="16"/>
    </row>
    <row r="350" spans="1:15">
      <c r="A350" s="15" t="s">
        <v>2535</v>
      </c>
      <c r="B350" s="16" t="s">
        <v>2479</v>
      </c>
      <c r="C350" s="16" t="s">
        <v>2536</v>
      </c>
      <c r="D350" s="16" t="s">
        <v>2537</v>
      </c>
      <c r="E350" s="16" t="s">
        <v>2538</v>
      </c>
      <c r="F350" s="16" t="s">
        <v>2539</v>
      </c>
      <c r="G350" s="16" t="s">
        <v>2540</v>
      </c>
      <c r="H350" s="16" t="s">
        <v>2541</v>
      </c>
      <c r="I350" s="16"/>
      <c r="J350" s="17" t="s">
        <v>55</v>
      </c>
      <c r="K350" s="17" t="s">
        <v>56</v>
      </c>
      <c r="L350" s="17" t="s">
        <v>1609</v>
      </c>
      <c r="M350" s="16" t="s">
        <v>58</v>
      </c>
      <c r="N350" s="18" t="s">
        <v>59</v>
      </c>
      <c r="O350" s="16"/>
    </row>
    <row r="351" spans="1:15">
      <c r="A351" s="15" t="s">
        <v>2542</v>
      </c>
      <c r="B351" s="16" t="s">
        <v>2479</v>
      </c>
      <c r="C351" s="16" t="s">
        <v>2543</v>
      </c>
      <c r="D351" s="16" t="s">
        <v>2544</v>
      </c>
      <c r="E351" s="16" t="s">
        <v>2545</v>
      </c>
      <c r="F351" s="16" t="s">
        <v>2546</v>
      </c>
      <c r="G351" s="16" t="s">
        <v>2547</v>
      </c>
      <c r="H351" s="16" t="s">
        <v>2548</v>
      </c>
      <c r="I351" s="16"/>
      <c r="J351" s="17" t="s">
        <v>100</v>
      </c>
      <c r="K351" s="17" t="s">
        <v>67</v>
      </c>
      <c r="L351" s="17" t="s">
        <v>308</v>
      </c>
      <c r="M351" s="16" t="s">
        <v>58</v>
      </c>
      <c r="N351" s="18" t="s">
        <v>59</v>
      </c>
      <c r="O351" s="16"/>
    </row>
    <row r="352" spans="1:15">
      <c r="A352" s="15" t="s">
        <v>2549</v>
      </c>
      <c r="B352" s="16" t="s">
        <v>2479</v>
      </c>
      <c r="C352" s="16" t="s">
        <v>2550</v>
      </c>
      <c r="D352" s="16" t="s">
        <v>2551</v>
      </c>
      <c r="E352" s="16" t="s">
        <v>2552</v>
      </c>
      <c r="F352" s="16" t="s">
        <v>2553</v>
      </c>
      <c r="G352" s="16" t="s">
        <v>2554</v>
      </c>
      <c r="H352" s="16" t="s">
        <v>2555</v>
      </c>
      <c r="I352" s="16"/>
      <c r="J352" s="17" t="s">
        <v>55</v>
      </c>
      <c r="K352" s="17" t="s">
        <v>456</v>
      </c>
      <c r="L352" s="17" t="s">
        <v>441</v>
      </c>
      <c r="M352" s="16" t="s">
        <v>141</v>
      </c>
      <c r="N352" s="18" t="s">
        <v>59</v>
      </c>
      <c r="O352" s="16"/>
    </row>
    <row r="353" spans="1:15">
      <c r="A353" s="15" t="s">
        <v>2556</v>
      </c>
      <c r="B353" s="16" t="s">
        <v>2479</v>
      </c>
      <c r="C353" s="16" t="s">
        <v>2557</v>
      </c>
      <c r="D353" s="16" t="s">
        <v>2558</v>
      </c>
      <c r="E353" s="16" t="s">
        <v>2559</v>
      </c>
      <c r="F353" s="16" t="s">
        <v>2560</v>
      </c>
      <c r="G353" s="16" t="s">
        <v>2561</v>
      </c>
      <c r="H353" s="16" t="s">
        <v>2562</v>
      </c>
      <c r="I353" s="16"/>
      <c r="J353" s="17" t="s">
        <v>55</v>
      </c>
      <c r="K353" s="17" t="s">
        <v>56</v>
      </c>
      <c r="L353" s="17" t="s">
        <v>299</v>
      </c>
      <c r="M353" s="16" t="s">
        <v>58</v>
      </c>
      <c r="N353" s="18" t="s">
        <v>59</v>
      </c>
      <c r="O353" s="16" t="s">
        <v>2563</v>
      </c>
    </row>
    <row r="354" spans="1:15">
      <c r="A354" s="15" t="s">
        <v>2564</v>
      </c>
      <c r="B354" s="16" t="s">
        <v>2479</v>
      </c>
      <c r="C354" s="16" t="s">
        <v>2565</v>
      </c>
      <c r="D354" s="16" t="s">
        <v>2566</v>
      </c>
      <c r="E354" s="16" t="s">
        <v>2567</v>
      </c>
      <c r="F354" s="16" t="s">
        <v>2568</v>
      </c>
      <c r="G354" s="16" t="s">
        <v>2569</v>
      </c>
      <c r="H354" s="16" t="s">
        <v>2570</v>
      </c>
      <c r="I354" s="16"/>
      <c r="J354" s="17" t="s">
        <v>55</v>
      </c>
      <c r="K354" s="17" t="s">
        <v>56</v>
      </c>
      <c r="L354" s="17" t="s">
        <v>1609</v>
      </c>
      <c r="M354" s="16" t="s">
        <v>58</v>
      </c>
      <c r="N354" s="18" t="s">
        <v>59</v>
      </c>
      <c r="O354" s="16" t="s">
        <v>2571</v>
      </c>
    </row>
    <row r="355" spans="1:15">
      <c r="A355" s="15" t="s">
        <v>2572</v>
      </c>
      <c r="B355" s="16" t="s">
        <v>2479</v>
      </c>
      <c r="C355" s="16" t="s">
        <v>2573</v>
      </c>
      <c r="D355" s="16" t="s">
        <v>2574</v>
      </c>
      <c r="E355" s="16" t="s">
        <v>2575</v>
      </c>
      <c r="F355" s="16" t="s">
        <v>2576</v>
      </c>
      <c r="G355" s="16" t="s">
        <v>2577</v>
      </c>
      <c r="H355" s="16" t="s">
        <v>2578</v>
      </c>
      <c r="I355" s="16"/>
      <c r="J355" s="17" t="s">
        <v>55</v>
      </c>
      <c r="K355" s="17" t="s">
        <v>456</v>
      </c>
      <c r="L355" s="17" t="s">
        <v>1368</v>
      </c>
      <c r="M355" s="16" t="s">
        <v>58</v>
      </c>
      <c r="N355" s="18" t="s">
        <v>59</v>
      </c>
      <c r="O355" s="16" t="s">
        <v>2579</v>
      </c>
    </row>
    <row r="356" spans="1:15">
      <c r="A356" s="15" t="s">
        <v>2580</v>
      </c>
      <c r="B356" s="16" t="s">
        <v>2479</v>
      </c>
      <c r="C356" s="16" t="s">
        <v>2581</v>
      </c>
      <c r="D356" s="16" t="s">
        <v>2582</v>
      </c>
      <c r="E356" s="16" t="s">
        <v>2583</v>
      </c>
      <c r="F356" s="16" t="s">
        <v>2584</v>
      </c>
      <c r="G356" s="16" t="s">
        <v>2585</v>
      </c>
      <c r="H356" s="16" t="s">
        <v>2586</v>
      </c>
      <c r="I356" s="16"/>
      <c r="J356" s="17" t="s">
        <v>55</v>
      </c>
      <c r="K356" s="17" t="s">
        <v>67</v>
      </c>
      <c r="L356" s="17" t="s">
        <v>185</v>
      </c>
      <c r="M356" s="16" t="s">
        <v>58</v>
      </c>
      <c r="N356" s="18" t="s">
        <v>59</v>
      </c>
      <c r="O356" s="16"/>
    </row>
    <row r="357" spans="1:15">
      <c r="A357" s="15" t="s">
        <v>2587</v>
      </c>
      <c r="B357" s="16" t="s">
        <v>2479</v>
      </c>
      <c r="C357" s="16" t="s">
        <v>2588</v>
      </c>
      <c r="D357" s="16" t="s">
        <v>2589</v>
      </c>
      <c r="E357" s="16" t="s">
        <v>2590</v>
      </c>
      <c r="F357" s="16" t="s">
        <v>2591</v>
      </c>
      <c r="G357" s="16" t="s">
        <v>2592</v>
      </c>
      <c r="H357" s="16" t="s">
        <v>2593</v>
      </c>
      <c r="I357" s="16"/>
      <c r="J357" s="17" t="s">
        <v>100</v>
      </c>
      <c r="K357" s="17" t="s">
        <v>67</v>
      </c>
      <c r="L357" s="17" t="s">
        <v>308</v>
      </c>
      <c r="M357" s="16" t="s">
        <v>58</v>
      </c>
      <c r="N357" s="18" t="s">
        <v>59</v>
      </c>
      <c r="O357" s="16"/>
    </row>
    <row r="358" spans="1:15">
      <c r="A358" s="15" t="s">
        <v>2594</v>
      </c>
      <c r="B358" s="16" t="s">
        <v>2479</v>
      </c>
      <c r="C358" s="16" t="s">
        <v>2595</v>
      </c>
      <c r="D358" s="16" t="s">
        <v>2596</v>
      </c>
      <c r="E358" s="16" t="s">
        <v>2597</v>
      </c>
      <c r="F358" s="16" t="s">
        <v>2598</v>
      </c>
      <c r="G358" s="16" t="s">
        <v>2599</v>
      </c>
      <c r="H358" s="16" t="s">
        <v>2600</v>
      </c>
      <c r="I358" s="16"/>
      <c r="J358" s="17" t="s">
        <v>228</v>
      </c>
      <c r="K358" s="17" t="s">
        <v>101</v>
      </c>
      <c r="L358" s="17" t="s">
        <v>594</v>
      </c>
      <c r="M358" s="16" t="s">
        <v>58</v>
      </c>
      <c r="N358" s="18" t="s">
        <v>59</v>
      </c>
      <c r="O358" s="16"/>
    </row>
    <row r="359" spans="1:15">
      <c r="A359" s="15" t="s">
        <v>2601</v>
      </c>
      <c r="B359" s="16" t="s">
        <v>2479</v>
      </c>
      <c r="C359" s="16" t="s">
        <v>2602</v>
      </c>
      <c r="D359" s="16" t="s">
        <v>2603</v>
      </c>
      <c r="E359" s="16" t="s">
        <v>2604</v>
      </c>
      <c r="F359" s="16" t="s">
        <v>2605</v>
      </c>
      <c r="G359" s="16" t="s">
        <v>2606</v>
      </c>
      <c r="H359" s="16" t="s">
        <v>2607</v>
      </c>
      <c r="I359" s="16"/>
      <c r="J359" s="17" t="s">
        <v>100</v>
      </c>
      <c r="K359" s="17" t="s">
        <v>67</v>
      </c>
      <c r="L359" s="17" t="s">
        <v>284</v>
      </c>
      <c r="M359" s="16" t="s">
        <v>58</v>
      </c>
      <c r="N359" s="18" t="s">
        <v>59</v>
      </c>
      <c r="O359" s="16"/>
    </row>
    <row r="360" spans="1:15">
      <c r="A360" s="12" t="s">
        <v>2608</v>
      </c>
      <c r="B360" s="10" t="s">
        <v>2609</v>
      </c>
      <c r="C360" s="10" t="s">
        <v>2610</v>
      </c>
      <c r="D360" s="10" t="s">
        <v>2611</v>
      </c>
      <c r="E360" s="10" t="s">
        <v>2612</v>
      </c>
      <c r="F360" s="10" t="s">
        <v>2613</v>
      </c>
      <c r="G360" s="10" t="s">
        <v>550</v>
      </c>
      <c r="H360" s="10" t="s">
        <v>2614</v>
      </c>
      <c r="I360" s="10"/>
      <c r="J360" s="13" t="s">
        <v>55</v>
      </c>
      <c r="K360" s="13" t="s">
        <v>56</v>
      </c>
      <c r="L360" s="13" t="s">
        <v>594</v>
      </c>
      <c r="M360" s="10" t="s">
        <v>58</v>
      </c>
      <c r="N360" s="14" t="s">
        <v>59</v>
      </c>
      <c r="O360" s="10"/>
    </row>
    <row r="361" spans="1:15">
      <c r="A361" s="12" t="s">
        <v>2615</v>
      </c>
      <c r="B361" s="10" t="s">
        <v>2609</v>
      </c>
      <c r="C361" s="10" t="s">
        <v>2616</v>
      </c>
      <c r="D361" s="10" t="s">
        <v>2617</v>
      </c>
      <c r="E361" s="10" t="s">
        <v>2618</v>
      </c>
      <c r="F361" s="10" t="s">
        <v>2619</v>
      </c>
      <c r="G361" s="10" t="s">
        <v>2620</v>
      </c>
      <c r="H361" s="10" t="s">
        <v>2621</v>
      </c>
      <c r="I361" s="10"/>
      <c r="J361" s="13" t="s">
        <v>100</v>
      </c>
      <c r="K361" s="13" t="s">
        <v>101</v>
      </c>
      <c r="L361" s="13" t="s">
        <v>1774</v>
      </c>
      <c r="M361" s="10" t="s">
        <v>58</v>
      </c>
      <c r="N361" s="14" t="s">
        <v>59</v>
      </c>
      <c r="O361" s="10"/>
    </row>
    <row r="362" spans="1:15">
      <c r="A362" s="12" t="s">
        <v>2622</v>
      </c>
      <c r="B362" s="10" t="s">
        <v>2609</v>
      </c>
      <c r="C362" s="10" t="s">
        <v>2623</v>
      </c>
      <c r="D362" s="10" t="s">
        <v>2624</v>
      </c>
      <c r="E362" s="10" t="s">
        <v>2625</v>
      </c>
      <c r="F362" s="10" t="s">
        <v>2626</v>
      </c>
      <c r="G362" s="10" t="s">
        <v>2627</v>
      </c>
      <c r="H362" s="10" t="s">
        <v>2628</v>
      </c>
      <c r="I362" s="10"/>
      <c r="J362" s="13" t="s">
        <v>100</v>
      </c>
      <c r="K362" s="13" t="s">
        <v>101</v>
      </c>
      <c r="L362" s="13" t="s">
        <v>594</v>
      </c>
      <c r="M362" s="10" t="s">
        <v>58</v>
      </c>
      <c r="N362" s="14" t="s">
        <v>59</v>
      </c>
      <c r="O362" s="10"/>
    </row>
    <row r="363" spans="1:15">
      <c r="A363" s="12" t="s">
        <v>2629</v>
      </c>
      <c r="B363" s="10" t="s">
        <v>2609</v>
      </c>
      <c r="C363" s="10" t="s">
        <v>2630</v>
      </c>
      <c r="D363" s="10" t="s">
        <v>2631</v>
      </c>
      <c r="E363" s="10" t="s">
        <v>2632</v>
      </c>
      <c r="F363" s="10" t="s">
        <v>2633</v>
      </c>
      <c r="G363" s="10" t="s">
        <v>2634</v>
      </c>
      <c r="H363" s="10" t="s">
        <v>2635</v>
      </c>
      <c r="I363" s="10"/>
      <c r="J363" s="13" t="s">
        <v>100</v>
      </c>
      <c r="K363" s="13" t="s">
        <v>101</v>
      </c>
      <c r="L363" s="13" t="s">
        <v>308</v>
      </c>
      <c r="M363" s="10" t="s">
        <v>58</v>
      </c>
      <c r="N363" s="14" t="s">
        <v>59</v>
      </c>
      <c r="O363" s="10"/>
    </row>
    <row r="364" spans="1:15">
      <c r="A364" s="12" t="s">
        <v>2636</v>
      </c>
      <c r="B364" s="10" t="s">
        <v>2609</v>
      </c>
      <c r="C364" s="10" t="s">
        <v>2637</v>
      </c>
      <c r="D364" s="10" t="s">
        <v>2638</v>
      </c>
      <c r="E364" s="10" t="s">
        <v>2639</v>
      </c>
      <c r="F364" s="10" t="s">
        <v>2640</v>
      </c>
      <c r="G364" s="10" t="s">
        <v>2641</v>
      </c>
      <c r="H364" s="10" t="s">
        <v>2642</v>
      </c>
      <c r="I364" s="10"/>
      <c r="J364" s="13" t="s">
        <v>55</v>
      </c>
      <c r="K364" s="13" t="s">
        <v>67</v>
      </c>
      <c r="L364" s="13" t="s">
        <v>594</v>
      </c>
      <c r="M364" s="10" t="s">
        <v>58</v>
      </c>
      <c r="N364" s="14" t="s">
        <v>59</v>
      </c>
      <c r="O364" s="10"/>
    </row>
    <row r="365" spans="1:15">
      <c r="A365" s="12" t="s">
        <v>2643</v>
      </c>
      <c r="B365" s="10" t="s">
        <v>2609</v>
      </c>
      <c r="C365" s="10" t="s">
        <v>2644</v>
      </c>
      <c r="D365" s="10" t="s">
        <v>2645</v>
      </c>
      <c r="E365" s="10" t="s">
        <v>2646</v>
      </c>
      <c r="F365" s="10" t="s">
        <v>2647</v>
      </c>
      <c r="G365" s="10" t="s">
        <v>2648</v>
      </c>
      <c r="H365" s="10" t="s">
        <v>2649</v>
      </c>
      <c r="I365" s="10"/>
      <c r="J365" s="13" t="s">
        <v>228</v>
      </c>
      <c r="K365" s="13" t="s">
        <v>101</v>
      </c>
      <c r="L365" s="13" t="s">
        <v>308</v>
      </c>
      <c r="M365" s="10" t="s">
        <v>58</v>
      </c>
      <c r="N365" s="14" t="s">
        <v>59</v>
      </c>
      <c r="O365" s="10"/>
    </row>
    <row r="366" spans="1:15">
      <c r="A366" s="12" t="s">
        <v>2650</v>
      </c>
      <c r="B366" s="10" t="s">
        <v>2609</v>
      </c>
      <c r="C366" s="10" t="s">
        <v>2651</v>
      </c>
      <c r="D366" s="10" t="s">
        <v>2652</v>
      </c>
      <c r="E366" s="10" t="s">
        <v>2653</v>
      </c>
      <c r="F366" s="10" t="s">
        <v>2654</v>
      </c>
      <c r="G366" s="10" t="s">
        <v>2655</v>
      </c>
      <c r="H366" s="10" t="s">
        <v>2656</v>
      </c>
      <c r="I366" s="10"/>
      <c r="J366" s="13" t="s">
        <v>55</v>
      </c>
      <c r="K366" s="13" t="s">
        <v>56</v>
      </c>
      <c r="L366" s="13" t="s">
        <v>594</v>
      </c>
      <c r="M366" s="10" t="s">
        <v>58</v>
      </c>
      <c r="N366" s="14" t="s">
        <v>59</v>
      </c>
      <c r="O366" s="10"/>
    </row>
    <row r="367" spans="1:15">
      <c r="A367" s="12" t="s">
        <v>2657</v>
      </c>
      <c r="B367" s="10" t="s">
        <v>2609</v>
      </c>
      <c r="C367" s="10" t="s">
        <v>2658</v>
      </c>
      <c r="D367" s="10" t="s">
        <v>2659</v>
      </c>
      <c r="E367" s="10" t="s">
        <v>2660</v>
      </c>
      <c r="F367" s="10" t="s">
        <v>2661</v>
      </c>
      <c r="G367" s="10" t="s">
        <v>2662</v>
      </c>
      <c r="H367" s="10" t="s">
        <v>2663</v>
      </c>
      <c r="I367" s="10"/>
      <c r="J367" s="13" t="s">
        <v>100</v>
      </c>
      <c r="K367" s="13" t="s">
        <v>67</v>
      </c>
      <c r="L367" s="13" t="s">
        <v>1976</v>
      </c>
      <c r="M367" s="10" t="s">
        <v>58</v>
      </c>
      <c r="N367" s="14" t="s">
        <v>59</v>
      </c>
      <c r="O367" s="10"/>
    </row>
    <row r="368" spans="1:15">
      <c r="A368" s="12" t="s">
        <v>2664</v>
      </c>
      <c r="B368" s="10" t="s">
        <v>2609</v>
      </c>
      <c r="C368" s="10" t="s">
        <v>2665</v>
      </c>
      <c r="D368" s="10" t="s">
        <v>2666</v>
      </c>
      <c r="E368" s="10" t="s">
        <v>2667</v>
      </c>
      <c r="F368" s="10" t="s">
        <v>2668</v>
      </c>
      <c r="G368" s="10" t="s">
        <v>2669</v>
      </c>
      <c r="H368" s="10" t="s">
        <v>2670</v>
      </c>
      <c r="I368" s="10"/>
      <c r="J368" s="13" t="s">
        <v>55</v>
      </c>
      <c r="K368" s="13" t="s">
        <v>67</v>
      </c>
      <c r="L368" s="13" t="s">
        <v>308</v>
      </c>
      <c r="M368" s="10" t="s">
        <v>58</v>
      </c>
      <c r="N368" s="14" t="s">
        <v>59</v>
      </c>
      <c r="O368" s="10"/>
    </row>
    <row r="369" spans="1:15">
      <c r="A369" s="12" t="s">
        <v>2671</v>
      </c>
      <c r="B369" s="10" t="s">
        <v>2609</v>
      </c>
      <c r="C369" s="10" t="s">
        <v>2672</v>
      </c>
      <c r="D369" s="10" t="s">
        <v>2673</v>
      </c>
      <c r="E369" s="10" t="s">
        <v>2674</v>
      </c>
      <c r="F369" s="10" t="s">
        <v>2675</v>
      </c>
      <c r="G369" s="10" t="s">
        <v>2676</v>
      </c>
      <c r="H369" s="10" t="s">
        <v>2677</v>
      </c>
      <c r="I369" s="10"/>
      <c r="J369" s="13" t="s">
        <v>100</v>
      </c>
      <c r="K369" s="13" t="s">
        <v>101</v>
      </c>
      <c r="L369" s="13" t="s">
        <v>308</v>
      </c>
      <c r="M369" s="10" t="s">
        <v>58</v>
      </c>
      <c r="N369" s="14" t="s">
        <v>59</v>
      </c>
      <c r="O369" s="10"/>
    </row>
    <row r="370" spans="1:15">
      <c r="A370" s="12" t="s">
        <v>2678</v>
      </c>
      <c r="B370" s="10" t="s">
        <v>2609</v>
      </c>
      <c r="C370" s="10" t="s">
        <v>2679</v>
      </c>
      <c r="D370" s="10" t="s">
        <v>2680</v>
      </c>
      <c r="E370" s="10" t="s">
        <v>2681</v>
      </c>
      <c r="F370" s="10" t="s">
        <v>2682</v>
      </c>
      <c r="G370" s="10" t="s">
        <v>2683</v>
      </c>
      <c r="H370" s="10" t="s">
        <v>2684</v>
      </c>
      <c r="I370" s="10"/>
      <c r="J370" s="13" t="s">
        <v>228</v>
      </c>
      <c r="K370" s="13" t="s">
        <v>101</v>
      </c>
      <c r="L370" s="13" t="s">
        <v>284</v>
      </c>
      <c r="M370" s="10" t="s">
        <v>58</v>
      </c>
      <c r="N370" s="14" t="s">
        <v>59</v>
      </c>
      <c r="O370" s="10"/>
    </row>
    <row r="371" spans="1:15">
      <c r="A371" s="12" t="s">
        <v>2685</v>
      </c>
      <c r="B371" s="10" t="s">
        <v>2609</v>
      </c>
      <c r="C371" s="10" t="s">
        <v>2686</v>
      </c>
      <c r="D371" s="10" t="s">
        <v>2687</v>
      </c>
      <c r="E371" s="10" t="s">
        <v>2688</v>
      </c>
      <c r="F371" s="10" t="s">
        <v>2689</v>
      </c>
      <c r="G371" s="10" t="s">
        <v>2690</v>
      </c>
      <c r="H371" s="10" t="s">
        <v>2691</v>
      </c>
      <c r="I371" s="10"/>
      <c r="J371" s="13" t="s">
        <v>228</v>
      </c>
      <c r="K371" s="13" t="s">
        <v>101</v>
      </c>
      <c r="L371" s="13" t="s">
        <v>2692</v>
      </c>
      <c r="M371" s="10" t="s">
        <v>58</v>
      </c>
      <c r="N371" s="14" t="s">
        <v>59</v>
      </c>
      <c r="O371" s="10"/>
    </row>
    <row r="372" spans="1:15">
      <c r="A372" s="15" t="s">
        <v>2693</v>
      </c>
      <c r="B372" s="16" t="s">
        <v>2694</v>
      </c>
      <c r="C372" s="16" t="s">
        <v>2695</v>
      </c>
      <c r="D372" s="16" t="s">
        <v>2696</v>
      </c>
      <c r="E372" s="16" t="s">
        <v>2697</v>
      </c>
      <c r="F372" s="16" t="s">
        <v>2698</v>
      </c>
      <c r="G372" s="16" t="s">
        <v>2699</v>
      </c>
      <c r="H372" s="16" t="s">
        <v>2700</v>
      </c>
      <c r="I372" s="16"/>
      <c r="J372" s="17" t="s">
        <v>55</v>
      </c>
      <c r="K372" s="17" t="s">
        <v>56</v>
      </c>
      <c r="L372" s="17" t="s">
        <v>57</v>
      </c>
      <c r="M372" s="16" t="s">
        <v>58</v>
      </c>
      <c r="N372" s="18" t="s">
        <v>59</v>
      </c>
      <c r="O372" s="16"/>
    </row>
    <row r="373" spans="1:15">
      <c r="A373" s="15" t="s">
        <v>2701</v>
      </c>
      <c r="B373" s="16" t="s">
        <v>2694</v>
      </c>
      <c r="C373" s="16" t="s">
        <v>2702</v>
      </c>
      <c r="D373" s="16" t="s">
        <v>2703</v>
      </c>
      <c r="E373" s="16" t="s">
        <v>2704</v>
      </c>
      <c r="F373" s="16" t="s">
        <v>2705</v>
      </c>
      <c r="G373" s="16" t="s">
        <v>2706</v>
      </c>
      <c r="H373" s="16" t="s">
        <v>2707</v>
      </c>
      <c r="I373" s="16"/>
      <c r="J373" s="17" t="s">
        <v>100</v>
      </c>
      <c r="K373" s="17" t="s">
        <v>101</v>
      </c>
      <c r="L373" s="17" t="s">
        <v>1801</v>
      </c>
      <c r="M373" s="16" t="s">
        <v>58</v>
      </c>
      <c r="N373" s="18" t="s">
        <v>59</v>
      </c>
      <c r="O373" s="16"/>
    </row>
    <row r="374" spans="1:15">
      <c r="A374" s="15" t="s">
        <v>2708</v>
      </c>
      <c r="B374" s="16" t="s">
        <v>2694</v>
      </c>
      <c r="C374" s="16" t="s">
        <v>2709</v>
      </c>
      <c r="D374" s="16" t="s">
        <v>2710</v>
      </c>
      <c r="E374" s="16" t="s">
        <v>2704</v>
      </c>
      <c r="F374" s="16" t="s">
        <v>2711</v>
      </c>
      <c r="G374" s="16" t="s">
        <v>2712</v>
      </c>
      <c r="H374" s="16" t="s">
        <v>2713</v>
      </c>
      <c r="I374" s="16"/>
      <c r="J374" s="17" t="s">
        <v>55</v>
      </c>
      <c r="K374" s="17" t="s">
        <v>56</v>
      </c>
      <c r="L374" s="17" t="s">
        <v>140</v>
      </c>
      <c r="M374" s="16" t="s">
        <v>58</v>
      </c>
      <c r="N374" s="18" t="s">
        <v>59</v>
      </c>
      <c r="O374" s="16"/>
    </row>
    <row r="375" spans="1:15">
      <c r="A375" s="15" t="s">
        <v>2714</v>
      </c>
      <c r="B375" s="16" t="s">
        <v>2694</v>
      </c>
      <c r="C375" s="16" t="s">
        <v>2715</v>
      </c>
      <c r="D375" s="16" t="s">
        <v>2716</v>
      </c>
      <c r="E375" s="16" t="s">
        <v>2717</v>
      </c>
      <c r="F375" s="16" t="s">
        <v>2718</v>
      </c>
      <c r="G375" s="16" t="s">
        <v>2719</v>
      </c>
      <c r="H375" s="16" t="s">
        <v>2720</v>
      </c>
      <c r="I375" s="16"/>
      <c r="J375" s="17" t="s">
        <v>100</v>
      </c>
      <c r="K375" s="17" t="s">
        <v>101</v>
      </c>
      <c r="L375" s="17" t="s">
        <v>2721</v>
      </c>
      <c r="M375" s="16" t="s">
        <v>58</v>
      </c>
      <c r="N375" s="18" t="s">
        <v>59</v>
      </c>
      <c r="O375" s="16"/>
    </row>
    <row r="376" spans="1:15">
      <c r="A376" s="15" t="s">
        <v>2722</v>
      </c>
      <c r="B376" s="16" t="s">
        <v>2694</v>
      </c>
      <c r="C376" s="16" t="s">
        <v>2723</v>
      </c>
      <c r="D376" s="16" t="s">
        <v>2724</v>
      </c>
      <c r="E376" s="16" t="s">
        <v>2725</v>
      </c>
      <c r="F376" s="16" t="s">
        <v>2726</v>
      </c>
      <c r="G376" s="16" t="s">
        <v>2727</v>
      </c>
      <c r="H376" s="16" t="s">
        <v>2728</v>
      </c>
      <c r="I376" s="16"/>
      <c r="J376" s="17" t="s">
        <v>55</v>
      </c>
      <c r="K376" s="17" t="s">
        <v>56</v>
      </c>
      <c r="L376" s="17" t="s">
        <v>472</v>
      </c>
      <c r="M376" s="16" t="s">
        <v>58</v>
      </c>
      <c r="N376" s="18" t="s">
        <v>59</v>
      </c>
      <c r="O376" s="16"/>
    </row>
    <row r="377" spans="1:15">
      <c r="A377" s="15" t="s">
        <v>2729</v>
      </c>
      <c r="B377" s="16" t="s">
        <v>2694</v>
      </c>
      <c r="C377" s="16" t="s">
        <v>2730</v>
      </c>
      <c r="D377" s="16" t="s">
        <v>2731</v>
      </c>
      <c r="E377" s="16" t="s">
        <v>2732</v>
      </c>
      <c r="F377" s="16" t="s">
        <v>2733</v>
      </c>
      <c r="G377" s="16" t="s">
        <v>2734</v>
      </c>
      <c r="H377" s="16" t="s">
        <v>2735</v>
      </c>
      <c r="I377" s="16"/>
      <c r="J377" s="17" t="s">
        <v>100</v>
      </c>
      <c r="K377" s="17" t="s">
        <v>67</v>
      </c>
      <c r="L377" s="17" t="s">
        <v>1918</v>
      </c>
      <c r="M377" s="16" t="s">
        <v>58</v>
      </c>
      <c r="N377" s="18" t="s">
        <v>59</v>
      </c>
      <c r="O377" s="16"/>
    </row>
    <row r="378" spans="1:15">
      <c r="A378" s="15" t="s">
        <v>2736</v>
      </c>
      <c r="B378" s="16" t="s">
        <v>2694</v>
      </c>
      <c r="C378" s="16" t="s">
        <v>2737</v>
      </c>
      <c r="D378" s="16" t="s">
        <v>2738</v>
      </c>
      <c r="E378" s="16" t="s">
        <v>2739</v>
      </c>
      <c r="F378" s="16" t="s">
        <v>2740</v>
      </c>
      <c r="G378" s="16" t="s">
        <v>2741</v>
      </c>
      <c r="H378" s="16" t="s">
        <v>2742</v>
      </c>
      <c r="I378" s="16"/>
      <c r="J378" s="17" t="s">
        <v>100</v>
      </c>
      <c r="K378" s="17" t="s">
        <v>101</v>
      </c>
      <c r="L378" s="17" t="s">
        <v>185</v>
      </c>
      <c r="M378" s="16" t="s">
        <v>58</v>
      </c>
      <c r="N378" s="18" t="s">
        <v>59</v>
      </c>
      <c r="O378" s="16"/>
    </row>
    <row r="379" spans="1:15">
      <c r="A379" s="15" t="s">
        <v>2743</v>
      </c>
      <c r="B379" s="16" t="s">
        <v>2694</v>
      </c>
      <c r="C379" s="16" t="s">
        <v>2744</v>
      </c>
      <c r="D379" s="16" t="s">
        <v>2745</v>
      </c>
      <c r="E379" s="16" t="s">
        <v>2746</v>
      </c>
      <c r="F379" s="16" t="s">
        <v>2747</v>
      </c>
      <c r="G379" s="16" t="s">
        <v>2748</v>
      </c>
      <c r="H379" s="16" t="s">
        <v>2749</v>
      </c>
      <c r="I379" s="16"/>
      <c r="J379" s="17" t="s">
        <v>100</v>
      </c>
      <c r="K379" s="17" t="s">
        <v>67</v>
      </c>
      <c r="L379" s="17" t="s">
        <v>308</v>
      </c>
      <c r="M379" s="16" t="s">
        <v>58</v>
      </c>
      <c r="N379" s="18" t="s">
        <v>59</v>
      </c>
      <c r="O379" s="16"/>
    </row>
    <row r="380" spans="1:15">
      <c r="A380" s="15" t="s">
        <v>2750</v>
      </c>
      <c r="B380" s="16" t="s">
        <v>2694</v>
      </c>
      <c r="C380" s="16" t="s">
        <v>2751</v>
      </c>
      <c r="D380" s="16" t="s">
        <v>2752</v>
      </c>
      <c r="E380" s="16" t="s">
        <v>2753</v>
      </c>
      <c r="F380" s="16" t="s">
        <v>2754</v>
      </c>
      <c r="G380" s="16" t="s">
        <v>2755</v>
      </c>
      <c r="H380" s="16" t="s">
        <v>2756</v>
      </c>
      <c r="I380" s="16"/>
      <c r="J380" s="17" t="s">
        <v>100</v>
      </c>
      <c r="K380" s="17" t="s">
        <v>101</v>
      </c>
      <c r="L380" s="17" t="s">
        <v>308</v>
      </c>
      <c r="M380" s="16" t="s">
        <v>58</v>
      </c>
      <c r="N380" s="18" t="s">
        <v>59</v>
      </c>
      <c r="O380" s="16"/>
    </row>
    <row r="381" spans="1:15">
      <c r="A381" s="15" t="s">
        <v>2757</v>
      </c>
      <c r="B381" s="16" t="s">
        <v>2694</v>
      </c>
      <c r="C381" s="16" t="s">
        <v>2758</v>
      </c>
      <c r="D381" s="16" t="s">
        <v>2759</v>
      </c>
      <c r="E381" s="16" t="s">
        <v>2760</v>
      </c>
      <c r="F381" s="16" t="s">
        <v>2761</v>
      </c>
      <c r="G381" s="16" t="s">
        <v>2762</v>
      </c>
      <c r="H381" s="16" t="s">
        <v>2763</v>
      </c>
      <c r="I381" s="16"/>
      <c r="J381" s="17" t="s">
        <v>100</v>
      </c>
      <c r="K381" s="17" t="s">
        <v>67</v>
      </c>
      <c r="L381" s="17" t="s">
        <v>2764</v>
      </c>
      <c r="M381" s="16" t="s">
        <v>58</v>
      </c>
      <c r="N381" s="18" t="s">
        <v>59</v>
      </c>
      <c r="O381" s="16"/>
    </row>
    <row r="382" spans="1:15">
      <c r="A382" s="15" t="s">
        <v>2765</v>
      </c>
      <c r="B382" s="16" t="s">
        <v>2694</v>
      </c>
      <c r="C382" s="16" t="s">
        <v>2766</v>
      </c>
      <c r="D382" s="16" t="s">
        <v>2767</v>
      </c>
      <c r="E382" s="16" t="s">
        <v>2768</v>
      </c>
      <c r="F382" s="16" t="s">
        <v>2769</v>
      </c>
      <c r="G382" s="16" t="s">
        <v>2770</v>
      </c>
      <c r="H382" s="16" t="s">
        <v>2771</v>
      </c>
      <c r="I382" s="16"/>
      <c r="J382" s="17" t="s">
        <v>100</v>
      </c>
      <c r="K382" s="17" t="s">
        <v>101</v>
      </c>
      <c r="L382" s="17" t="s">
        <v>149</v>
      </c>
      <c r="M382" s="16" t="s">
        <v>58</v>
      </c>
      <c r="N382" s="18" t="s">
        <v>59</v>
      </c>
      <c r="O382" s="16"/>
    </row>
    <row r="383" spans="1:15">
      <c r="A383" s="15" t="s">
        <v>2772</v>
      </c>
      <c r="B383" s="16" t="s">
        <v>2694</v>
      </c>
      <c r="C383" s="16" t="s">
        <v>2773</v>
      </c>
      <c r="D383" s="16" t="s">
        <v>2774</v>
      </c>
      <c r="E383" s="16" t="s">
        <v>2775</v>
      </c>
      <c r="F383" s="16" t="s">
        <v>2776</v>
      </c>
      <c r="G383" s="16" t="s">
        <v>2777</v>
      </c>
      <c r="H383" s="16" t="s">
        <v>2778</v>
      </c>
      <c r="I383" s="16"/>
      <c r="J383" s="17" t="s">
        <v>228</v>
      </c>
      <c r="K383" s="17" t="s">
        <v>101</v>
      </c>
      <c r="L383" s="17" t="s">
        <v>594</v>
      </c>
      <c r="M383" s="16" t="s">
        <v>58</v>
      </c>
      <c r="N383" s="18" t="s">
        <v>59</v>
      </c>
      <c r="O383" s="16"/>
    </row>
    <row r="384" spans="1:15">
      <c r="A384" s="15" t="s">
        <v>2779</v>
      </c>
      <c r="B384" s="16" t="s">
        <v>2694</v>
      </c>
      <c r="C384" s="16" t="s">
        <v>2780</v>
      </c>
      <c r="D384" s="16" t="s">
        <v>2781</v>
      </c>
      <c r="E384" s="16" t="s">
        <v>2782</v>
      </c>
      <c r="F384" s="16" t="s">
        <v>2783</v>
      </c>
      <c r="G384" s="16" t="s">
        <v>2784</v>
      </c>
      <c r="H384" s="16" t="s">
        <v>2785</v>
      </c>
      <c r="I384" s="16"/>
      <c r="J384" s="17" t="s">
        <v>100</v>
      </c>
      <c r="K384" s="17" t="s">
        <v>67</v>
      </c>
      <c r="L384" s="17" t="s">
        <v>308</v>
      </c>
      <c r="M384" s="16" t="s">
        <v>58</v>
      </c>
      <c r="N384" s="18" t="s">
        <v>59</v>
      </c>
      <c r="O384" s="16"/>
    </row>
    <row r="385" spans="1:15">
      <c r="A385" s="15" t="s">
        <v>2786</v>
      </c>
      <c r="B385" s="16" t="s">
        <v>2694</v>
      </c>
      <c r="C385" s="16" t="s">
        <v>2787</v>
      </c>
      <c r="D385" s="16" t="s">
        <v>2788</v>
      </c>
      <c r="E385" s="16" t="s">
        <v>2789</v>
      </c>
      <c r="F385" s="16" t="s">
        <v>2790</v>
      </c>
      <c r="G385" s="16" t="s">
        <v>2791</v>
      </c>
      <c r="H385" s="16" t="s">
        <v>2792</v>
      </c>
      <c r="I385" s="16"/>
      <c r="J385" s="17" t="s">
        <v>100</v>
      </c>
      <c r="K385" s="17" t="s">
        <v>101</v>
      </c>
      <c r="L385" s="17" t="s">
        <v>308</v>
      </c>
      <c r="M385" s="16" t="s">
        <v>58</v>
      </c>
      <c r="N385" s="18" t="s">
        <v>59</v>
      </c>
      <c r="O385" s="16"/>
    </row>
    <row r="386" spans="1:15">
      <c r="A386" s="15" t="s">
        <v>2793</v>
      </c>
      <c r="B386" s="16" t="s">
        <v>2694</v>
      </c>
      <c r="C386" s="16" t="s">
        <v>2794</v>
      </c>
      <c r="D386" s="16" t="s">
        <v>2795</v>
      </c>
      <c r="E386" s="16" t="s">
        <v>2796</v>
      </c>
      <c r="F386" s="16" t="s">
        <v>2797</v>
      </c>
      <c r="G386" s="16" t="s">
        <v>2798</v>
      </c>
      <c r="H386" s="16" t="s">
        <v>2799</v>
      </c>
      <c r="I386" s="16"/>
      <c r="J386" s="17" t="s">
        <v>100</v>
      </c>
      <c r="K386" s="17" t="s">
        <v>101</v>
      </c>
      <c r="L386" s="17" t="s">
        <v>308</v>
      </c>
      <c r="M386" s="16" t="s">
        <v>58</v>
      </c>
      <c r="N386" s="18" t="s">
        <v>59</v>
      </c>
      <c r="O386" s="16"/>
    </row>
    <row r="387" spans="1:15">
      <c r="A387" s="15" t="s">
        <v>2800</v>
      </c>
      <c r="B387" s="16" t="s">
        <v>2694</v>
      </c>
      <c r="C387" s="16" t="s">
        <v>2801</v>
      </c>
      <c r="D387" s="16" t="s">
        <v>2802</v>
      </c>
      <c r="E387" s="16" t="s">
        <v>2803</v>
      </c>
      <c r="F387" s="16" t="s">
        <v>2804</v>
      </c>
      <c r="G387" s="16" t="s">
        <v>2805</v>
      </c>
      <c r="H387" s="16" t="s">
        <v>2806</v>
      </c>
      <c r="I387" s="16"/>
      <c r="J387" s="17" t="s">
        <v>55</v>
      </c>
      <c r="K387" s="17" t="s">
        <v>67</v>
      </c>
      <c r="L387" s="17" t="s">
        <v>2807</v>
      </c>
      <c r="M387" s="16" t="s">
        <v>58</v>
      </c>
      <c r="N387" s="18" t="s">
        <v>59</v>
      </c>
      <c r="O387" s="16"/>
    </row>
    <row r="388" spans="1:15">
      <c r="A388" s="12" t="s">
        <v>2808</v>
      </c>
      <c r="B388" s="10" t="s">
        <v>2809</v>
      </c>
      <c r="C388" s="10" t="s">
        <v>2810</v>
      </c>
      <c r="D388" s="10" t="s">
        <v>2811</v>
      </c>
      <c r="E388" s="10" t="s">
        <v>2812</v>
      </c>
      <c r="F388" s="10" t="s">
        <v>2813</v>
      </c>
      <c r="G388" s="10" t="s">
        <v>2814</v>
      </c>
      <c r="H388" s="10" t="s">
        <v>2815</v>
      </c>
      <c r="I388" s="10"/>
      <c r="J388" s="13" t="s">
        <v>100</v>
      </c>
      <c r="K388" s="13" t="s">
        <v>67</v>
      </c>
      <c r="L388" s="13" t="s">
        <v>57</v>
      </c>
      <c r="M388" s="10" t="s">
        <v>58</v>
      </c>
      <c r="N388" s="14" t="s">
        <v>59</v>
      </c>
      <c r="O388" s="10"/>
    </row>
    <row r="389" spans="1:15">
      <c r="A389" s="12" t="s">
        <v>2816</v>
      </c>
      <c r="B389" s="10" t="s">
        <v>2809</v>
      </c>
      <c r="C389" s="10" t="s">
        <v>2817</v>
      </c>
      <c r="D389" s="10" t="s">
        <v>2818</v>
      </c>
      <c r="E389" s="10" t="s">
        <v>2819</v>
      </c>
      <c r="F389" s="10" t="s">
        <v>2820</v>
      </c>
      <c r="G389" s="10" t="s">
        <v>2821</v>
      </c>
      <c r="H389" s="10" t="s">
        <v>2822</v>
      </c>
      <c r="I389" s="10"/>
      <c r="J389" s="13" t="s">
        <v>100</v>
      </c>
      <c r="K389" s="13" t="s">
        <v>67</v>
      </c>
      <c r="L389" s="13" t="s">
        <v>200</v>
      </c>
      <c r="M389" s="10" t="s">
        <v>58</v>
      </c>
      <c r="N389" s="14" t="s">
        <v>59</v>
      </c>
      <c r="O389" s="10"/>
    </row>
    <row r="390" spans="1:15">
      <c r="A390" s="12" t="s">
        <v>2823</v>
      </c>
      <c r="B390" s="10" t="s">
        <v>2809</v>
      </c>
      <c r="C390" s="10" t="s">
        <v>2824</v>
      </c>
      <c r="D390" s="10" t="s">
        <v>2825</v>
      </c>
      <c r="E390" s="10" t="s">
        <v>2826</v>
      </c>
      <c r="F390" s="10" t="s">
        <v>2827</v>
      </c>
      <c r="G390" s="10" t="s">
        <v>2828</v>
      </c>
      <c r="H390" s="10" t="s">
        <v>2829</v>
      </c>
      <c r="I390" s="10"/>
      <c r="J390" s="13" t="s">
        <v>100</v>
      </c>
      <c r="K390" s="13" t="s">
        <v>101</v>
      </c>
      <c r="L390" s="13" t="s">
        <v>229</v>
      </c>
      <c r="M390" s="10" t="s">
        <v>141</v>
      </c>
      <c r="N390" s="14" t="s">
        <v>59</v>
      </c>
      <c r="O390" s="10"/>
    </row>
    <row r="391" spans="1:15">
      <c r="A391" s="12" t="s">
        <v>2830</v>
      </c>
      <c r="B391" s="10" t="s">
        <v>2809</v>
      </c>
      <c r="C391" s="10" t="s">
        <v>2831</v>
      </c>
      <c r="D391" s="10" t="s">
        <v>2832</v>
      </c>
      <c r="E391" s="10" t="s">
        <v>2833</v>
      </c>
      <c r="F391" s="10" t="s">
        <v>2834</v>
      </c>
      <c r="G391" s="10" t="s">
        <v>2835</v>
      </c>
      <c r="H391" s="10" t="s">
        <v>2836</v>
      </c>
      <c r="I391" s="10"/>
      <c r="J391" s="13" t="s">
        <v>100</v>
      </c>
      <c r="K391" s="13" t="s">
        <v>101</v>
      </c>
      <c r="L391" s="13" t="s">
        <v>118</v>
      </c>
      <c r="M391" s="10" t="s">
        <v>58</v>
      </c>
      <c r="N391" s="14" t="s">
        <v>59</v>
      </c>
      <c r="O391" s="10"/>
    </row>
    <row r="392" spans="1:15">
      <c r="A392" s="12" t="s">
        <v>2837</v>
      </c>
      <c r="B392" s="10" t="s">
        <v>2809</v>
      </c>
      <c r="C392" s="10" t="s">
        <v>2838</v>
      </c>
      <c r="D392" s="10" t="s">
        <v>2839</v>
      </c>
      <c r="E392" s="10" t="s">
        <v>2826</v>
      </c>
      <c r="F392" s="10" t="s">
        <v>2840</v>
      </c>
      <c r="G392" s="10" t="s">
        <v>2841</v>
      </c>
      <c r="H392" s="10" t="s">
        <v>2842</v>
      </c>
      <c r="I392" s="10"/>
      <c r="J392" s="13" t="s">
        <v>55</v>
      </c>
      <c r="K392" s="13" t="s">
        <v>56</v>
      </c>
      <c r="L392" s="13" t="s">
        <v>156</v>
      </c>
      <c r="M392" s="10" t="s">
        <v>58</v>
      </c>
      <c r="N392" s="14" t="s">
        <v>59</v>
      </c>
      <c r="O392" s="10"/>
    </row>
    <row r="393" spans="1:15">
      <c r="A393" s="12" t="s">
        <v>2843</v>
      </c>
      <c r="B393" s="10" t="s">
        <v>2809</v>
      </c>
      <c r="C393" s="10" t="s">
        <v>2844</v>
      </c>
      <c r="D393" s="10" t="s">
        <v>2845</v>
      </c>
      <c r="E393" s="10" t="s">
        <v>2826</v>
      </c>
      <c r="F393" s="10" t="s">
        <v>2846</v>
      </c>
      <c r="G393" s="10" t="s">
        <v>2847</v>
      </c>
      <c r="H393" s="10" t="s">
        <v>2848</v>
      </c>
      <c r="I393" s="10"/>
      <c r="J393" s="13" t="s">
        <v>228</v>
      </c>
      <c r="K393" s="13" t="s">
        <v>101</v>
      </c>
      <c r="L393" s="13" t="s">
        <v>972</v>
      </c>
      <c r="M393" s="10" t="s">
        <v>58</v>
      </c>
      <c r="N393" s="14" t="s">
        <v>59</v>
      </c>
      <c r="O393" s="10"/>
    </row>
    <row r="394" spans="1:15">
      <c r="A394" s="12" t="s">
        <v>2849</v>
      </c>
      <c r="B394" s="10" t="s">
        <v>2809</v>
      </c>
      <c r="C394" s="10" t="s">
        <v>2850</v>
      </c>
      <c r="D394" s="10" t="s">
        <v>2851</v>
      </c>
      <c r="E394" s="10" t="s">
        <v>2826</v>
      </c>
      <c r="F394" s="10" t="s">
        <v>2852</v>
      </c>
      <c r="G394" s="10" t="s">
        <v>2853</v>
      </c>
      <c r="H394" s="10" t="s">
        <v>2854</v>
      </c>
      <c r="I394" s="10"/>
      <c r="J394" s="13" t="s">
        <v>100</v>
      </c>
      <c r="K394" s="13" t="s">
        <v>67</v>
      </c>
      <c r="L394" s="13" t="s">
        <v>689</v>
      </c>
      <c r="M394" s="10" t="s">
        <v>58</v>
      </c>
      <c r="N394" s="14" t="s">
        <v>59</v>
      </c>
      <c r="O394" s="10"/>
    </row>
    <row r="395" spans="1:15">
      <c r="A395" s="12" t="s">
        <v>2855</v>
      </c>
      <c r="B395" s="10" t="s">
        <v>2809</v>
      </c>
      <c r="C395" s="10" t="s">
        <v>2856</v>
      </c>
      <c r="D395" s="10" t="s">
        <v>2857</v>
      </c>
      <c r="E395" s="10" t="s">
        <v>2858</v>
      </c>
      <c r="F395" s="10" t="s">
        <v>2859</v>
      </c>
      <c r="G395" s="10" t="s">
        <v>2860</v>
      </c>
      <c r="H395" s="10" t="s">
        <v>2861</v>
      </c>
      <c r="I395" s="10"/>
      <c r="J395" s="13" t="s">
        <v>100</v>
      </c>
      <c r="K395" s="13" t="s">
        <v>67</v>
      </c>
      <c r="L395" s="13" t="s">
        <v>308</v>
      </c>
      <c r="M395" s="10" t="s">
        <v>58</v>
      </c>
      <c r="N395" s="14" t="s">
        <v>59</v>
      </c>
      <c r="O395" s="10"/>
    </row>
    <row r="396" spans="1:15">
      <c r="A396" s="12" t="s">
        <v>2862</v>
      </c>
      <c r="B396" s="10" t="s">
        <v>2809</v>
      </c>
      <c r="C396" s="10" t="s">
        <v>2863</v>
      </c>
      <c r="D396" s="10" t="s">
        <v>2864</v>
      </c>
      <c r="E396" s="10" t="s">
        <v>2865</v>
      </c>
      <c r="F396" s="10" t="s">
        <v>2866</v>
      </c>
      <c r="G396" s="10" t="s">
        <v>2867</v>
      </c>
      <c r="H396" s="10" t="s">
        <v>2868</v>
      </c>
      <c r="I396" s="10"/>
      <c r="J396" s="13" t="s">
        <v>100</v>
      </c>
      <c r="K396" s="13" t="s">
        <v>101</v>
      </c>
      <c r="L396" s="13" t="s">
        <v>308</v>
      </c>
      <c r="M396" s="10" t="s">
        <v>58</v>
      </c>
      <c r="N396" s="14" t="s">
        <v>59</v>
      </c>
      <c r="O396" s="10"/>
    </row>
    <row r="397" spans="1:15">
      <c r="A397" s="12" t="s">
        <v>2869</v>
      </c>
      <c r="B397" s="10" t="s">
        <v>2809</v>
      </c>
      <c r="C397" s="10" t="s">
        <v>2870</v>
      </c>
      <c r="D397" s="10" t="s">
        <v>2871</v>
      </c>
      <c r="E397" s="10" t="s">
        <v>2872</v>
      </c>
      <c r="F397" s="10" t="s">
        <v>2873</v>
      </c>
      <c r="G397" s="10" t="s">
        <v>2874</v>
      </c>
      <c r="H397" s="10" t="s">
        <v>2875</v>
      </c>
      <c r="I397" s="10"/>
      <c r="J397" s="13" t="s">
        <v>100</v>
      </c>
      <c r="K397" s="13" t="s">
        <v>67</v>
      </c>
      <c r="L397" s="13" t="s">
        <v>1918</v>
      </c>
      <c r="M397" s="10" t="s">
        <v>58</v>
      </c>
      <c r="N397" s="14" t="s">
        <v>59</v>
      </c>
      <c r="O397" s="10"/>
    </row>
    <row r="398" spans="1:15">
      <c r="A398" s="12" t="s">
        <v>2876</v>
      </c>
      <c r="B398" s="10" t="s">
        <v>2809</v>
      </c>
      <c r="C398" s="10" t="s">
        <v>2877</v>
      </c>
      <c r="D398" s="10" t="s">
        <v>2878</v>
      </c>
      <c r="E398" s="10" t="s">
        <v>2879</v>
      </c>
      <c r="F398" s="10" t="s">
        <v>2880</v>
      </c>
      <c r="G398" s="10" t="s">
        <v>2881</v>
      </c>
      <c r="H398" s="10" t="s">
        <v>2882</v>
      </c>
      <c r="I398" s="10"/>
      <c r="J398" s="13" t="s">
        <v>228</v>
      </c>
      <c r="K398" s="13" t="s">
        <v>101</v>
      </c>
      <c r="L398" s="13" t="s">
        <v>308</v>
      </c>
      <c r="M398" s="10" t="s">
        <v>58</v>
      </c>
      <c r="N398" s="14" t="s">
        <v>59</v>
      </c>
      <c r="O398" s="10"/>
    </row>
    <row r="399" spans="1:15">
      <c r="A399" s="12" t="s">
        <v>2883</v>
      </c>
      <c r="B399" s="10" t="s">
        <v>2809</v>
      </c>
      <c r="C399" s="10" t="s">
        <v>2884</v>
      </c>
      <c r="D399" s="10" t="s">
        <v>2885</v>
      </c>
      <c r="E399" s="10" t="s">
        <v>2886</v>
      </c>
      <c r="F399" s="10" t="s">
        <v>2887</v>
      </c>
      <c r="G399" s="10" t="s">
        <v>2888</v>
      </c>
      <c r="H399" s="10" t="s">
        <v>2889</v>
      </c>
      <c r="I399" s="10"/>
      <c r="J399" s="13" t="s">
        <v>55</v>
      </c>
      <c r="K399" s="13" t="s">
        <v>56</v>
      </c>
      <c r="L399" s="13" t="s">
        <v>441</v>
      </c>
      <c r="M399" s="10" t="s">
        <v>141</v>
      </c>
      <c r="N399" s="14" t="s">
        <v>59</v>
      </c>
      <c r="O399" s="10"/>
    </row>
    <row r="400" spans="1:15">
      <c r="A400" s="15" t="s">
        <v>2890</v>
      </c>
      <c r="B400" s="16" t="s">
        <v>2891</v>
      </c>
      <c r="C400" s="16" t="s">
        <v>2892</v>
      </c>
      <c r="D400" s="16" t="s">
        <v>2893</v>
      </c>
      <c r="E400" s="16" t="s">
        <v>2894</v>
      </c>
      <c r="F400" s="16" t="s">
        <v>2895</v>
      </c>
      <c r="G400" s="16" t="s">
        <v>2896</v>
      </c>
      <c r="H400" s="16" t="s">
        <v>2897</v>
      </c>
      <c r="I400" s="16"/>
      <c r="J400" s="17" t="s">
        <v>100</v>
      </c>
      <c r="K400" s="17" t="s">
        <v>67</v>
      </c>
      <c r="L400" s="17" t="s">
        <v>57</v>
      </c>
      <c r="M400" s="16" t="s">
        <v>58</v>
      </c>
      <c r="N400" s="18" t="s">
        <v>59</v>
      </c>
      <c r="O400" s="16"/>
    </row>
    <row r="401" spans="1:15">
      <c r="A401" s="15" t="s">
        <v>2898</v>
      </c>
      <c r="B401" s="16" t="s">
        <v>2891</v>
      </c>
      <c r="C401" s="16" t="s">
        <v>2899</v>
      </c>
      <c r="D401" s="16" t="s">
        <v>2900</v>
      </c>
      <c r="E401" s="16" t="s">
        <v>2901</v>
      </c>
      <c r="F401" s="16" t="s">
        <v>2902</v>
      </c>
      <c r="G401" s="16" t="s">
        <v>2903</v>
      </c>
      <c r="H401" s="16" t="s">
        <v>2904</v>
      </c>
      <c r="I401" s="16"/>
      <c r="J401" s="17" t="s">
        <v>100</v>
      </c>
      <c r="K401" s="17" t="s">
        <v>101</v>
      </c>
      <c r="L401" s="17" t="s">
        <v>81</v>
      </c>
      <c r="M401" s="16" t="s">
        <v>58</v>
      </c>
      <c r="N401" s="18" t="s">
        <v>59</v>
      </c>
      <c r="O401" s="16"/>
    </row>
    <row r="402" spans="1:15">
      <c r="A402" s="15" t="s">
        <v>2905</v>
      </c>
      <c r="B402" s="16" t="s">
        <v>2891</v>
      </c>
      <c r="C402" s="16" t="s">
        <v>2906</v>
      </c>
      <c r="D402" s="16" t="s">
        <v>2907</v>
      </c>
      <c r="E402" s="16" t="s">
        <v>2908</v>
      </c>
      <c r="F402" s="16" t="s">
        <v>2909</v>
      </c>
      <c r="G402" s="16" t="s">
        <v>2910</v>
      </c>
      <c r="H402" s="16" t="s">
        <v>2911</v>
      </c>
      <c r="I402" s="16"/>
      <c r="J402" s="17" t="s">
        <v>100</v>
      </c>
      <c r="K402" s="17" t="s">
        <v>101</v>
      </c>
      <c r="L402" s="17" t="s">
        <v>110</v>
      </c>
      <c r="M402" s="16" t="s">
        <v>58</v>
      </c>
      <c r="N402" s="18" t="s">
        <v>59</v>
      </c>
      <c r="O402" s="16"/>
    </row>
    <row r="403" spans="1:15">
      <c r="A403" s="15" t="s">
        <v>2912</v>
      </c>
      <c r="B403" s="16" t="s">
        <v>2891</v>
      </c>
      <c r="C403" s="16" t="s">
        <v>2913</v>
      </c>
      <c r="D403" s="16" t="s">
        <v>2914</v>
      </c>
      <c r="E403" s="16" t="s">
        <v>2915</v>
      </c>
      <c r="F403" s="16" t="s">
        <v>2916</v>
      </c>
      <c r="G403" s="16" t="s">
        <v>2917</v>
      </c>
      <c r="H403" s="16" t="s">
        <v>2918</v>
      </c>
      <c r="I403" s="16"/>
      <c r="J403" s="17" t="s">
        <v>100</v>
      </c>
      <c r="K403" s="17" t="s">
        <v>67</v>
      </c>
      <c r="L403" s="17" t="s">
        <v>2477</v>
      </c>
      <c r="M403" s="16" t="s">
        <v>58</v>
      </c>
      <c r="N403" s="18" t="s">
        <v>59</v>
      </c>
      <c r="O403" s="16"/>
    </row>
    <row r="404" spans="1:15">
      <c r="A404" s="15" t="s">
        <v>2919</v>
      </c>
      <c r="B404" s="16" t="s">
        <v>2891</v>
      </c>
      <c r="C404" s="16" t="s">
        <v>2920</v>
      </c>
      <c r="D404" s="16" t="s">
        <v>2921</v>
      </c>
      <c r="E404" s="16" t="s">
        <v>2922</v>
      </c>
      <c r="F404" s="16" t="s">
        <v>2923</v>
      </c>
      <c r="G404" s="16" t="s">
        <v>2917</v>
      </c>
      <c r="H404" s="16" t="s">
        <v>2924</v>
      </c>
      <c r="I404" s="16"/>
      <c r="J404" s="17" t="s">
        <v>100</v>
      </c>
      <c r="K404" s="17" t="s">
        <v>67</v>
      </c>
      <c r="L404" s="17" t="s">
        <v>200</v>
      </c>
      <c r="M404" s="16" t="s">
        <v>58</v>
      </c>
      <c r="N404" s="18" t="s">
        <v>59</v>
      </c>
      <c r="O404" s="16"/>
    </row>
    <row r="405" spans="1:15">
      <c r="A405" s="15" t="s">
        <v>2925</v>
      </c>
      <c r="B405" s="16" t="s">
        <v>2891</v>
      </c>
      <c r="C405" s="16" t="s">
        <v>2926</v>
      </c>
      <c r="D405" s="16" t="s">
        <v>2927</v>
      </c>
      <c r="E405" s="16" t="s">
        <v>2928</v>
      </c>
      <c r="F405" s="16" t="s">
        <v>2929</v>
      </c>
      <c r="G405" s="16" t="s">
        <v>2930</v>
      </c>
      <c r="H405" s="16" t="s">
        <v>2931</v>
      </c>
      <c r="I405" s="16"/>
      <c r="J405" s="17" t="s">
        <v>55</v>
      </c>
      <c r="K405" s="17" t="s">
        <v>67</v>
      </c>
      <c r="L405" s="17" t="s">
        <v>308</v>
      </c>
      <c r="M405" s="16" t="s">
        <v>58</v>
      </c>
      <c r="N405" s="18" t="s">
        <v>59</v>
      </c>
      <c r="O405" s="16"/>
    </row>
    <row r="406" spans="1:15">
      <c r="A406" s="15" t="s">
        <v>2932</v>
      </c>
      <c r="B406" s="16" t="s">
        <v>2891</v>
      </c>
      <c r="C406" s="16" t="s">
        <v>2933</v>
      </c>
      <c r="D406" s="16" t="s">
        <v>2934</v>
      </c>
      <c r="E406" s="16" t="s">
        <v>2935</v>
      </c>
      <c r="F406" s="16" t="s">
        <v>2936</v>
      </c>
      <c r="G406" s="16" t="s">
        <v>2937</v>
      </c>
      <c r="H406" s="16" t="s">
        <v>2938</v>
      </c>
      <c r="I406" s="16"/>
      <c r="J406" s="17" t="s">
        <v>55</v>
      </c>
      <c r="K406" s="17" t="s">
        <v>56</v>
      </c>
      <c r="L406" s="17" t="s">
        <v>472</v>
      </c>
      <c r="M406" s="16" t="s">
        <v>58</v>
      </c>
      <c r="N406" s="18" t="s">
        <v>59</v>
      </c>
      <c r="O406" s="16"/>
    </row>
    <row r="407" spans="1:15">
      <c r="A407" s="15" t="s">
        <v>2939</v>
      </c>
      <c r="B407" s="16" t="s">
        <v>2891</v>
      </c>
      <c r="C407" s="16" t="s">
        <v>2940</v>
      </c>
      <c r="D407" s="16" t="s">
        <v>2941</v>
      </c>
      <c r="E407" s="16" t="s">
        <v>2942</v>
      </c>
      <c r="F407" s="16" t="s">
        <v>2943</v>
      </c>
      <c r="G407" s="16" t="s">
        <v>2944</v>
      </c>
      <c r="H407" s="16" t="s">
        <v>2945</v>
      </c>
      <c r="I407" s="16"/>
      <c r="J407" s="17" t="s">
        <v>100</v>
      </c>
      <c r="K407" s="17" t="s">
        <v>101</v>
      </c>
      <c r="L407" s="17" t="s">
        <v>308</v>
      </c>
      <c r="M407" s="16" t="s">
        <v>58</v>
      </c>
      <c r="N407" s="18" t="s">
        <v>59</v>
      </c>
      <c r="O407" s="16"/>
    </row>
    <row r="408" spans="1:15">
      <c r="A408" s="15" t="s">
        <v>2946</v>
      </c>
      <c r="B408" s="16" t="s">
        <v>2891</v>
      </c>
      <c r="C408" s="16" t="s">
        <v>2947</v>
      </c>
      <c r="D408" s="16" t="s">
        <v>2948</v>
      </c>
      <c r="E408" s="16" t="s">
        <v>273</v>
      </c>
      <c r="F408" s="16" t="s">
        <v>2949</v>
      </c>
      <c r="G408" s="16" t="s">
        <v>2950</v>
      </c>
      <c r="H408" s="16" t="s">
        <v>2951</v>
      </c>
      <c r="I408" s="16"/>
      <c r="J408" s="17" t="s">
        <v>228</v>
      </c>
      <c r="K408" s="17" t="s">
        <v>101</v>
      </c>
      <c r="L408" s="17" t="s">
        <v>308</v>
      </c>
      <c r="M408" s="16" t="s">
        <v>58</v>
      </c>
      <c r="N408" s="18" t="s">
        <v>59</v>
      </c>
      <c r="O408" s="16"/>
    </row>
    <row r="409" spans="1:15">
      <c r="A409" s="15" t="s">
        <v>2952</v>
      </c>
      <c r="B409" s="16" t="s">
        <v>2891</v>
      </c>
      <c r="C409" s="16" t="s">
        <v>2953</v>
      </c>
      <c r="D409" s="16" t="s">
        <v>2954</v>
      </c>
      <c r="E409" s="16" t="s">
        <v>2942</v>
      </c>
      <c r="F409" s="16" t="s">
        <v>2955</v>
      </c>
      <c r="G409" s="16" t="s">
        <v>2956</v>
      </c>
      <c r="H409" s="16" t="s">
        <v>2957</v>
      </c>
      <c r="I409" s="16"/>
      <c r="J409" s="17" t="s">
        <v>100</v>
      </c>
      <c r="K409" s="17" t="s">
        <v>67</v>
      </c>
      <c r="L409" s="17" t="s">
        <v>284</v>
      </c>
      <c r="M409" s="16" t="s">
        <v>58</v>
      </c>
      <c r="N409" s="18" t="s">
        <v>59</v>
      </c>
      <c r="O409" s="16"/>
    </row>
    <row r="410" spans="1:15">
      <c r="A410" s="15" t="s">
        <v>2958</v>
      </c>
      <c r="B410" s="16" t="s">
        <v>2891</v>
      </c>
      <c r="C410" s="16" t="s">
        <v>2959</v>
      </c>
      <c r="D410" s="16" t="s">
        <v>2960</v>
      </c>
      <c r="E410" s="16" t="s">
        <v>2961</v>
      </c>
      <c r="F410" s="16" t="s">
        <v>2962</v>
      </c>
      <c r="G410" s="16" t="s">
        <v>2963</v>
      </c>
      <c r="H410" s="16" t="s">
        <v>2964</v>
      </c>
      <c r="I410" s="16"/>
      <c r="J410" s="17" t="s">
        <v>100</v>
      </c>
      <c r="K410" s="17" t="s">
        <v>67</v>
      </c>
      <c r="L410" s="17" t="s">
        <v>1918</v>
      </c>
      <c r="M410" s="16" t="s">
        <v>58</v>
      </c>
      <c r="N410" s="18" t="s">
        <v>59</v>
      </c>
      <c r="O410" s="16"/>
    </row>
    <row r="411" spans="1:15">
      <c r="A411" s="15" t="s">
        <v>2965</v>
      </c>
      <c r="B411" s="16" t="s">
        <v>2891</v>
      </c>
      <c r="C411" s="16" t="s">
        <v>2966</v>
      </c>
      <c r="D411" s="16" t="s">
        <v>2967</v>
      </c>
      <c r="E411" s="16" t="s">
        <v>2968</v>
      </c>
      <c r="F411" s="16" t="s">
        <v>2969</v>
      </c>
      <c r="G411" s="16" t="s">
        <v>2970</v>
      </c>
      <c r="H411" s="16" t="s">
        <v>2971</v>
      </c>
      <c r="I411" s="16"/>
      <c r="J411" s="17" t="s">
        <v>55</v>
      </c>
      <c r="K411" s="17" t="s">
        <v>56</v>
      </c>
      <c r="L411" s="17" t="s">
        <v>185</v>
      </c>
      <c r="M411" s="16" t="s">
        <v>58</v>
      </c>
      <c r="N411" s="18" t="s">
        <v>59</v>
      </c>
      <c r="O411" s="16"/>
    </row>
    <row r="412" spans="1:15">
      <c r="A412" s="15" t="s">
        <v>2972</v>
      </c>
      <c r="B412" s="16" t="s">
        <v>2891</v>
      </c>
      <c r="C412" s="16" t="s">
        <v>2973</v>
      </c>
      <c r="D412" s="16" t="s">
        <v>2974</v>
      </c>
      <c r="E412" s="16" t="s">
        <v>2975</v>
      </c>
      <c r="F412" s="16" t="s">
        <v>2976</v>
      </c>
      <c r="G412" s="16" t="s">
        <v>2977</v>
      </c>
      <c r="H412" s="16" t="s">
        <v>2978</v>
      </c>
      <c r="I412" s="16"/>
      <c r="J412" s="17" t="s">
        <v>100</v>
      </c>
      <c r="K412" s="17" t="s">
        <v>67</v>
      </c>
      <c r="L412" s="17" t="s">
        <v>299</v>
      </c>
      <c r="M412" s="16" t="s">
        <v>58</v>
      </c>
      <c r="N412" s="18" t="s">
        <v>59</v>
      </c>
      <c r="O412" s="16"/>
    </row>
    <row r="413" spans="1:15">
      <c r="A413" s="15" t="s">
        <v>2979</v>
      </c>
      <c r="B413" s="16" t="s">
        <v>2891</v>
      </c>
      <c r="C413" s="16" t="s">
        <v>2980</v>
      </c>
      <c r="D413" s="16" t="s">
        <v>2981</v>
      </c>
      <c r="E413" s="16" t="s">
        <v>2975</v>
      </c>
      <c r="F413" s="16" t="s">
        <v>2982</v>
      </c>
      <c r="G413" s="16" t="s">
        <v>2977</v>
      </c>
      <c r="H413" s="16" t="s">
        <v>2983</v>
      </c>
      <c r="I413" s="16"/>
      <c r="J413" s="17" t="s">
        <v>100</v>
      </c>
      <c r="K413" s="17" t="s">
        <v>67</v>
      </c>
      <c r="L413" s="17" t="s">
        <v>308</v>
      </c>
      <c r="M413" s="16" t="s">
        <v>58</v>
      </c>
      <c r="N413" s="18" t="s">
        <v>59</v>
      </c>
      <c r="O413" s="16"/>
    </row>
    <row r="414" spans="1:15">
      <c r="A414" s="15" t="s">
        <v>2984</v>
      </c>
      <c r="B414" s="16" t="s">
        <v>2891</v>
      </c>
      <c r="C414" s="16" t="s">
        <v>2985</v>
      </c>
      <c r="D414" s="16" t="s">
        <v>2986</v>
      </c>
      <c r="E414" s="16" t="s">
        <v>2987</v>
      </c>
      <c r="F414" s="16" t="s">
        <v>2988</v>
      </c>
      <c r="G414" s="16" t="s">
        <v>2989</v>
      </c>
      <c r="H414" s="16" t="s">
        <v>2990</v>
      </c>
      <c r="I414" s="16"/>
      <c r="J414" s="17" t="s">
        <v>55</v>
      </c>
      <c r="K414" s="17" t="s">
        <v>56</v>
      </c>
      <c r="L414" s="17" t="s">
        <v>1933</v>
      </c>
      <c r="M414" s="16" t="s">
        <v>58</v>
      </c>
      <c r="N414" s="18" t="s">
        <v>59</v>
      </c>
      <c r="O414" s="16"/>
    </row>
    <row r="415" spans="1:15">
      <c r="A415" s="12" t="s">
        <v>2991</v>
      </c>
      <c r="B415" s="10" t="s">
        <v>2992</v>
      </c>
      <c r="C415" s="10" t="s">
        <v>2993</v>
      </c>
      <c r="D415" s="10" t="s">
        <v>2994</v>
      </c>
      <c r="E415" s="10" t="s">
        <v>2604</v>
      </c>
      <c r="F415" s="10" t="s">
        <v>2995</v>
      </c>
      <c r="G415" s="10" t="s">
        <v>2996</v>
      </c>
      <c r="H415" s="10" t="s">
        <v>2997</v>
      </c>
      <c r="I415" s="10"/>
      <c r="J415" s="13" t="s">
        <v>100</v>
      </c>
      <c r="K415" s="13" t="s">
        <v>101</v>
      </c>
      <c r="L415" s="13" t="s">
        <v>57</v>
      </c>
      <c r="M415" s="10" t="s">
        <v>58</v>
      </c>
      <c r="N415" s="14" t="s">
        <v>59</v>
      </c>
      <c r="O415" s="10"/>
    </row>
    <row r="416" spans="1:15">
      <c r="A416" s="12" t="s">
        <v>2998</v>
      </c>
      <c r="B416" s="10" t="s">
        <v>2992</v>
      </c>
      <c r="C416" s="10" t="s">
        <v>2999</v>
      </c>
      <c r="D416" s="10" t="s">
        <v>3000</v>
      </c>
      <c r="E416" s="10" t="s">
        <v>3001</v>
      </c>
      <c r="F416" s="10" t="s">
        <v>3002</v>
      </c>
      <c r="G416" s="10" t="s">
        <v>3003</v>
      </c>
      <c r="H416" s="10" t="s">
        <v>3004</v>
      </c>
      <c r="I416" s="10"/>
      <c r="J416" s="13" t="s">
        <v>228</v>
      </c>
      <c r="K416" s="13" t="s">
        <v>101</v>
      </c>
      <c r="L416" s="13" t="s">
        <v>81</v>
      </c>
      <c r="M416" s="10" t="s">
        <v>58</v>
      </c>
      <c r="N416" s="14" t="s">
        <v>59</v>
      </c>
      <c r="O416" s="10"/>
    </row>
    <row r="417" spans="1:15">
      <c r="A417" s="12" t="s">
        <v>3005</v>
      </c>
      <c r="B417" s="10" t="s">
        <v>2992</v>
      </c>
      <c r="C417" s="10" t="s">
        <v>3006</v>
      </c>
      <c r="D417" s="10" t="s">
        <v>3007</v>
      </c>
      <c r="E417" s="10" t="s">
        <v>3008</v>
      </c>
      <c r="F417" s="10" t="s">
        <v>3009</v>
      </c>
      <c r="G417" s="10" t="s">
        <v>3010</v>
      </c>
      <c r="H417" s="10" t="s">
        <v>3011</v>
      </c>
      <c r="I417" s="10"/>
      <c r="J417" s="13" t="s">
        <v>100</v>
      </c>
      <c r="K417" s="13" t="s">
        <v>101</v>
      </c>
      <c r="L417" s="13" t="s">
        <v>299</v>
      </c>
      <c r="M417" s="10" t="s">
        <v>58</v>
      </c>
      <c r="N417" s="14" t="s">
        <v>59</v>
      </c>
      <c r="O417" s="10"/>
    </row>
    <row r="418" spans="1:15">
      <c r="A418" s="12" t="s">
        <v>3012</v>
      </c>
      <c r="B418" s="10" t="s">
        <v>2992</v>
      </c>
      <c r="C418" s="10" t="s">
        <v>3013</v>
      </c>
      <c r="D418" s="10" t="s">
        <v>3014</v>
      </c>
      <c r="E418" s="10" t="s">
        <v>3015</v>
      </c>
      <c r="F418" s="10" t="s">
        <v>3016</v>
      </c>
      <c r="G418" s="10" t="s">
        <v>3017</v>
      </c>
      <c r="H418" s="10" t="s">
        <v>3018</v>
      </c>
      <c r="I418" s="10"/>
      <c r="J418" s="13" t="s">
        <v>100</v>
      </c>
      <c r="K418" s="13" t="s">
        <v>67</v>
      </c>
      <c r="L418" s="13" t="s">
        <v>57</v>
      </c>
      <c r="M418" s="10" t="s">
        <v>58</v>
      </c>
      <c r="N418" s="14" t="s">
        <v>59</v>
      </c>
      <c r="O418" s="10"/>
    </row>
    <row r="419" spans="1:15">
      <c r="A419" s="12" t="s">
        <v>3019</v>
      </c>
      <c r="B419" s="10" t="s">
        <v>2992</v>
      </c>
      <c r="C419" s="10" t="s">
        <v>3020</v>
      </c>
      <c r="D419" s="10" t="s">
        <v>3021</v>
      </c>
      <c r="E419" s="10" t="s">
        <v>3022</v>
      </c>
      <c r="F419" s="10" t="s">
        <v>3023</v>
      </c>
      <c r="G419" s="10" t="s">
        <v>3024</v>
      </c>
      <c r="H419" s="10" t="s">
        <v>3025</v>
      </c>
      <c r="I419" s="10"/>
      <c r="J419" s="13" t="s">
        <v>55</v>
      </c>
      <c r="K419" s="13" t="s">
        <v>56</v>
      </c>
      <c r="L419" s="13" t="s">
        <v>140</v>
      </c>
      <c r="M419" s="10" t="s">
        <v>58</v>
      </c>
      <c r="N419" s="14" t="s">
        <v>59</v>
      </c>
      <c r="O419" s="10"/>
    </row>
    <row r="420" spans="1:15">
      <c r="A420" s="12" t="s">
        <v>3026</v>
      </c>
      <c r="B420" s="10" t="s">
        <v>2992</v>
      </c>
      <c r="C420" s="10" t="s">
        <v>3027</v>
      </c>
      <c r="D420" s="10" t="s">
        <v>3028</v>
      </c>
      <c r="E420" s="10" t="s">
        <v>3029</v>
      </c>
      <c r="F420" s="10" t="s">
        <v>3030</v>
      </c>
      <c r="G420" s="10" t="s">
        <v>3031</v>
      </c>
      <c r="H420" s="10" t="s">
        <v>3032</v>
      </c>
      <c r="I420" s="10"/>
      <c r="J420" s="13" t="s">
        <v>55</v>
      </c>
      <c r="K420" s="13" t="s">
        <v>56</v>
      </c>
      <c r="L420" s="13" t="s">
        <v>140</v>
      </c>
      <c r="M420" s="10" t="s">
        <v>141</v>
      </c>
      <c r="N420" s="14" t="s">
        <v>59</v>
      </c>
      <c r="O420" s="10"/>
    </row>
    <row r="421" spans="1:15">
      <c r="A421" s="12" t="s">
        <v>3033</v>
      </c>
      <c r="B421" s="10" t="s">
        <v>2992</v>
      </c>
      <c r="C421" s="10" t="s">
        <v>3034</v>
      </c>
      <c r="D421" s="10" t="s">
        <v>3035</v>
      </c>
      <c r="E421" s="10" t="s">
        <v>3036</v>
      </c>
      <c r="F421" s="10" t="s">
        <v>3037</v>
      </c>
      <c r="G421" s="10" t="s">
        <v>3038</v>
      </c>
      <c r="H421" s="10" t="s">
        <v>3039</v>
      </c>
      <c r="I421" s="10"/>
      <c r="J421" s="13" t="s">
        <v>228</v>
      </c>
      <c r="K421" s="13" t="s">
        <v>101</v>
      </c>
      <c r="L421" s="13" t="s">
        <v>308</v>
      </c>
      <c r="M421" s="10" t="s">
        <v>58</v>
      </c>
      <c r="N421" s="14" t="s">
        <v>59</v>
      </c>
      <c r="O421" s="10"/>
    </row>
    <row r="422" spans="1:15">
      <c r="A422" s="12" t="s">
        <v>3040</v>
      </c>
      <c r="B422" s="10" t="s">
        <v>2992</v>
      </c>
      <c r="C422" s="10" t="s">
        <v>3041</v>
      </c>
      <c r="D422" s="10" t="s">
        <v>3042</v>
      </c>
      <c r="E422" s="10" t="s">
        <v>3043</v>
      </c>
      <c r="F422" s="10" t="s">
        <v>3044</v>
      </c>
      <c r="G422" s="10" t="s">
        <v>3045</v>
      </c>
      <c r="H422" s="10" t="s">
        <v>3046</v>
      </c>
      <c r="I422" s="10"/>
      <c r="J422" s="13" t="s">
        <v>100</v>
      </c>
      <c r="K422" s="13" t="s">
        <v>67</v>
      </c>
      <c r="L422" s="13" t="s">
        <v>2477</v>
      </c>
      <c r="M422" s="10" t="s">
        <v>58</v>
      </c>
      <c r="N422" s="14" t="s">
        <v>59</v>
      </c>
      <c r="O422" s="10"/>
    </row>
    <row r="423" spans="1:15">
      <c r="A423" s="15" t="s">
        <v>3047</v>
      </c>
      <c r="B423" s="16" t="s">
        <v>3048</v>
      </c>
      <c r="C423" s="16" t="s">
        <v>3049</v>
      </c>
      <c r="D423" s="16" t="s">
        <v>3050</v>
      </c>
      <c r="E423" s="16" t="s">
        <v>2604</v>
      </c>
      <c r="F423" s="16" t="s">
        <v>3051</v>
      </c>
      <c r="G423" s="16" t="s">
        <v>3052</v>
      </c>
      <c r="H423" s="16" t="s">
        <v>3053</v>
      </c>
      <c r="I423" s="16"/>
      <c r="J423" s="17" t="s">
        <v>228</v>
      </c>
      <c r="K423" s="17" t="s">
        <v>101</v>
      </c>
      <c r="L423" s="17" t="s">
        <v>308</v>
      </c>
      <c r="M423" s="16" t="s">
        <v>58</v>
      </c>
      <c r="N423" s="18" t="s">
        <v>59</v>
      </c>
      <c r="O423" s="16"/>
    </row>
    <row r="424" spans="1:15">
      <c r="A424" s="15" t="s">
        <v>3054</v>
      </c>
      <c r="B424" s="16" t="s">
        <v>3048</v>
      </c>
      <c r="C424" s="16" t="s">
        <v>3055</v>
      </c>
      <c r="D424" s="16" t="s">
        <v>3056</v>
      </c>
      <c r="E424" s="16" t="s">
        <v>3057</v>
      </c>
      <c r="F424" s="16" t="s">
        <v>3058</v>
      </c>
      <c r="G424" s="16" t="s">
        <v>3059</v>
      </c>
      <c r="H424" s="16" t="s">
        <v>3060</v>
      </c>
      <c r="I424" s="16"/>
      <c r="J424" s="17" t="s">
        <v>100</v>
      </c>
      <c r="K424" s="17" t="s">
        <v>67</v>
      </c>
      <c r="L424" s="17" t="s">
        <v>57</v>
      </c>
      <c r="M424" s="16" t="s">
        <v>58</v>
      </c>
      <c r="N424" s="18" t="s">
        <v>59</v>
      </c>
      <c r="O424" s="16"/>
    </row>
    <row r="425" spans="1:15">
      <c r="A425" s="15" t="s">
        <v>3061</v>
      </c>
      <c r="B425" s="16" t="s">
        <v>3048</v>
      </c>
      <c r="C425" s="16" t="s">
        <v>3062</v>
      </c>
      <c r="D425" s="16" t="s">
        <v>3063</v>
      </c>
      <c r="E425" s="16" t="s">
        <v>3057</v>
      </c>
      <c r="F425" s="16" t="s">
        <v>3064</v>
      </c>
      <c r="G425" s="16" t="s">
        <v>3065</v>
      </c>
      <c r="H425" s="16" t="s">
        <v>3066</v>
      </c>
      <c r="I425" s="16"/>
      <c r="J425" s="17" t="s">
        <v>100</v>
      </c>
      <c r="K425" s="17" t="s">
        <v>101</v>
      </c>
      <c r="L425" s="17" t="s">
        <v>308</v>
      </c>
      <c r="M425" s="16" t="s">
        <v>58</v>
      </c>
      <c r="N425" s="18" t="s">
        <v>59</v>
      </c>
      <c r="O425" s="16"/>
    </row>
    <row r="426" spans="1:15">
      <c r="A426" s="15" t="s">
        <v>3067</v>
      </c>
      <c r="B426" s="16" t="s">
        <v>3048</v>
      </c>
      <c r="C426" s="16" t="s">
        <v>3068</v>
      </c>
      <c r="D426" s="16" t="s">
        <v>3069</v>
      </c>
      <c r="E426" s="16" t="s">
        <v>3070</v>
      </c>
      <c r="F426" s="16" t="s">
        <v>3071</v>
      </c>
      <c r="G426" s="16" t="s">
        <v>3072</v>
      </c>
      <c r="H426" s="16" t="s">
        <v>3073</v>
      </c>
      <c r="I426" s="16"/>
      <c r="J426" s="17" t="s">
        <v>100</v>
      </c>
      <c r="K426" s="17" t="s">
        <v>67</v>
      </c>
      <c r="L426" s="17" t="s">
        <v>185</v>
      </c>
      <c r="M426" s="16" t="s">
        <v>58</v>
      </c>
      <c r="N426" s="18" t="s">
        <v>59</v>
      </c>
      <c r="O426" s="16"/>
    </row>
    <row r="427" spans="1:15">
      <c r="A427" s="15" t="s">
        <v>3074</v>
      </c>
      <c r="B427" s="16" t="s">
        <v>3048</v>
      </c>
      <c r="C427" s="16" t="s">
        <v>3075</v>
      </c>
      <c r="D427" s="16" t="s">
        <v>3076</v>
      </c>
      <c r="E427" s="16" t="s">
        <v>3077</v>
      </c>
      <c r="F427" s="16" t="s">
        <v>3078</v>
      </c>
      <c r="G427" s="16" t="s">
        <v>3079</v>
      </c>
      <c r="H427" s="16" t="s">
        <v>3080</v>
      </c>
      <c r="I427" s="16"/>
      <c r="J427" s="17" t="s">
        <v>228</v>
      </c>
      <c r="K427" s="17" t="s">
        <v>101</v>
      </c>
      <c r="L427" s="17" t="s">
        <v>308</v>
      </c>
      <c r="M427" s="16" t="s">
        <v>58</v>
      </c>
      <c r="N427" s="18" t="s">
        <v>59</v>
      </c>
      <c r="O427" s="16"/>
    </row>
    <row r="428" spans="1:15">
      <c r="A428" s="15" t="s">
        <v>3081</v>
      </c>
      <c r="B428" s="16" t="s">
        <v>3048</v>
      </c>
      <c r="C428" s="16" t="s">
        <v>3082</v>
      </c>
      <c r="D428" s="16" t="s">
        <v>3083</v>
      </c>
      <c r="E428" s="16" t="s">
        <v>3084</v>
      </c>
      <c r="F428" s="16" t="s">
        <v>3085</v>
      </c>
      <c r="G428" s="16" t="s">
        <v>3086</v>
      </c>
      <c r="H428" s="16" t="s">
        <v>3087</v>
      </c>
      <c r="I428" s="16"/>
      <c r="J428" s="17" t="s">
        <v>228</v>
      </c>
      <c r="K428" s="17" t="s">
        <v>101</v>
      </c>
      <c r="L428" s="17" t="s">
        <v>308</v>
      </c>
      <c r="M428" s="16" t="s">
        <v>58</v>
      </c>
      <c r="N428" s="18" t="s">
        <v>59</v>
      </c>
      <c r="O428" s="16"/>
    </row>
    <row r="429" spans="1:15">
      <c r="A429" s="15" t="s">
        <v>3088</v>
      </c>
      <c r="B429" s="16" t="s">
        <v>3048</v>
      </c>
      <c r="C429" s="16" t="s">
        <v>3089</v>
      </c>
      <c r="D429" s="16" t="s">
        <v>3090</v>
      </c>
      <c r="E429" s="16" t="s">
        <v>3091</v>
      </c>
      <c r="F429" s="16" t="s">
        <v>3092</v>
      </c>
      <c r="G429" s="16" t="s">
        <v>3093</v>
      </c>
      <c r="H429" s="16" t="s">
        <v>3094</v>
      </c>
      <c r="I429" s="16"/>
      <c r="J429" s="17" t="s">
        <v>100</v>
      </c>
      <c r="K429" s="17" t="s">
        <v>67</v>
      </c>
      <c r="L429" s="17" t="s">
        <v>299</v>
      </c>
      <c r="M429" s="16" t="s">
        <v>58</v>
      </c>
      <c r="N429" s="18" t="s">
        <v>59</v>
      </c>
      <c r="O429" s="16"/>
    </row>
    <row r="430" spans="1:15">
      <c r="A430" s="15" t="s">
        <v>3095</v>
      </c>
      <c r="B430" s="16" t="s">
        <v>3048</v>
      </c>
      <c r="C430" s="16" t="s">
        <v>3096</v>
      </c>
      <c r="D430" s="16" t="s">
        <v>3097</v>
      </c>
      <c r="E430" s="16" t="s">
        <v>3098</v>
      </c>
      <c r="F430" s="16" t="s">
        <v>3099</v>
      </c>
      <c r="G430" s="16" t="s">
        <v>3100</v>
      </c>
      <c r="H430" s="16" t="s">
        <v>3101</v>
      </c>
      <c r="I430" s="16"/>
      <c r="J430" s="17" t="s">
        <v>100</v>
      </c>
      <c r="K430" s="17" t="s">
        <v>67</v>
      </c>
      <c r="L430" s="17" t="s">
        <v>140</v>
      </c>
      <c r="M430" s="16" t="s">
        <v>58</v>
      </c>
      <c r="N430" s="18" t="s">
        <v>59</v>
      </c>
      <c r="O430" s="16"/>
    </row>
    <row r="431" spans="1:15">
      <c r="A431" s="12" t="s">
        <v>3102</v>
      </c>
      <c r="B431" s="10" t="s">
        <v>3103</v>
      </c>
      <c r="C431" s="10" t="s">
        <v>3104</v>
      </c>
      <c r="D431" s="10" t="s">
        <v>3105</v>
      </c>
      <c r="E431" s="10" t="s">
        <v>3106</v>
      </c>
      <c r="F431" s="10" t="s">
        <v>3107</v>
      </c>
      <c r="G431" s="10" t="s">
        <v>3108</v>
      </c>
      <c r="H431" s="10" t="s">
        <v>3109</v>
      </c>
      <c r="I431" s="10"/>
      <c r="J431" s="13" t="s">
        <v>100</v>
      </c>
      <c r="K431" s="13" t="s">
        <v>67</v>
      </c>
      <c r="L431" s="13" t="s">
        <v>57</v>
      </c>
      <c r="M431" s="10" t="s">
        <v>58</v>
      </c>
      <c r="N431" s="14" t="s">
        <v>59</v>
      </c>
      <c r="O431" s="10"/>
    </row>
    <row r="432" spans="1:15">
      <c r="A432" s="12" t="s">
        <v>3110</v>
      </c>
      <c r="B432" s="10" t="s">
        <v>3103</v>
      </c>
      <c r="C432" s="10" t="s">
        <v>3111</v>
      </c>
      <c r="D432" s="10" t="s">
        <v>3112</v>
      </c>
      <c r="E432" s="10" t="s">
        <v>3113</v>
      </c>
      <c r="F432" s="10" t="s">
        <v>3114</v>
      </c>
      <c r="G432" s="10" t="s">
        <v>668</v>
      </c>
      <c r="H432" s="10" t="s">
        <v>3115</v>
      </c>
      <c r="I432" s="10"/>
      <c r="J432" s="13" t="s">
        <v>100</v>
      </c>
      <c r="K432" s="13" t="s">
        <v>101</v>
      </c>
      <c r="L432" s="13" t="s">
        <v>81</v>
      </c>
      <c r="M432" s="10" t="s">
        <v>58</v>
      </c>
      <c r="N432" s="14" t="s">
        <v>59</v>
      </c>
      <c r="O432" s="10"/>
    </row>
    <row r="433" spans="1:15">
      <c r="A433" s="12" t="s">
        <v>3116</v>
      </c>
      <c r="B433" s="10" t="s">
        <v>3103</v>
      </c>
      <c r="C433" s="10" t="s">
        <v>3117</v>
      </c>
      <c r="D433" s="10" t="s">
        <v>3118</v>
      </c>
      <c r="E433" s="10" t="s">
        <v>3119</v>
      </c>
      <c r="F433" s="10" t="s">
        <v>3120</v>
      </c>
      <c r="G433" s="10" t="s">
        <v>3108</v>
      </c>
      <c r="H433" s="10" t="s">
        <v>3121</v>
      </c>
      <c r="I433" s="10"/>
      <c r="J433" s="13" t="s">
        <v>100</v>
      </c>
      <c r="K433" s="13" t="s">
        <v>101</v>
      </c>
      <c r="L433" s="13" t="s">
        <v>110</v>
      </c>
      <c r="M433" s="10" t="s">
        <v>58</v>
      </c>
      <c r="N433" s="14" t="s">
        <v>59</v>
      </c>
      <c r="O433" s="10"/>
    </row>
    <row r="434" spans="1:15">
      <c r="A434" s="12" t="s">
        <v>3122</v>
      </c>
      <c r="B434" s="10" t="s">
        <v>3103</v>
      </c>
      <c r="C434" s="10" t="s">
        <v>3123</v>
      </c>
      <c r="D434" s="10" t="s">
        <v>3124</v>
      </c>
      <c r="E434" s="10" t="s">
        <v>3125</v>
      </c>
      <c r="F434" s="10" t="s">
        <v>3126</v>
      </c>
      <c r="G434" s="10" t="s">
        <v>3127</v>
      </c>
      <c r="H434" s="10" t="s">
        <v>3128</v>
      </c>
      <c r="I434" s="10"/>
      <c r="J434" s="13" t="s">
        <v>55</v>
      </c>
      <c r="K434" s="13" t="s">
        <v>56</v>
      </c>
      <c r="L434" s="13" t="s">
        <v>156</v>
      </c>
      <c r="M434" s="10" t="s">
        <v>58</v>
      </c>
      <c r="N434" s="14" t="s">
        <v>59</v>
      </c>
      <c r="O434" s="10"/>
    </row>
    <row r="435" spans="1:15">
      <c r="A435" s="12" t="s">
        <v>3129</v>
      </c>
      <c r="B435" s="10" t="s">
        <v>3103</v>
      </c>
      <c r="C435" s="10" t="s">
        <v>3130</v>
      </c>
      <c r="D435" s="10" t="s">
        <v>3131</v>
      </c>
      <c r="E435" s="10" t="s">
        <v>3125</v>
      </c>
      <c r="F435" s="10" t="s">
        <v>3132</v>
      </c>
      <c r="G435" s="10" t="s">
        <v>3133</v>
      </c>
      <c r="H435" s="10" t="s">
        <v>3134</v>
      </c>
      <c r="I435" s="10"/>
      <c r="J435" s="13" t="s">
        <v>100</v>
      </c>
      <c r="K435" s="13" t="s">
        <v>101</v>
      </c>
      <c r="L435" s="13" t="s">
        <v>308</v>
      </c>
      <c r="M435" s="10" t="s">
        <v>58</v>
      </c>
      <c r="N435" s="14" t="s">
        <v>59</v>
      </c>
      <c r="O435" s="10"/>
    </row>
    <row r="436" spans="1:15">
      <c r="A436" s="12" t="s">
        <v>3135</v>
      </c>
      <c r="B436" s="10" t="s">
        <v>3103</v>
      </c>
      <c r="C436" s="10" t="s">
        <v>3136</v>
      </c>
      <c r="D436" s="10" t="s">
        <v>3137</v>
      </c>
      <c r="E436" s="10" t="s">
        <v>3138</v>
      </c>
      <c r="F436" s="10" t="s">
        <v>3139</v>
      </c>
      <c r="G436" s="10" t="s">
        <v>3140</v>
      </c>
      <c r="H436" s="10" t="s">
        <v>3141</v>
      </c>
      <c r="I436" s="10"/>
      <c r="J436" s="13" t="s">
        <v>100</v>
      </c>
      <c r="K436" s="13" t="s">
        <v>101</v>
      </c>
      <c r="L436" s="13" t="s">
        <v>2721</v>
      </c>
      <c r="M436" s="10" t="s">
        <v>58</v>
      </c>
      <c r="N436" s="14" t="s">
        <v>59</v>
      </c>
      <c r="O436" s="10"/>
    </row>
    <row r="437" spans="1:15">
      <c r="A437" s="12" t="s">
        <v>3142</v>
      </c>
      <c r="B437" s="10" t="s">
        <v>3103</v>
      </c>
      <c r="C437" s="10" t="s">
        <v>3143</v>
      </c>
      <c r="D437" s="10" t="s">
        <v>3144</v>
      </c>
      <c r="E437" s="10" t="s">
        <v>3145</v>
      </c>
      <c r="F437" s="10" t="s">
        <v>3146</v>
      </c>
      <c r="G437" s="10" t="s">
        <v>3147</v>
      </c>
      <c r="H437" s="10" t="s">
        <v>3148</v>
      </c>
      <c r="I437" s="10"/>
      <c r="J437" s="13" t="s">
        <v>100</v>
      </c>
      <c r="K437" s="13" t="s">
        <v>101</v>
      </c>
      <c r="L437" s="13" t="s">
        <v>308</v>
      </c>
      <c r="M437" s="10" t="s">
        <v>58</v>
      </c>
      <c r="N437" s="14" t="s">
        <v>59</v>
      </c>
      <c r="O437" s="10"/>
    </row>
    <row r="438" spans="1:15">
      <c r="A438" s="12" t="s">
        <v>3149</v>
      </c>
      <c r="B438" s="10" t="s">
        <v>3103</v>
      </c>
      <c r="C438" s="10" t="s">
        <v>3150</v>
      </c>
      <c r="D438" s="10" t="s">
        <v>3151</v>
      </c>
      <c r="E438" s="10" t="s">
        <v>3152</v>
      </c>
      <c r="F438" s="10" t="s">
        <v>3153</v>
      </c>
      <c r="G438" s="10" t="s">
        <v>3154</v>
      </c>
      <c r="H438" s="10" t="s">
        <v>3155</v>
      </c>
      <c r="I438" s="10"/>
      <c r="J438" s="13" t="s">
        <v>100</v>
      </c>
      <c r="K438" s="13" t="s">
        <v>67</v>
      </c>
      <c r="L438" s="13" t="s">
        <v>308</v>
      </c>
      <c r="M438" s="10" t="s">
        <v>58</v>
      </c>
      <c r="N438" s="14" t="s">
        <v>59</v>
      </c>
      <c r="O438" s="10"/>
    </row>
    <row r="439" spans="1:15">
      <c r="A439" s="12" t="s">
        <v>3156</v>
      </c>
      <c r="B439" s="10" t="s">
        <v>3103</v>
      </c>
      <c r="C439" s="10" t="s">
        <v>3157</v>
      </c>
      <c r="D439" s="10" t="s">
        <v>3158</v>
      </c>
      <c r="E439" s="10" t="s">
        <v>3159</v>
      </c>
      <c r="F439" s="10" t="s">
        <v>3160</v>
      </c>
      <c r="G439" s="10" t="s">
        <v>3161</v>
      </c>
      <c r="H439" s="10" t="s">
        <v>3162</v>
      </c>
      <c r="I439" s="10"/>
      <c r="J439" s="13" t="s">
        <v>100</v>
      </c>
      <c r="K439" s="13" t="s">
        <v>67</v>
      </c>
      <c r="L439" s="13" t="s">
        <v>689</v>
      </c>
      <c r="M439" s="10" t="s">
        <v>58</v>
      </c>
      <c r="N439" s="14" t="s">
        <v>59</v>
      </c>
      <c r="O439" s="10"/>
    </row>
    <row r="440" spans="1:15">
      <c r="A440" s="12" t="s">
        <v>3163</v>
      </c>
      <c r="B440" s="10" t="s">
        <v>3103</v>
      </c>
      <c r="C440" s="10" t="s">
        <v>3164</v>
      </c>
      <c r="D440" s="10" t="s">
        <v>3165</v>
      </c>
      <c r="E440" s="10" t="s">
        <v>2604</v>
      </c>
      <c r="F440" s="10" t="s">
        <v>3166</v>
      </c>
      <c r="G440" s="10" t="s">
        <v>3167</v>
      </c>
      <c r="H440" s="10" t="s">
        <v>3168</v>
      </c>
      <c r="I440" s="10"/>
      <c r="J440" s="13" t="s">
        <v>100</v>
      </c>
      <c r="K440" s="13" t="s">
        <v>101</v>
      </c>
      <c r="L440" s="13" t="s">
        <v>308</v>
      </c>
      <c r="M440" s="10" t="s">
        <v>58</v>
      </c>
      <c r="N440" s="14" t="s">
        <v>59</v>
      </c>
      <c r="O440" s="10"/>
    </row>
    <row r="441" spans="1:15">
      <c r="A441" s="12" t="s">
        <v>3169</v>
      </c>
      <c r="B441" s="10" t="s">
        <v>3103</v>
      </c>
      <c r="C441" s="10" t="s">
        <v>3170</v>
      </c>
      <c r="D441" s="10" t="s">
        <v>3171</v>
      </c>
      <c r="E441" s="10" t="s">
        <v>2604</v>
      </c>
      <c r="F441" s="10" t="s">
        <v>3172</v>
      </c>
      <c r="G441" s="10" t="s">
        <v>3173</v>
      </c>
      <c r="H441" s="10" t="s">
        <v>3174</v>
      </c>
      <c r="I441" s="10"/>
      <c r="J441" s="13" t="s">
        <v>228</v>
      </c>
      <c r="K441" s="13" t="s">
        <v>101</v>
      </c>
      <c r="L441" s="13" t="s">
        <v>308</v>
      </c>
      <c r="M441" s="10" t="s">
        <v>58</v>
      </c>
      <c r="N441" s="14" t="s">
        <v>59</v>
      </c>
      <c r="O441" s="10"/>
    </row>
    <row r="442" spans="1:15">
      <c r="A442" s="12" t="s">
        <v>3175</v>
      </c>
      <c r="B442" s="10" t="s">
        <v>3103</v>
      </c>
      <c r="C442" s="10" t="s">
        <v>2644</v>
      </c>
      <c r="D442" s="10" t="s">
        <v>3176</v>
      </c>
      <c r="E442" s="10" t="s">
        <v>2604</v>
      </c>
      <c r="F442" s="10" t="s">
        <v>3177</v>
      </c>
      <c r="G442" s="10" t="s">
        <v>3178</v>
      </c>
      <c r="H442" s="10" t="s">
        <v>3179</v>
      </c>
      <c r="I442" s="10"/>
      <c r="J442" s="13" t="s">
        <v>228</v>
      </c>
      <c r="K442" s="13" t="s">
        <v>101</v>
      </c>
      <c r="L442" s="13" t="s">
        <v>308</v>
      </c>
      <c r="M442" s="10" t="s">
        <v>58</v>
      </c>
      <c r="N442" s="14" t="s">
        <v>59</v>
      </c>
      <c r="O442" s="10"/>
    </row>
    <row r="443" spans="1:15">
      <c r="A443" s="12" t="s">
        <v>3180</v>
      </c>
      <c r="B443" s="10" t="s">
        <v>3103</v>
      </c>
      <c r="C443" s="10" t="s">
        <v>3181</v>
      </c>
      <c r="D443" s="10" t="s">
        <v>3182</v>
      </c>
      <c r="E443" s="10" t="s">
        <v>2604</v>
      </c>
      <c r="F443" s="10" t="s">
        <v>3183</v>
      </c>
      <c r="G443" s="10" t="s">
        <v>3184</v>
      </c>
      <c r="H443" s="10" t="s">
        <v>3185</v>
      </c>
      <c r="I443" s="10"/>
      <c r="J443" s="13" t="s">
        <v>228</v>
      </c>
      <c r="K443" s="13" t="s">
        <v>101</v>
      </c>
      <c r="L443" s="13" t="s">
        <v>308</v>
      </c>
      <c r="M443" s="10" t="s">
        <v>58</v>
      </c>
      <c r="N443" s="14" t="s">
        <v>59</v>
      </c>
      <c r="O443" s="10"/>
    </row>
    <row r="444" spans="1:15">
      <c r="A444" s="12" t="s">
        <v>3186</v>
      </c>
      <c r="B444" s="10" t="s">
        <v>3103</v>
      </c>
      <c r="C444" s="10" t="s">
        <v>3187</v>
      </c>
      <c r="D444" s="10" t="s">
        <v>3188</v>
      </c>
      <c r="E444" s="10" t="s">
        <v>2604</v>
      </c>
      <c r="F444" s="10" t="s">
        <v>3189</v>
      </c>
      <c r="G444" s="10" t="s">
        <v>3190</v>
      </c>
      <c r="H444" s="10" t="s">
        <v>3191</v>
      </c>
      <c r="I444" s="10"/>
      <c r="J444" s="13" t="s">
        <v>228</v>
      </c>
      <c r="K444" s="13" t="s">
        <v>101</v>
      </c>
      <c r="L444" s="13" t="s">
        <v>308</v>
      </c>
      <c r="M444" s="10" t="s">
        <v>58</v>
      </c>
      <c r="N444" s="14" t="s">
        <v>59</v>
      </c>
      <c r="O444" s="10"/>
    </row>
    <row r="445" spans="1:15">
      <c r="A445" s="12" t="s">
        <v>3192</v>
      </c>
      <c r="B445" s="10" t="s">
        <v>3103</v>
      </c>
      <c r="C445" s="10" t="s">
        <v>3193</v>
      </c>
      <c r="D445" s="10" t="s">
        <v>3194</v>
      </c>
      <c r="E445" s="10" t="s">
        <v>2604</v>
      </c>
      <c r="F445" s="10" t="s">
        <v>3195</v>
      </c>
      <c r="G445" s="10" t="s">
        <v>3196</v>
      </c>
      <c r="H445" s="10" t="s">
        <v>3197</v>
      </c>
      <c r="I445" s="10"/>
      <c r="J445" s="13" t="s">
        <v>228</v>
      </c>
      <c r="K445" s="13" t="s">
        <v>101</v>
      </c>
      <c r="L445" s="13" t="s">
        <v>594</v>
      </c>
      <c r="M445" s="10" t="s">
        <v>58</v>
      </c>
      <c r="N445" s="14" t="s">
        <v>59</v>
      </c>
      <c r="O445" s="10"/>
    </row>
    <row r="446" spans="1:15">
      <c r="A446" s="12" t="s">
        <v>3198</v>
      </c>
      <c r="B446" s="10" t="s">
        <v>3103</v>
      </c>
      <c r="C446" s="10" t="s">
        <v>3199</v>
      </c>
      <c r="D446" s="10" t="s">
        <v>3200</v>
      </c>
      <c r="E446" s="10" t="s">
        <v>2604</v>
      </c>
      <c r="F446" s="10" t="s">
        <v>3201</v>
      </c>
      <c r="G446" s="10" t="s">
        <v>3202</v>
      </c>
      <c r="H446" s="10" t="s">
        <v>3203</v>
      </c>
      <c r="I446" s="10"/>
      <c r="J446" s="13" t="s">
        <v>228</v>
      </c>
      <c r="K446" s="13" t="s">
        <v>101</v>
      </c>
      <c r="L446" s="13" t="s">
        <v>308</v>
      </c>
      <c r="M446" s="10" t="s">
        <v>58</v>
      </c>
      <c r="N446" s="14" t="s">
        <v>59</v>
      </c>
      <c r="O446" s="10"/>
    </row>
    <row r="447" spans="1:15">
      <c r="A447" s="12" t="s">
        <v>3204</v>
      </c>
      <c r="B447" s="10" t="s">
        <v>3103</v>
      </c>
      <c r="C447" s="10" t="s">
        <v>3205</v>
      </c>
      <c r="D447" s="10" t="s">
        <v>3206</v>
      </c>
      <c r="E447" s="10" t="s">
        <v>2604</v>
      </c>
      <c r="F447" s="10" t="s">
        <v>3207</v>
      </c>
      <c r="G447" s="10" t="s">
        <v>3208</v>
      </c>
      <c r="H447" s="10" t="s">
        <v>3209</v>
      </c>
      <c r="I447" s="10"/>
      <c r="J447" s="13" t="s">
        <v>100</v>
      </c>
      <c r="K447" s="13" t="s">
        <v>56</v>
      </c>
      <c r="L447" s="13" t="s">
        <v>284</v>
      </c>
      <c r="M447" s="10" t="s">
        <v>58</v>
      </c>
      <c r="N447" s="14" t="s">
        <v>59</v>
      </c>
      <c r="O447" s="10" t="s">
        <v>3210</v>
      </c>
    </row>
    <row r="448" spans="1:15">
      <c r="A448" s="12" t="s">
        <v>3211</v>
      </c>
      <c r="B448" s="10" t="s">
        <v>3103</v>
      </c>
      <c r="C448" s="10" t="s">
        <v>3212</v>
      </c>
      <c r="D448" s="10" t="s">
        <v>3213</v>
      </c>
      <c r="E448" s="10" t="s">
        <v>3214</v>
      </c>
      <c r="F448" s="10" t="s">
        <v>3215</v>
      </c>
      <c r="G448" s="10" t="s">
        <v>3216</v>
      </c>
      <c r="H448" s="10" t="s">
        <v>3217</v>
      </c>
      <c r="I448" s="10"/>
      <c r="J448" s="13" t="s">
        <v>100</v>
      </c>
      <c r="K448" s="13" t="s">
        <v>101</v>
      </c>
      <c r="L448" s="13" t="s">
        <v>308</v>
      </c>
      <c r="M448" s="10" t="s">
        <v>58</v>
      </c>
      <c r="N448" s="14" t="s">
        <v>59</v>
      </c>
      <c r="O448" s="10"/>
    </row>
    <row r="449" spans="1:15">
      <c r="A449" s="12" t="s">
        <v>3218</v>
      </c>
      <c r="B449" s="10" t="s">
        <v>3103</v>
      </c>
      <c r="C449" s="10" t="s">
        <v>3219</v>
      </c>
      <c r="D449" s="10" t="s">
        <v>3220</v>
      </c>
      <c r="E449" s="10" t="s">
        <v>3221</v>
      </c>
      <c r="F449" s="10" t="s">
        <v>3222</v>
      </c>
      <c r="G449" s="10" t="s">
        <v>3223</v>
      </c>
      <c r="H449" s="10" t="s">
        <v>3224</v>
      </c>
      <c r="I449" s="10"/>
      <c r="J449" s="13" t="s">
        <v>100</v>
      </c>
      <c r="K449" s="13" t="s">
        <v>101</v>
      </c>
      <c r="L449" s="13" t="s">
        <v>1774</v>
      </c>
      <c r="M449" s="10" t="s">
        <v>58</v>
      </c>
      <c r="N449" s="14" t="s">
        <v>59</v>
      </c>
      <c r="O449" s="10"/>
    </row>
    <row r="450" spans="1:15">
      <c r="A450" s="12" t="s">
        <v>3225</v>
      </c>
      <c r="B450" s="10" t="s">
        <v>3103</v>
      </c>
      <c r="C450" s="10" t="s">
        <v>3226</v>
      </c>
      <c r="D450" s="10" t="s">
        <v>3227</v>
      </c>
      <c r="E450" s="10" t="s">
        <v>2604</v>
      </c>
      <c r="F450" s="10" t="s">
        <v>3228</v>
      </c>
      <c r="G450" s="10" t="s">
        <v>3229</v>
      </c>
      <c r="H450" s="10" t="s">
        <v>3230</v>
      </c>
      <c r="I450" s="10"/>
      <c r="J450" s="13" t="s">
        <v>100</v>
      </c>
      <c r="K450" s="13" t="s">
        <v>101</v>
      </c>
      <c r="L450" s="13" t="s">
        <v>308</v>
      </c>
      <c r="M450" s="10" t="s">
        <v>58</v>
      </c>
      <c r="N450" s="14" t="s">
        <v>59</v>
      </c>
      <c r="O450" s="10"/>
    </row>
    <row r="451" spans="1:15">
      <c r="A451" s="15" t="s">
        <v>3231</v>
      </c>
      <c r="B451" s="16" t="s">
        <v>3232</v>
      </c>
      <c r="C451" s="16" t="s">
        <v>3233</v>
      </c>
      <c r="D451" s="16" t="s">
        <v>3234</v>
      </c>
      <c r="E451" s="16" t="s">
        <v>3235</v>
      </c>
      <c r="F451" s="16" t="s">
        <v>3236</v>
      </c>
      <c r="G451" s="16" t="s">
        <v>3237</v>
      </c>
      <c r="H451" s="16" t="s">
        <v>3238</v>
      </c>
      <c r="I451" s="16"/>
      <c r="J451" s="17" t="s">
        <v>100</v>
      </c>
      <c r="K451" s="17" t="s">
        <v>67</v>
      </c>
      <c r="L451" s="17" t="s">
        <v>308</v>
      </c>
      <c r="M451" s="16" t="s">
        <v>58</v>
      </c>
      <c r="N451" s="18" t="s">
        <v>59</v>
      </c>
      <c r="O451" s="16"/>
    </row>
    <row r="452" spans="1:15">
      <c r="A452" s="15" t="s">
        <v>3239</v>
      </c>
      <c r="B452" s="16" t="s">
        <v>3232</v>
      </c>
      <c r="C452" s="16" t="s">
        <v>3240</v>
      </c>
      <c r="D452" s="16" t="s">
        <v>3241</v>
      </c>
      <c r="E452" s="16" t="s">
        <v>2604</v>
      </c>
      <c r="F452" s="16" t="s">
        <v>3242</v>
      </c>
      <c r="G452" s="16" t="s">
        <v>3243</v>
      </c>
      <c r="H452" s="16" t="s">
        <v>3244</v>
      </c>
      <c r="I452" s="16"/>
      <c r="J452" s="17" t="s">
        <v>228</v>
      </c>
      <c r="K452" s="17" t="s">
        <v>101</v>
      </c>
      <c r="L452" s="17" t="s">
        <v>2692</v>
      </c>
      <c r="M452" s="16" t="s">
        <v>58</v>
      </c>
      <c r="N452" s="18" t="s">
        <v>59</v>
      </c>
      <c r="O452" s="16"/>
    </row>
    <row r="453" spans="1:15">
      <c r="A453" s="15" t="s">
        <v>3245</v>
      </c>
      <c r="B453" s="16" t="s">
        <v>3232</v>
      </c>
      <c r="C453" s="16" t="s">
        <v>3246</v>
      </c>
      <c r="D453" s="16" t="s">
        <v>3247</v>
      </c>
      <c r="E453" s="16" t="s">
        <v>2604</v>
      </c>
      <c r="F453" s="16" t="s">
        <v>3248</v>
      </c>
      <c r="G453" s="16" t="s">
        <v>3249</v>
      </c>
      <c r="H453" s="16" t="s">
        <v>3250</v>
      </c>
      <c r="I453" s="16"/>
      <c r="J453" s="17" t="s">
        <v>55</v>
      </c>
      <c r="K453" s="17" t="s">
        <v>56</v>
      </c>
      <c r="L453" s="17" t="s">
        <v>284</v>
      </c>
      <c r="M453" s="16" t="s">
        <v>58</v>
      </c>
      <c r="N453" s="18" t="s">
        <v>59</v>
      </c>
      <c r="O453" s="16"/>
    </row>
    <row r="454" spans="1:15">
      <c r="A454" s="15" t="s">
        <v>3251</v>
      </c>
      <c r="B454" s="16" t="s">
        <v>3232</v>
      </c>
      <c r="C454" s="16" t="s">
        <v>3252</v>
      </c>
      <c r="D454" s="16" t="s">
        <v>3253</v>
      </c>
      <c r="E454" s="16" t="s">
        <v>3254</v>
      </c>
      <c r="F454" s="16" t="s">
        <v>3255</v>
      </c>
      <c r="G454" s="16" t="s">
        <v>3256</v>
      </c>
      <c r="H454" s="16" t="s">
        <v>3257</v>
      </c>
      <c r="I454" s="16"/>
      <c r="J454" s="17" t="s">
        <v>100</v>
      </c>
      <c r="K454" s="17" t="s">
        <v>67</v>
      </c>
      <c r="L454" s="17" t="s">
        <v>391</v>
      </c>
      <c r="M454" s="16" t="s">
        <v>58</v>
      </c>
      <c r="N454" s="18" t="s">
        <v>59</v>
      </c>
      <c r="O454" s="16"/>
    </row>
    <row r="455" spans="1:15">
      <c r="A455" s="15" t="s">
        <v>3258</v>
      </c>
      <c r="B455" s="16" t="s">
        <v>3232</v>
      </c>
      <c r="C455" s="16" t="s">
        <v>3259</v>
      </c>
      <c r="D455" s="16" t="s">
        <v>3260</v>
      </c>
      <c r="E455" s="16" t="s">
        <v>2604</v>
      </c>
      <c r="F455" s="16" t="s">
        <v>3261</v>
      </c>
      <c r="G455" s="16" t="s">
        <v>3262</v>
      </c>
      <c r="H455" s="16" t="s">
        <v>3263</v>
      </c>
      <c r="I455" s="16"/>
      <c r="J455" s="17" t="s">
        <v>55</v>
      </c>
      <c r="K455" s="17" t="s">
        <v>56</v>
      </c>
      <c r="L455" s="17" t="s">
        <v>308</v>
      </c>
      <c r="M455" s="16" t="s">
        <v>58</v>
      </c>
      <c r="N455" s="18" t="s">
        <v>59</v>
      </c>
      <c r="O455" s="16"/>
    </row>
    <row r="456" spans="1:15">
      <c r="A456" s="15" t="s">
        <v>3264</v>
      </c>
      <c r="B456" s="16" t="s">
        <v>3232</v>
      </c>
      <c r="C456" s="16" t="s">
        <v>3265</v>
      </c>
      <c r="D456" s="16" t="s">
        <v>3266</v>
      </c>
      <c r="E456" s="16" t="s">
        <v>3267</v>
      </c>
      <c r="F456" s="16" t="s">
        <v>3268</v>
      </c>
      <c r="G456" s="16" t="s">
        <v>3269</v>
      </c>
      <c r="H456" s="16" t="s">
        <v>3270</v>
      </c>
      <c r="I456" s="16"/>
      <c r="J456" s="17" t="s">
        <v>55</v>
      </c>
      <c r="K456" s="17" t="s">
        <v>456</v>
      </c>
      <c r="L456" s="17" t="s">
        <v>2203</v>
      </c>
      <c r="M456" s="16" t="s">
        <v>58</v>
      </c>
      <c r="N456" s="18" t="s">
        <v>59</v>
      </c>
      <c r="O456" s="16"/>
    </row>
    <row r="457" spans="1:15">
      <c r="A457" s="15" t="s">
        <v>3271</v>
      </c>
      <c r="B457" s="16" t="s">
        <v>3232</v>
      </c>
      <c r="C457" s="16" t="s">
        <v>3272</v>
      </c>
      <c r="D457" s="16" t="s">
        <v>3273</v>
      </c>
      <c r="E457" s="16" t="s">
        <v>2604</v>
      </c>
      <c r="F457" s="16" t="s">
        <v>3274</v>
      </c>
      <c r="G457" s="16" t="s">
        <v>3275</v>
      </c>
      <c r="H457" s="16" t="s">
        <v>3276</v>
      </c>
      <c r="I457" s="16"/>
      <c r="J457" s="17" t="s">
        <v>100</v>
      </c>
      <c r="K457" s="17" t="s">
        <v>67</v>
      </c>
      <c r="L457" s="17" t="s">
        <v>284</v>
      </c>
      <c r="M457" s="16" t="s">
        <v>58</v>
      </c>
      <c r="N457" s="18" t="s">
        <v>59</v>
      </c>
      <c r="O457" s="16"/>
    </row>
    <row r="458" spans="1:15">
      <c r="A458" s="15" t="s">
        <v>3277</v>
      </c>
      <c r="B458" s="16" t="s">
        <v>3232</v>
      </c>
      <c r="C458" s="16" t="s">
        <v>3278</v>
      </c>
      <c r="D458" s="16" t="s">
        <v>3279</v>
      </c>
      <c r="E458" s="16" t="s">
        <v>2604</v>
      </c>
      <c r="F458" s="16" t="s">
        <v>3280</v>
      </c>
      <c r="G458" s="16" t="s">
        <v>3281</v>
      </c>
      <c r="H458" s="16" t="s">
        <v>3282</v>
      </c>
      <c r="I458" s="16"/>
      <c r="J458" s="17" t="s">
        <v>100</v>
      </c>
      <c r="K458" s="17" t="s">
        <v>67</v>
      </c>
      <c r="L458" s="17" t="s">
        <v>299</v>
      </c>
      <c r="M458" s="16" t="s">
        <v>58</v>
      </c>
      <c r="N458" s="18" t="s">
        <v>59</v>
      </c>
      <c r="O458" s="16"/>
    </row>
    <row r="459" spans="1:15">
      <c r="A459" s="15" t="s">
        <v>3283</v>
      </c>
      <c r="B459" s="16" t="s">
        <v>3232</v>
      </c>
      <c r="C459" s="16" t="s">
        <v>3284</v>
      </c>
      <c r="D459" s="16" t="s">
        <v>3285</v>
      </c>
      <c r="E459" s="16" t="s">
        <v>2604</v>
      </c>
      <c r="F459" s="16" t="s">
        <v>3286</v>
      </c>
      <c r="G459" s="16" t="s">
        <v>3287</v>
      </c>
      <c r="H459" s="16" t="s">
        <v>3288</v>
      </c>
      <c r="I459" s="16"/>
      <c r="J459" s="17" t="s">
        <v>228</v>
      </c>
      <c r="K459" s="17" t="s">
        <v>101</v>
      </c>
      <c r="L459" s="17" t="s">
        <v>308</v>
      </c>
      <c r="M459" s="16" t="s">
        <v>58</v>
      </c>
      <c r="N459" s="18" t="s">
        <v>59</v>
      </c>
      <c r="O459" s="16"/>
    </row>
    <row r="460" spans="1:15">
      <c r="A460" s="15" t="s">
        <v>3289</v>
      </c>
      <c r="B460" s="16" t="s">
        <v>3232</v>
      </c>
      <c r="C460" s="16" t="s">
        <v>3290</v>
      </c>
      <c r="D460" s="16" t="s">
        <v>3291</v>
      </c>
      <c r="E460" s="16" t="s">
        <v>2604</v>
      </c>
      <c r="F460" s="16" t="s">
        <v>3292</v>
      </c>
      <c r="G460" s="16" t="s">
        <v>3293</v>
      </c>
      <c r="H460" s="16" t="s">
        <v>3294</v>
      </c>
      <c r="I460" s="16"/>
      <c r="J460" s="17" t="s">
        <v>100</v>
      </c>
      <c r="K460" s="17" t="s">
        <v>101</v>
      </c>
      <c r="L460" s="17" t="s">
        <v>308</v>
      </c>
      <c r="M460" s="16" t="s">
        <v>58</v>
      </c>
      <c r="N460" s="18" t="s">
        <v>59</v>
      </c>
      <c r="O460" s="16"/>
    </row>
    <row r="461" spans="1:15">
      <c r="A461" s="15" t="s">
        <v>3295</v>
      </c>
      <c r="B461" s="16" t="s">
        <v>3232</v>
      </c>
      <c r="C461" s="16" t="s">
        <v>3296</v>
      </c>
      <c r="D461" s="16" t="s">
        <v>3297</v>
      </c>
      <c r="E461" s="16" t="s">
        <v>2604</v>
      </c>
      <c r="F461" s="16" t="s">
        <v>3298</v>
      </c>
      <c r="G461" s="16" t="s">
        <v>3299</v>
      </c>
      <c r="H461" s="16" t="s">
        <v>3300</v>
      </c>
      <c r="I461" s="16"/>
      <c r="J461" s="17" t="s">
        <v>228</v>
      </c>
      <c r="K461" s="17" t="s">
        <v>101</v>
      </c>
      <c r="L461" s="17" t="s">
        <v>594</v>
      </c>
      <c r="M461" s="16" t="s">
        <v>58</v>
      </c>
      <c r="N461" s="18" t="s">
        <v>59</v>
      </c>
      <c r="O461" s="16"/>
    </row>
    <row r="462" spans="1:15">
      <c r="A462" s="15" t="s">
        <v>3301</v>
      </c>
      <c r="B462" s="16" t="s">
        <v>3232</v>
      </c>
      <c r="C462" s="16" t="s">
        <v>3302</v>
      </c>
      <c r="D462" s="16" t="s">
        <v>3303</v>
      </c>
      <c r="E462" s="16" t="s">
        <v>2604</v>
      </c>
      <c r="F462" s="16" t="s">
        <v>3304</v>
      </c>
      <c r="G462" s="16" t="s">
        <v>3305</v>
      </c>
      <c r="H462" s="16" t="s">
        <v>3306</v>
      </c>
      <c r="I462" s="16"/>
      <c r="J462" s="17" t="s">
        <v>100</v>
      </c>
      <c r="K462" s="17" t="s">
        <v>67</v>
      </c>
      <c r="L462" s="17" t="s">
        <v>308</v>
      </c>
      <c r="M462" s="16" t="s">
        <v>58</v>
      </c>
      <c r="N462" s="18" t="s">
        <v>59</v>
      </c>
      <c r="O462" s="16"/>
    </row>
    <row r="463" spans="1:15">
      <c r="A463" s="15" t="s">
        <v>3307</v>
      </c>
      <c r="B463" s="16" t="s">
        <v>3232</v>
      </c>
      <c r="C463" s="16" t="s">
        <v>3308</v>
      </c>
      <c r="D463" s="16" t="s">
        <v>3309</v>
      </c>
      <c r="E463" s="16" t="s">
        <v>3310</v>
      </c>
      <c r="F463" s="16" t="s">
        <v>3311</v>
      </c>
      <c r="G463" s="16" t="s">
        <v>470</v>
      </c>
      <c r="H463" s="16" t="s">
        <v>3312</v>
      </c>
      <c r="I463" s="16"/>
      <c r="J463" s="17" t="s">
        <v>55</v>
      </c>
      <c r="K463" s="17" t="s">
        <v>56</v>
      </c>
      <c r="L463" s="17" t="s">
        <v>140</v>
      </c>
      <c r="M463" s="16" t="s">
        <v>141</v>
      </c>
      <c r="N463" s="18" t="s">
        <v>59</v>
      </c>
      <c r="O463" s="16"/>
    </row>
    <row r="464" spans="1:15">
      <c r="A464" s="15" t="s">
        <v>3313</v>
      </c>
      <c r="B464" s="16" t="s">
        <v>3232</v>
      </c>
      <c r="C464" s="16" t="s">
        <v>3314</v>
      </c>
      <c r="D464" s="16" t="s">
        <v>3315</v>
      </c>
      <c r="E464" s="16" t="s">
        <v>2604</v>
      </c>
      <c r="F464" s="16" t="s">
        <v>3316</v>
      </c>
      <c r="G464" s="16" t="s">
        <v>3317</v>
      </c>
      <c r="H464" s="16" t="s">
        <v>3318</v>
      </c>
      <c r="I464" s="16"/>
      <c r="J464" s="17" t="s">
        <v>228</v>
      </c>
      <c r="K464" s="17" t="s">
        <v>101</v>
      </c>
      <c r="L464" s="17" t="s">
        <v>308</v>
      </c>
      <c r="M464" s="16" t="s">
        <v>58</v>
      </c>
      <c r="N464" s="18" t="s">
        <v>59</v>
      </c>
      <c r="O464" s="16"/>
    </row>
    <row r="465" spans="1:15">
      <c r="A465" s="15" t="s">
        <v>3319</v>
      </c>
      <c r="B465" s="16" t="s">
        <v>3232</v>
      </c>
      <c r="C465" s="16" t="s">
        <v>3320</v>
      </c>
      <c r="D465" s="16" t="s">
        <v>3321</v>
      </c>
      <c r="E465" s="16" t="s">
        <v>3322</v>
      </c>
      <c r="F465" s="16" t="s">
        <v>3323</v>
      </c>
      <c r="G465" s="16" t="s">
        <v>3324</v>
      </c>
      <c r="H465" s="16" t="s">
        <v>3325</v>
      </c>
      <c r="I465" s="16"/>
      <c r="J465" s="17" t="s">
        <v>100</v>
      </c>
      <c r="K465" s="17" t="s">
        <v>67</v>
      </c>
      <c r="L465" s="17" t="s">
        <v>308</v>
      </c>
      <c r="M465" s="16" t="s">
        <v>58</v>
      </c>
      <c r="N465" s="18" t="s">
        <v>59</v>
      </c>
      <c r="O465" s="16"/>
    </row>
    <row r="466" spans="1:15">
      <c r="A466" s="15" t="s">
        <v>3326</v>
      </c>
      <c r="B466" s="16" t="s">
        <v>3232</v>
      </c>
      <c r="C466" s="16" t="s">
        <v>3327</v>
      </c>
      <c r="D466" s="16" t="s">
        <v>3328</v>
      </c>
      <c r="E466" s="16" t="s">
        <v>3329</v>
      </c>
      <c r="F466" s="16" t="s">
        <v>3330</v>
      </c>
      <c r="G466" s="16" t="s">
        <v>3331</v>
      </c>
      <c r="H466" s="16" t="s">
        <v>3332</v>
      </c>
      <c r="I466" s="16"/>
      <c r="J466" s="17" t="s">
        <v>100</v>
      </c>
      <c r="K466" s="17" t="s">
        <v>67</v>
      </c>
      <c r="L466" s="17" t="s">
        <v>118</v>
      </c>
      <c r="M466" s="16" t="s">
        <v>58</v>
      </c>
      <c r="N466" s="18" t="s">
        <v>59</v>
      </c>
      <c r="O466" s="16"/>
    </row>
    <row r="467" spans="1:15">
      <c r="A467" s="15" t="s">
        <v>3333</v>
      </c>
      <c r="B467" s="16" t="s">
        <v>3232</v>
      </c>
      <c r="C467" s="16" t="s">
        <v>3334</v>
      </c>
      <c r="D467" s="16" t="s">
        <v>3335</v>
      </c>
      <c r="E467" s="16" t="s">
        <v>2604</v>
      </c>
      <c r="F467" s="16" t="s">
        <v>3336</v>
      </c>
      <c r="G467" s="16" t="s">
        <v>3337</v>
      </c>
      <c r="H467" s="16" t="s">
        <v>3338</v>
      </c>
      <c r="I467" s="16"/>
      <c r="J467" s="17" t="s">
        <v>228</v>
      </c>
      <c r="K467" s="17" t="s">
        <v>101</v>
      </c>
      <c r="L467" s="17" t="s">
        <v>308</v>
      </c>
      <c r="M467" s="16" t="s">
        <v>58</v>
      </c>
      <c r="N467" s="18" t="s">
        <v>59</v>
      </c>
      <c r="O467" s="16"/>
    </row>
    <row r="468" spans="1:15">
      <c r="A468" s="15" t="s">
        <v>3339</v>
      </c>
      <c r="B468" s="16" t="s">
        <v>3232</v>
      </c>
      <c r="C468" s="16" t="s">
        <v>3340</v>
      </c>
      <c r="D468" s="16" t="s">
        <v>3341</v>
      </c>
      <c r="E468" s="16" t="s">
        <v>3342</v>
      </c>
      <c r="F468" s="16" t="s">
        <v>3343</v>
      </c>
      <c r="G468" s="16" t="s">
        <v>3344</v>
      </c>
      <c r="H468" s="16" t="s">
        <v>3345</v>
      </c>
      <c r="I468" s="16"/>
      <c r="J468" s="17" t="s">
        <v>100</v>
      </c>
      <c r="K468" s="17" t="s">
        <v>67</v>
      </c>
      <c r="L468" s="17" t="s">
        <v>299</v>
      </c>
      <c r="M468" s="16" t="s">
        <v>58</v>
      </c>
      <c r="N468" s="18" t="s">
        <v>59</v>
      </c>
      <c r="O468" s="16"/>
    </row>
    <row r="469" spans="1:15">
      <c r="A469" s="15" t="s">
        <v>3346</v>
      </c>
      <c r="B469" s="16" t="s">
        <v>3232</v>
      </c>
      <c r="C469" s="16" t="s">
        <v>3347</v>
      </c>
      <c r="D469" s="16" t="s">
        <v>3348</v>
      </c>
      <c r="E469" s="16" t="s">
        <v>3349</v>
      </c>
      <c r="F469" s="16" t="s">
        <v>3350</v>
      </c>
      <c r="G469" s="16" t="s">
        <v>3100</v>
      </c>
      <c r="H469" s="16" t="s">
        <v>3351</v>
      </c>
      <c r="I469" s="16"/>
      <c r="J469" s="17" t="s">
        <v>55</v>
      </c>
      <c r="K469" s="17" t="s">
        <v>56</v>
      </c>
      <c r="L469" s="17" t="s">
        <v>140</v>
      </c>
      <c r="M469" s="16" t="s">
        <v>58</v>
      </c>
      <c r="N469" s="18" t="s">
        <v>59</v>
      </c>
      <c r="O469" s="16"/>
    </row>
    <row r="470" spans="1:15">
      <c r="A470" s="15" t="s">
        <v>3352</v>
      </c>
      <c r="B470" s="16" t="s">
        <v>3232</v>
      </c>
      <c r="C470" s="16" t="s">
        <v>3353</v>
      </c>
      <c r="D470" s="16" t="s">
        <v>3354</v>
      </c>
      <c r="E470" s="16" t="s">
        <v>1922</v>
      </c>
      <c r="F470" s="16" t="s">
        <v>3355</v>
      </c>
      <c r="G470" s="16" t="s">
        <v>3356</v>
      </c>
      <c r="H470" s="16" t="s">
        <v>3357</v>
      </c>
      <c r="I470" s="16"/>
      <c r="J470" s="17" t="s">
        <v>55</v>
      </c>
      <c r="K470" s="17" t="s">
        <v>456</v>
      </c>
      <c r="L470" s="17" t="s">
        <v>140</v>
      </c>
      <c r="M470" s="16" t="s">
        <v>141</v>
      </c>
      <c r="N470" s="18" t="s">
        <v>59</v>
      </c>
      <c r="O470" s="16"/>
    </row>
    <row r="471" spans="1:15">
      <c r="A471" s="12" t="s">
        <v>3358</v>
      </c>
      <c r="B471" s="10" t="s">
        <v>3359</v>
      </c>
      <c r="C471" s="10" t="s">
        <v>3360</v>
      </c>
      <c r="D471" s="10" t="s">
        <v>3361</v>
      </c>
      <c r="E471" s="10" t="s">
        <v>3362</v>
      </c>
      <c r="F471" s="10" t="s">
        <v>3363</v>
      </c>
      <c r="G471" s="10" t="s">
        <v>3364</v>
      </c>
      <c r="H471" s="10" t="s">
        <v>3365</v>
      </c>
      <c r="I471" s="10"/>
      <c r="J471" s="13" t="s">
        <v>100</v>
      </c>
      <c r="K471" s="13" t="s">
        <v>67</v>
      </c>
      <c r="L471" s="13" t="s">
        <v>308</v>
      </c>
      <c r="M471" s="10" t="s">
        <v>58</v>
      </c>
      <c r="N471" s="14" t="s">
        <v>59</v>
      </c>
      <c r="O471" s="10"/>
    </row>
    <row r="472" spans="1:15">
      <c r="A472" s="12" t="s">
        <v>3366</v>
      </c>
      <c r="B472" s="10" t="s">
        <v>3359</v>
      </c>
      <c r="C472" s="10" t="s">
        <v>3367</v>
      </c>
      <c r="D472" s="10" t="s">
        <v>3368</v>
      </c>
      <c r="E472" s="10" t="s">
        <v>273</v>
      </c>
      <c r="F472" s="10" t="s">
        <v>3369</v>
      </c>
      <c r="G472" s="10" t="s">
        <v>3370</v>
      </c>
      <c r="H472" s="10" t="s">
        <v>3371</v>
      </c>
      <c r="I472" s="10"/>
      <c r="J472" s="13" t="s">
        <v>100</v>
      </c>
      <c r="K472" s="13" t="s">
        <v>101</v>
      </c>
      <c r="L472" s="13" t="s">
        <v>308</v>
      </c>
      <c r="M472" s="10" t="s">
        <v>58</v>
      </c>
      <c r="N472" s="14" t="s">
        <v>59</v>
      </c>
      <c r="O472" s="10"/>
    </row>
    <row r="473" spans="1:15">
      <c r="A473" s="12" t="s">
        <v>3372</v>
      </c>
      <c r="B473" s="10" t="s">
        <v>3359</v>
      </c>
      <c r="C473" s="10" t="s">
        <v>3373</v>
      </c>
      <c r="D473" s="10" t="s">
        <v>3374</v>
      </c>
      <c r="E473" s="10" t="s">
        <v>273</v>
      </c>
      <c r="F473" s="10" t="s">
        <v>3375</v>
      </c>
      <c r="G473" s="10" t="s">
        <v>3376</v>
      </c>
      <c r="H473" s="10" t="s">
        <v>3377</v>
      </c>
      <c r="I473" s="10"/>
      <c r="J473" s="13" t="s">
        <v>55</v>
      </c>
      <c r="K473" s="13" t="s">
        <v>56</v>
      </c>
      <c r="L473" s="13" t="s">
        <v>472</v>
      </c>
      <c r="M473" s="10" t="s">
        <v>58</v>
      </c>
      <c r="N473" s="14" t="s">
        <v>59</v>
      </c>
      <c r="O473" s="10"/>
    </row>
    <row r="474" spans="1:15">
      <c r="A474" s="12" t="s">
        <v>3378</v>
      </c>
      <c r="B474" s="10" t="s">
        <v>3359</v>
      </c>
      <c r="C474" s="10" t="s">
        <v>3379</v>
      </c>
      <c r="D474" s="10" t="s">
        <v>3380</v>
      </c>
      <c r="E474" s="10" t="s">
        <v>3381</v>
      </c>
      <c r="F474" s="10" t="s">
        <v>3382</v>
      </c>
      <c r="G474" s="10" t="s">
        <v>2554</v>
      </c>
      <c r="H474" s="10" t="s">
        <v>3383</v>
      </c>
      <c r="I474" s="10"/>
      <c r="J474" s="13" t="s">
        <v>55</v>
      </c>
      <c r="K474" s="13" t="s">
        <v>456</v>
      </c>
      <c r="L474" s="13" t="s">
        <v>140</v>
      </c>
      <c r="M474" s="10" t="s">
        <v>141</v>
      </c>
      <c r="N474" s="14" t="s">
        <v>59</v>
      </c>
      <c r="O474" s="10"/>
    </row>
    <row r="475" spans="1:15">
      <c r="A475" s="12" t="s">
        <v>3384</v>
      </c>
      <c r="B475" s="10" t="s">
        <v>3359</v>
      </c>
      <c r="C475" s="10" t="s">
        <v>3385</v>
      </c>
      <c r="D475" s="10" t="s">
        <v>3386</v>
      </c>
      <c r="E475" s="10" t="s">
        <v>273</v>
      </c>
      <c r="F475" s="10" t="s">
        <v>3387</v>
      </c>
      <c r="G475" s="10" t="s">
        <v>3388</v>
      </c>
      <c r="H475" s="10" t="s">
        <v>3389</v>
      </c>
      <c r="I475" s="10"/>
      <c r="J475" s="13" t="s">
        <v>100</v>
      </c>
      <c r="K475" s="13" t="s">
        <v>67</v>
      </c>
      <c r="L475" s="13" t="s">
        <v>308</v>
      </c>
      <c r="M475" s="10" t="s">
        <v>58</v>
      </c>
      <c r="N475" s="14" t="s">
        <v>59</v>
      </c>
      <c r="O475" s="10"/>
    </row>
    <row r="476" spans="1:15">
      <c r="A476" s="12" t="s">
        <v>3390</v>
      </c>
      <c r="B476" s="10" t="s">
        <v>3359</v>
      </c>
      <c r="C476" s="10" t="s">
        <v>3391</v>
      </c>
      <c r="D476" s="10" t="s">
        <v>3392</v>
      </c>
      <c r="E476" s="10" t="s">
        <v>1861</v>
      </c>
      <c r="F476" s="10" t="s">
        <v>3393</v>
      </c>
      <c r="G476" s="10" t="s">
        <v>668</v>
      </c>
      <c r="H476" s="10" t="s">
        <v>3394</v>
      </c>
      <c r="I476" s="10"/>
      <c r="J476" s="13" t="s">
        <v>100</v>
      </c>
      <c r="K476" s="13" t="s">
        <v>101</v>
      </c>
      <c r="L476" s="13" t="s">
        <v>81</v>
      </c>
      <c r="M476" s="10" t="s">
        <v>58</v>
      </c>
      <c r="N476" s="14" t="s">
        <v>59</v>
      </c>
      <c r="O476" s="10"/>
    </row>
    <row r="477" spans="1:15">
      <c r="A477" s="12" t="s">
        <v>3395</v>
      </c>
      <c r="B477" s="10" t="s">
        <v>3359</v>
      </c>
      <c r="C477" s="10" t="s">
        <v>3396</v>
      </c>
      <c r="D477" s="10" t="s">
        <v>3397</v>
      </c>
      <c r="E477" s="10" t="s">
        <v>3398</v>
      </c>
      <c r="F477" s="10" t="s">
        <v>3399</v>
      </c>
      <c r="G477" s="10" t="s">
        <v>3400</v>
      </c>
      <c r="H477" s="10" t="s">
        <v>3401</v>
      </c>
      <c r="I477" s="10"/>
      <c r="J477" s="13" t="s">
        <v>100</v>
      </c>
      <c r="K477" s="13" t="s">
        <v>67</v>
      </c>
      <c r="L477" s="13" t="s">
        <v>2449</v>
      </c>
      <c r="M477" s="10" t="s">
        <v>58</v>
      </c>
      <c r="N477" s="14" t="s">
        <v>59</v>
      </c>
      <c r="O477" s="10"/>
    </row>
    <row r="478" spans="1:15">
      <c r="A478" s="12" t="s">
        <v>3402</v>
      </c>
      <c r="B478" s="10" t="s">
        <v>3359</v>
      </c>
      <c r="C478" s="10" t="s">
        <v>3403</v>
      </c>
      <c r="D478" s="10" t="s">
        <v>3404</v>
      </c>
      <c r="E478" s="10" t="s">
        <v>3405</v>
      </c>
      <c r="F478" s="10" t="s">
        <v>3406</v>
      </c>
      <c r="G478" s="10" t="s">
        <v>3407</v>
      </c>
      <c r="H478" s="10" t="s">
        <v>3408</v>
      </c>
      <c r="I478" s="10"/>
      <c r="J478" s="13" t="s">
        <v>228</v>
      </c>
      <c r="K478" s="13" t="s">
        <v>101</v>
      </c>
      <c r="L478" s="13" t="s">
        <v>308</v>
      </c>
      <c r="M478" s="10" t="s">
        <v>58</v>
      </c>
      <c r="N478" s="14" t="s">
        <v>59</v>
      </c>
      <c r="O478" s="10"/>
    </row>
    <row r="479" spans="1:15">
      <c r="A479" s="12" t="s">
        <v>3409</v>
      </c>
      <c r="B479" s="10" t="s">
        <v>3359</v>
      </c>
      <c r="C479" s="10" t="s">
        <v>3410</v>
      </c>
      <c r="D479" s="10" t="s">
        <v>3411</v>
      </c>
      <c r="E479" s="10" t="s">
        <v>1893</v>
      </c>
      <c r="F479" s="10" t="s">
        <v>3412</v>
      </c>
      <c r="G479" s="10" t="s">
        <v>1895</v>
      </c>
      <c r="H479" s="10" t="s">
        <v>3413</v>
      </c>
      <c r="I479" s="10"/>
      <c r="J479" s="13" t="s">
        <v>55</v>
      </c>
      <c r="K479" s="13" t="s">
        <v>456</v>
      </c>
      <c r="L479" s="13" t="s">
        <v>441</v>
      </c>
      <c r="M479" s="10" t="s">
        <v>141</v>
      </c>
      <c r="N479" s="14" t="s">
        <v>59</v>
      </c>
      <c r="O479" s="10"/>
    </row>
    <row r="480" spans="1:15">
      <c r="A480" s="12" t="s">
        <v>3414</v>
      </c>
      <c r="B480" s="10" t="s">
        <v>3359</v>
      </c>
      <c r="C480" s="10" t="s">
        <v>3415</v>
      </c>
      <c r="D480" s="10" t="s">
        <v>3416</v>
      </c>
      <c r="E480" s="10" t="s">
        <v>3417</v>
      </c>
      <c r="F480" s="10" t="s">
        <v>3418</v>
      </c>
      <c r="G480" s="10" t="s">
        <v>3419</v>
      </c>
      <c r="H480" s="10" t="s">
        <v>3420</v>
      </c>
      <c r="I480" s="10"/>
      <c r="J480" s="13" t="s">
        <v>228</v>
      </c>
      <c r="K480" s="13" t="s">
        <v>101</v>
      </c>
      <c r="L480" s="13" t="s">
        <v>308</v>
      </c>
      <c r="M480" s="10" t="s">
        <v>58</v>
      </c>
      <c r="N480" s="14" t="s">
        <v>59</v>
      </c>
      <c r="O480" s="10"/>
    </row>
    <row r="481" spans="1:15">
      <c r="A481" s="12" t="s">
        <v>3421</v>
      </c>
      <c r="B481" s="10" t="s">
        <v>3359</v>
      </c>
      <c r="C481" s="10" t="s">
        <v>3422</v>
      </c>
      <c r="D481" s="10" t="s">
        <v>3423</v>
      </c>
      <c r="E481" s="10" t="s">
        <v>3424</v>
      </c>
      <c r="F481" s="10" t="s">
        <v>3425</v>
      </c>
      <c r="G481" s="10" t="s">
        <v>3426</v>
      </c>
      <c r="H481" s="10" t="s">
        <v>3427</v>
      </c>
      <c r="I481" s="10"/>
      <c r="J481" s="13" t="s">
        <v>100</v>
      </c>
      <c r="K481" s="13" t="s">
        <v>67</v>
      </c>
      <c r="L481" s="13" t="s">
        <v>284</v>
      </c>
      <c r="M481" s="10" t="s">
        <v>58</v>
      </c>
      <c r="N481" s="14" t="s">
        <v>59</v>
      </c>
      <c r="O481" s="10"/>
    </row>
    <row r="482" spans="1:15">
      <c r="A482" s="12" t="s">
        <v>3428</v>
      </c>
      <c r="B482" s="10" t="s">
        <v>3359</v>
      </c>
      <c r="C482" s="10" t="s">
        <v>3429</v>
      </c>
      <c r="D482" s="10" t="s">
        <v>3430</v>
      </c>
      <c r="E482" s="10" t="s">
        <v>3431</v>
      </c>
      <c r="F482" s="10" t="s">
        <v>3432</v>
      </c>
      <c r="G482" s="10" t="s">
        <v>3433</v>
      </c>
      <c r="H482" s="10" t="s">
        <v>3434</v>
      </c>
      <c r="I482" s="10"/>
      <c r="J482" s="13" t="s">
        <v>228</v>
      </c>
      <c r="K482" s="13" t="s">
        <v>101</v>
      </c>
      <c r="L482" s="13" t="s">
        <v>308</v>
      </c>
      <c r="M482" s="10" t="s">
        <v>58</v>
      </c>
      <c r="N482" s="14" t="s">
        <v>59</v>
      </c>
      <c r="O482" s="10"/>
    </row>
    <row r="483" spans="1:15">
      <c r="A483" s="12" t="s">
        <v>3435</v>
      </c>
      <c r="B483" s="10" t="s">
        <v>3359</v>
      </c>
      <c r="C483" s="10" t="s">
        <v>3436</v>
      </c>
      <c r="D483" s="10" t="s">
        <v>3437</v>
      </c>
      <c r="E483" s="10" t="s">
        <v>3438</v>
      </c>
      <c r="F483" s="10" t="s">
        <v>3439</v>
      </c>
      <c r="G483" s="10" t="s">
        <v>219</v>
      </c>
      <c r="H483" s="10" t="s">
        <v>3440</v>
      </c>
      <c r="I483" s="10"/>
      <c r="J483" s="13" t="s">
        <v>100</v>
      </c>
      <c r="K483" s="13" t="s">
        <v>67</v>
      </c>
      <c r="L483" s="13" t="s">
        <v>284</v>
      </c>
      <c r="M483" s="10" t="s">
        <v>58</v>
      </c>
      <c r="N483" s="14" t="s">
        <v>59</v>
      </c>
      <c r="O483" s="10"/>
    </row>
    <row r="484" spans="1:15">
      <c r="A484" s="12" t="s">
        <v>3441</v>
      </c>
      <c r="B484" s="10" t="s">
        <v>3359</v>
      </c>
      <c r="C484" s="10" t="s">
        <v>3442</v>
      </c>
      <c r="D484" s="10" t="s">
        <v>3443</v>
      </c>
      <c r="E484" s="10" t="s">
        <v>3444</v>
      </c>
      <c r="F484" s="10" t="s">
        <v>3445</v>
      </c>
      <c r="G484" s="10" t="s">
        <v>3446</v>
      </c>
      <c r="H484" s="10" t="s">
        <v>3447</v>
      </c>
      <c r="I484" s="10"/>
      <c r="J484" s="13" t="s">
        <v>55</v>
      </c>
      <c r="K484" s="13" t="s">
        <v>56</v>
      </c>
      <c r="L484" s="13" t="s">
        <v>3448</v>
      </c>
      <c r="M484" s="10" t="s">
        <v>58</v>
      </c>
      <c r="N484" s="14" t="s">
        <v>59</v>
      </c>
      <c r="O484" s="10"/>
    </row>
    <row r="485" spans="1:15">
      <c r="A485" s="12" t="s">
        <v>3449</v>
      </c>
      <c r="B485" s="10" t="s">
        <v>3359</v>
      </c>
      <c r="C485" s="10" t="s">
        <v>3450</v>
      </c>
      <c r="D485" s="10" t="s">
        <v>3451</v>
      </c>
      <c r="E485" s="10" t="s">
        <v>3452</v>
      </c>
      <c r="F485" s="10" t="s">
        <v>3453</v>
      </c>
      <c r="G485" s="10" t="s">
        <v>3454</v>
      </c>
      <c r="H485" s="10" t="s">
        <v>3455</v>
      </c>
      <c r="I485" s="10"/>
      <c r="J485" s="13" t="s">
        <v>100</v>
      </c>
      <c r="K485" s="13" t="s">
        <v>67</v>
      </c>
      <c r="L485" s="13" t="s">
        <v>284</v>
      </c>
      <c r="M485" s="10" t="s">
        <v>58</v>
      </c>
      <c r="N485" s="14" t="s">
        <v>59</v>
      </c>
      <c r="O485" s="10"/>
    </row>
    <row r="486" spans="1:15">
      <c r="A486" s="12" t="s">
        <v>3456</v>
      </c>
      <c r="B486" s="10" t="s">
        <v>3359</v>
      </c>
      <c r="C486" s="10" t="s">
        <v>3457</v>
      </c>
      <c r="D486" s="10" t="s">
        <v>3458</v>
      </c>
      <c r="E486" s="10" t="s">
        <v>3452</v>
      </c>
      <c r="F486" s="10" t="s">
        <v>3459</v>
      </c>
      <c r="G486" s="10" t="s">
        <v>3460</v>
      </c>
      <c r="H486" s="10" t="s">
        <v>3461</v>
      </c>
      <c r="I486" s="10"/>
      <c r="J486" s="13" t="s">
        <v>100</v>
      </c>
      <c r="K486" s="13" t="s">
        <v>67</v>
      </c>
      <c r="L486" s="13" t="s">
        <v>236</v>
      </c>
      <c r="M486" s="10" t="s">
        <v>58</v>
      </c>
      <c r="N486" s="14" t="s">
        <v>59</v>
      </c>
      <c r="O486" s="10"/>
    </row>
    <row r="487" spans="1:15">
      <c r="A487" s="12" t="s">
        <v>3462</v>
      </c>
      <c r="B487" s="10" t="s">
        <v>3359</v>
      </c>
      <c r="C487" s="10" t="s">
        <v>3463</v>
      </c>
      <c r="D487" s="10" t="s">
        <v>3464</v>
      </c>
      <c r="E487" s="10" t="s">
        <v>3465</v>
      </c>
      <c r="F487" s="10" t="s">
        <v>3466</v>
      </c>
      <c r="G487" s="10" t="s">
        <v>3467</v>
      </c>
      <c r="H487" s="10" t="s">
        <v>3468</v>
      </c>
      <c r="I487" s="10"/>
      <c r="J487" s="13" t="s">
        <v>228</v>
      </c>
      <c r="K487" s="13" t="s">
        <v>101</v>
      </c>
      <c r="L487" s="13" t="s">
        <v>308</v>
      </c>
      <c r="M487" s="10" t="s">
        <v>58</v>
      </c>
      <c r="N487" s="14" t="s">
        <v>59</v>
      </c>
      <c r="O487" s="10"/>
    </row>
    <row r="488" spans="1:15">
      <c r="A488" s="12" t="s">
        <v>3469</v>
      </c>
      <c r="B488" s="10" t="s">
        <v>3359</v>
      </c>
      <c r="C488" s="10" t="s">
        <v>3470</v>
      </c>
      <c r="D488" s="10" t="s">
        <v>3471</v>
      </c>
      <c r="E488" s="10" t="s">
        <v>3472</v>
      </c>
      <c r="F488" s="10" t="s">
        <v>3473</v>
      </c>
      <c r="G488" s="10" t="s">
        <v>3344</v>
      </c>
      <c r="H488" s="10" t="s">
        <v>3474</v>
      </c>
      <c r="I488" s="10"/>
      <c r="J488" s="13" t="s">
        <v>228</v>
      </c>
      <c r="K488" s="13" t="s">
        <v>101</v>
      </c>
      <c r="L488" s="13" t="s">
        <v>308</v>
      </c>
      <c r="M488" s="10" t="s">
        <v>58</v>
      </c>
      <c r="N488" s="14" t="s">
        <v>59</v>
      </c>
      <c r="O488" s="10"/>
    </row>
    <row r="489" spans="1:15">
      <c r="A489" s="15" t="s">
        <v>3475</v>
      </c>
      <c r="B489" s="16" t="s">
        <v>2203</v>
      </c>
      <c r="C489" s="16" t="s">
        <v>3476</v>
      </c>
      <c r="D489" s="16" t="s">
        <v>3477</v>
      </c>
      <c r="E489" s="16" t="s">
        <v>3478</v>
      </c>
      <c r="F489" s="16" t="s">
        <v>3479</v>
      </c>
      <c r="G489" s="16" t="s">
        <v>3480</v>
      </c>
      <c r="H489" s="16" t="s">
        <v>3481</v>
      </c>
      <c r="I489" s="16"/>
      <c r="J489" s="17" t="s">
        <v>55</v>
      </c>
      <c r="K489" s="17" t="s">
        <v>456</v>
      </c>
      <c r="L489" s="17" t="s">
        <v>2203</v>
      </c>
      <c r="M489" s="16" t="s">
        <v>58</v>
      </c>
      <c r="N489" s="18" t="s">
        <v>59</v>
      </c>
      <c r="O489" s="16" t="s">
        <v>3482</v>
      </c>
    </row>
    <row r="490" spans="1:15">
      <c r="A490" s="15" t="s">
        <v>3483</v>
      </c>
      <c r="B490" s="16" t="s">
        <v>2203</v>
      </c>
      <c r="C490" s="16" t="s">
        <v>3484</v>
      </c>
      <c r="D490" s="16" t="s">
        <v>3485</v>
      </c>
      <c r="E490" s="16" t="s">
        <v>3486</v>
      </c>
      <c r="F490" s="16" t="s">
        <v>3487</v>
      </c>
      <c r="G490" s="16" t="s">
        <v>470</v>
      </c>
      <c r="H490" s="16" t="s">
        <v>3488</v>
      </c>
      <c r="I490" s="16"/>
      <c r="J490" s="17" t="s">
        <v>55</v>
      </c>
      <c r="K490" s="17" t="s">
        <v>456</v>
      </c>
      <c r="L490" s="17" t="s">
        <v>140</v>
      </c>
      <c r="M490" s="16" t="s">
        <v>141</v>
      </c>
      <c r="N490" s="18" t="s">
        <v>59</v>
      </c>
      <c r="O490" s="16" t="s">
        <v>3489</v>
      </c>
    </row>
    <row r="491" spans="1:15">
      <c r="A491" s="15" t="s">
        <v>3490</v>
      </c>
      <c r="B491" s="16" t="s">
        <v>2203</v>
      </c>
      <c r="C491" s="16" t="s">
        <v>3491</v>
      </c>
      <c r="D491" s="16" t="s">
        <v>3492</v>
      </c>
      <c r="E491" s="16" t="s">
        <v>1922</v>
      </c>
      <c r="F491" s="16" t="s">
        <v>3493</v>
      </c>
      <c r="G491" s="16" t="s">
        <v>3356</v>
      </c>
      <c r="H491" s="16" t="s">
        <v>3494</v>
      </c>
      <c r="I491" s="16"/>
      <c r="J491" s="17" t="s">
        <v>55</v>
      </c>
      <c r="K491" s="17" t="s">
        <v>456</v>
      </c>
      <c r="L491" s="17" t="s">
        <v>140</v>
      </c>
      <c r="M491" s="16" t="s">
        <v>141</v>
      </c>
      <c r="N491" s="18" t="s">
        <v>59</v>
      </c>
      <c r="O491" s="16"/>
    </row>
    <row r="492" spans="1:15">
      <c r="A492" s="15" t="s">
        <v>3495</v>
      </c>
      <c r="B492" s="16" t="s">
        <v>2203</v>
      </c>
      <c r="C492" s="16" t="s">
        <v>3496</v>
      </c>
      <c r="D492" s="16" t="s">
        <v>3497</v>
      </c>
      <c r="E492" s="16" t="s">
        <v>3498</v>
      </c>
      <c r="F492" s="16" t="s">
        <v>3499</v>
      </c>
      <c r="G492" s="16" t="s">
        <v>3500</v>
      </c>
      <c r="H492" s="16" t="s">
        <v>3501</v>
      </c>
      <c r="I492" s="16"/>
      <c r="J492" s="17" t="s">
        <v>55</v>
      </c>
      <c r="K492" s="17" t="s">
        <v>456</v>
      </c>
      <c r="L492" s="17" t="s">
        <v>140</v>
      </c>
      <c r="M492" s="16" t="s">
        <v>141</v>
      </c>
      <c r="N492" s="18" t="s">
        <v>59</v>
      </c>
      <c r="O492" s="16" t="s">
        <v>3502</v>
      </c>
    </row>
    <row r="493" spans="1:15">
      <c r="A493" s="15" t="s">
        <v>3503</v>
      </c>
      <c r="B493" s="16" t="s">
        <v>2203</v>
      </c>
      <c r="C493" s="16" t="s">
        <v>3504</v>
      </c>
      <c r="D493" s="16" t="s">
        <v>3505</v>
      </c>
      <c r="E493" s="16" t="s">
        <v>3506</v>
      </c>
      <c r="F493" s="16" t="s">
        <v>3507</v>
      </c>
      <c r="G493" s="16" t="s">
        <v>3508</v>
      </c>
      <c r="H493" s="16" t="s">
        <v>3509</v>
      </c>
      <c r="I493" s="16"/>
      <c r="J493" s="17" t="s">
        <v>55</v>
      </c>
      <c r="K493" s="17" t="s">
        <v>456</v>
      </c>
      <c r="L493" s="17" t="s">
        <v>441</v>
      </c>
      <c r="M493" s="16" t="s">
        <v>141</v>
      </c>
      <c r="N493" s="18" t="s">
        <v>59</v>
      </c>
      <c r="O493" s="16"/>
    </row>
    <row r="494" spans="1:15">
      <c r="A494" s="15" t="s">
        <v>3510</v>
      </c>
      <c r="B494" s="16" t="s">
        <v>2203</v>
      </c>
      <c r="C494" s="16" t="s">
        <v>3511</v>
      </c>
      <c r="D494" s="16" t="s">
        <v>3512</v>
      </c>
      <c r="E494" s="16" t="s">
        <v>3513</v>
      </c>
      <c r="F494" s="16" t="s">
        <v>3514</v>
      </c>
      <c r="G494" s="16" t="s">
        <v>3515</v>
      </c>
      <c r="H494" s="16" t="s">
        <v>3516</v>
      </c>
      <c r="I494" s="16"/>
      <c r="J494" s="17" t="s">
        <v>55</v>
      </c>
      <c r="K494" s="17" t="s">
        <v>456</v>
      </c>
      <c r="L494" s="17" t="s">
        <v>140</v>
      </c>
      <c r="M494" s="16" t="s">
        <v>141</v>
      </c>
      <c r="N494" s="18" t="s">
        <v>59</v>
      </c>
      <c r="O494" s="16"/>
    </row>
    <row r="495" spans="1:15">
      <c r="A495" s="15" t="s">
        <v>3517</v>
      </c>
      <c r="B495" s="16" t="s">
        <v>2203</v>
      </c>
      <c r="C495" s="16" t="s">
        <v>3518</v>
      </c>
      <c r="D495" s="16" t="s">
        <v>3519</v>
      </c>
      <c r="E495" s="16" t="s">
        <v>3520</v>
      </c>
      <c r="F495" s="16" t="s">
        <v>3521</v>
      </c>
      <c r="G495" s="16" t="s">
        <v>3522</v>
      </c>
      <c r="H495" s="16" t="s">
        <v>3523</v>
      </c>
      <c r="I495" s="16"/>
      <c r="J495" s="17" t="s">
        <v>55</v>
      </c>
      <c r="K495" s="17" t="s">
        <v>456</v>
      </c>
      <c r="L495" s="17" t="s">
        <v>156</v>
      </c>
      <c r="M495" s="16" t="s">
        <v>58</v>
      </c>
      <c r="N495" s="18" t="s">
        <v>59</v>
      </c>
      <c r="O495" s="16"/>
    </row>
    <row r="496" spans="1:15">
      <c r="A496" s="15" t="s">
        <v>3524</v>
      </c>
      <c r="B496" s="16" t="s">
        <v>2203</v>
      </c>
      <c r="C496" s="16" t="s">
        <v>3525</v>
      </c>
      <c r="D496" s="16" t="s">
        <v>3526</v>
      </c>
      <c r="E496" s="16" t="s">
        <v>2660</v>
      </c>
      <c r="F496" s="16" t="s">
        <v>3527</v>
      </c>
      <c r="G496" s="16" t="s">
        <v>3528</v>
      </c>
      <c r="H496" s="16" t="s">
        <v>3529</v>
      </c>
      <c r="I496" s="16"/>
      <c r="J496" s="17" t="s">
        <v>55</v>
      </c>
      <c r="K496" s="17" t="s">
        <v>56</v>
      </c>
      <c r="L496" s="17" t="s">
        <v>156</v>
      </c>
      <c r="M496" s="16" t="s">
        <v>58</v>
      </c>
      <c r="N496" s="18" t="s">
        <v>59</v>
      </c>
      <c r="O496" s="16"/>
    </row>
    <row r="497" spans="1:15">
      <c r="A497" s="15" t="s">
        <v>3530</v>
      </c>
      <c r="B497" s="16" t="s">
        <v>2203</v>
      </c>
      <c r="C497" s="16" t="s">
        <v>3531</v>
      </c>
      <c r="D497" s="16" t="s">
        <v>3532</v>
      </c>
      <c r="E497" s="16" t="s">
        <v>2660</v>
      </c>
      <c r="F497" s="16" t="s">
        <v>3533</v>
      </c>
      <c r="G497" s="16" t="s">
        <v>3534</v>
      </c>
      <c r="H497" s="16" t="s">
        <v>3535</v>
      </c>
      <c r="I497" s="16"/>
      <c r="J497" s="17" t="s">
        <v>55</v>
      </c>
      <c r="K497" s="17" t="s">
        <v>456</v>
      </c>
      <c r="L497" s="17" t="s">
        <v>140</v>
      </c>
      <c r="M497" s="16" t="s">
        <v>141</v>
      </c>
      <c r="N497" s="18" t="s">
        <v>59</v>
      </c>
      <c r="O497" s="16"/>
    </row>
    <row r="498" spans="1:15">
      <c r="A498" s="15" t="s">
        <v>3536</v>
      </c>
      <c r="B498" s="16" t="s">
        <v>2203</v>
      </c>
      <c r="C498" s="16" t="s">
        <v>3537</v>
      </c>
      <c r="D498" s="16" t="s">
        <v>3538</v>
      </c>
      <c r="E498" s="16" t="s">
        <v>3539</v>
      </c>
      <c r="F498" s="16" t="s">
        <v>3540</v>
      </c>
      <c r="G498" s="16" t="s">
        <v>3541</v>
      </c>
      <c r="H498" s="16" t="s">
        <v>3542</v>
      </c>
      <c r="I498" s="16"/>
      <c r="J498" s="17" t="s">
        <v>55</v>
      </c>
      <c r="K498" s="17" t="s">
        <v>56</v>
      </c>
      <c r="L498" s="17" t="s">
        <v>140</v>
      </c>
      <c r="M498" s="16" t="s">
        <v>58</v>
      </c>
      <c r="N498" s="18" t="s">
        <v>59</v>
      </c>
      <c r="O498" s="16"/>
    </row>
    <row r="499" spans="1:15">
      <c r="A499" s="15" t="s">
        <v>3543</v>
      </c>
      <c r="B499" s="16" t="s">
        <v>2203</v>
      </c>
      <c r="C499" s="16" t="s">
        <v>3544</v>
      </c>
      <c r="D499" s="16" t="s">
        <v>3545</v>
      </c>
      <c r="E499" s="16" t="s">
        <v>3546</v>
      </c>
      <c r="F499" s="16" t="s">
        <v>3547</v>
      </c>
      <c r="G499" s="16" t="s">
        <v>3548</v>
      </c>
      <c r="H499" s="16" t="s">
        <v>3549</v>
      </c>
      <c r="I499" s="16"/>
      <c r="J499" s="17" t="s">
        <v>55</v>
      </c>
      <c r="K499" s="17" t="s">
        <v>56</v>
      </c>
      <c r="L499" s="17" t="s">
        <v>2203</v>
      </c>
      <c r="M499" s="16" t="s">
        <v>141</v>
      </c>
      <c r="N499" s="18" t="s">
        <v>59</v>
      </c>
      <c r="O499" s="16"/>
    </row>
    <row r="500" spans="1:15">
      <c r="A500" s="15" t="s">
        <v>3550</v>
      </c>
      <c r="B500" s="16" t="s">
        <v>2203</v>
      </c>
      <c r="C500" s="16" t="s">
        <v>3551</v>
      </c>
      <c r="D500" s="16" t="s">
        <v>3552</v>
      </c>
      <c r="E500" s="16" t="s">
        <v>3553</v>
      </c>
      <c r="F500" s="16" t="s">
        <v>3554</v>
      </c>
      <c r="G500" s="16" t="s">
        <v>3555</v>
      </c>
      <c r="H500" s="16" t="s">
        <v>3556</v>
      </c>
      <c r="I500" s="16"/>
      <c r="J500" s="17" t="s">
        <v>55</v>
      </c>
      <c r="K500" s="17" t="s">
        <v>456</v>
      </c>
      <c r="L500" s="17" t="s">
        <v>140</v>
      </c>
      <c r="M500" s="16" t="s">
        <v>58</v>
      </c>
      <c r="N500" s="18" t="s">
        <v>59</v>
      </c>
      <c r="O500" s="16" t="s">
        <v>3557</v>
      </c>
    </row>
    <row r="501" spans="1:15">
      <c r="A501" s="15" t="s">
        <v>3558</v>
      </c>
      <c r="B501" s="16" t="s">
        <v>2203</v>
      </c>
      <c r="C501" s="16" t="s">
        <v>3559</v>
      </c>
      <c r="D501" s="16" t="s">
        <v>3560</v>
      </c>
      <c r="E501" s="16" t="s">
        <v>3561</v>
      </c>
      <c r="F501" s="16" t="s">
        <v>3562</v>
      </c>
      <c r="G501" s="16" t="s">
        <v>3563</v>
      </c>
      <c r="H501" s="16" t="s">
        <v>3564</v>
      </c>
      <c r="I501" s="16"/>
      <c r="J501" s="17" t="s">
        <v>55</v>
      </c>
      <c r="K501" s="17" t="s">
        <v>456</v>
      </c>
      <c r="L501" s="17" t="s">
        <v>140</v>
      </c>
      <c r="M501" s="16" t="s">
        <v>141</v>
      </c>
      <c r="N501" s="18" t="s">
        <v>59</v>
      </c>
      <c r="O501" s="16"/>
    </row>
    <row r="502" spans="1:15">
      <c r="A502" s="15" t="s">
        <v>3565</v>
      </c>
      <c r="B502" s="16" t="s">
        <v>2203</v>
      </c>
      <c r="C502" s="16" t="s">
        <v>3566</v>
      </c>
      <c r="D502" s="16" t="s">
        <v>3567</v>
      </c>
      <c r="E502" s="16" t="s">
        <v>2660</v>
      </c>
      <c r="F502" s="16" t="s">
        <v>3568</v>
      </c>
      <c r="G502" s="16" t="s">
        <v>3569</v>
      </c>
      <c r="H502" s="16" t="s">
        <v>3570</v>
      </c>
      <c r="I502" s="16"/>
      <c r="J502" s="17" t="s">
        <v>55</v>
      </c>
      <c r="K502" s="17" t="s">
        <v>456</v>
      </c>
      <c r="L502" s="17" t="s">
        <v>2203</v>
      </c>
      <c r="M502" s="16" t="s">
        <v>58</v>
      </c>
      <c r="N502" s="18" t="s">
        <v>59</v>
      </c>
      <c r="O502" s="16"/>
    </row>
    <row r="503" spans="1:15">
      <c r="A503" s="15" t="s">
        <v>3571</v>
      </c>
      <c r="B503" s="16" t="s">
        <v>2203</v>
      </c>
      <c r="C503" s="16" t="s">
        <v>3572</v>
      </c>
      <c r="D503" s="16" t="s">
        <v>3573</v>
      </c>
      <c r="E503" s="16" t="s">
        <v>2660</v>
      </c>
      <c r="F503" s="16" t="s">
        <v>3574</v>
      </c>
      <c r="G503" s="16" t="s">
        <v>3575</v>
      </c>
      <c r="H503" s="16" t="s">
        <v>3576</v>
      </c>
      <c r="I503" s="16"/>
      <c r="J503" s="17" t="s">
        <v>100</v>
      </c>
      <c r="K503" s="17" t="s">
        <v>67</v>
      </c>
      <c r="L503" s="17" t="s">
        <v>2203</v>
      </c>
      <c r="M503" s="16" t="s">
        <v>58</v>
      </c>
      <c r="N503" s="18" t="s">
        <v>59</v>
      </c>
      <c r="O503" s="16"/>
    </row>
    <row r="504" spans="1:15">
      <c r="A504" s="15" t="s">
        <v>3577</v>
      </c>
      <c r="B504" s="16" t="s">
        <v>2203</v>
      </c>
      <c r="C504" s="16" t="s">
        <v>3578</v>
      </c>
      <c r="D504" s="16" t="s">
        <v>3579</v>
      </c>
      <c r="E504" s="16" t="s">
        <v>2660</v>
      </c>
      <c r="F504" s="16" t="s">
        <v>3580</v>
      </c>
      <c r="G504" s="16" t="s">
        <v>3581</v>
      </c>
      <c r="H504" s="16" t="s">
        <v>3582</v>
      </c>
      <c r="I504" s="16"/>
      <c r="J504" s="17" t="s">
        <v>100</v>
      </c>
      <c r="K504" s="17" t="s">
        <v>67</v>
      </c>
      <c r="L504" s="17" t="s">
        <v>2203</v>
      </c>
      <c r="M504" s="16" t="s">
        <v>58</v>
      </c>
      <c r="N504" s="18" t="s">
        <v>59</v>
      </c>
      <c r="O504" s="16"/>
    </row>
    <row r="505" spans="1:15">
      <c r="A505" s="15" t="s">
        <v>3583</v>
      </c>
      <c r="B505" s="16" t="s">
        <v>2203</v>
      </c>
      <c r="C505" s="16" t="s">
        <v>3584</v>
      </c>
      <c r="D505" s="16" t="s">
        <v>3585</v>
      </c>
      <c r="E505" s="16" t="s">
        <v>3586</v>
      </c>
      <c r="F505" s="16" t="s">
        <v>3587</v>
      </c>
      <c r="G505" s="16" t="s">
        <v>3588</v>
      </c>
      <c r="H505" s="16" t="s">
        <v>3589</v>
      </c>
      <c r="I505" s="16"/>
      <c r="J505" s="17" t="s">
        <v>55</v>
      </c>
      <c r="K505" s="17" t="s">
        <v>56</v>
      </c>
      <c r="L505" s="17" t="s">
        <v>2203</v>
      </c>
      <c r="M505" s="16" t="s">
        <v>58</v>
      </c>
      <c r="N505" s="18" t="s">
        <v>59</v>
      </c>
      <c r="O505" s="16"/>
    </row>
    <row r="506" spans="1:15">
      <c r="A506" s="15" t="s">
        <v>3590</v>
      </c>
      <c r="B506" s="16" t="s">
        <v>2203</v>
      </c>
      <c r="C506" s="16" t="s">
        <v>3591</v>
      </c>
      <c r="D506" s="16" t="s">
        <v>3592</v>
      </c>
      <c r="E506" s="16" t="s">
        <v>3593</v>
      </c>
      <c r="F506" s="16" t="s">
        <v>3594</v>
      </c>
      <c r="G506" s="16" t="s">
        <v>3595</v>
      </c>
      <c r="H506" s="16" t="s">
        <v>3596</v>
      </c>
      <c r="I506" s="16"/>
      <c r="J506" s="17" t="s">
        <v>55</v>
      </c>
      <c r="K506" s="17" t="s">
        <v>456</v>
      </c>
      <c r="L506" s="17" t="s">
        <v>3597</v>
      </c>
      <c r="M506" s="16" t="s">
        <v>2255</v>
      </c>
      <c r="N506" s="18" t="s">
        <v>59</v>
      </c>
      <c r="O506" s="16"/>
    </row>
    <row r="507" spans="1:15">
      <c r="A507" s="15" t="s">
        <v>3598</v>
      </c>
      <c r="B507" s="16" t="s">
        <v>2203</v>
      </c>
      <c r="C507" s="16" t="s">
        <v>3599</v>
      </c>
      <c r="D507" s="16" t="s">
        <v>3600</v>
      </c>
      <c r="E507" s="16" t="s">
        <v>423</v>
      </c>
      <c r="F507" s="16" t="s">
        <v>3601</v>
      </c>
      <c r="G507" s="16" t="s">
        <v>3602</v>
      </c>
      <c r="H507" s="16" t="s">
        <v>3603</v>
      </c>
      <c r="I507" s="16"/>
      <c r="J507" s="17" t="s">
        <v>55</v>
      </c>
      <c r="K507" s="17" t="s">
        <v>56</v>
      </c>
      <c r="L507" s="17" t="s">
        <v>2203</v>
      </c>
      <c r="M507" s="16" t="s">
        <v>141</v>
      </c>
      <c r="N507" s="18" t="s">
        <v>59</v>
      </c>
      <c r="O507" s="16"/>
    </row>
    <row r="508" spans="1:15">
      <c r="A508" s="15" t="s">
        <v>3604</v>
      </c>
      <c r="B508" s="16" t="s">
        <v>2203</v>
      </c>
      <c r="C508" s="16" t="s">
        <v>3605</v>
      </c>
      <c r="D508" s="16" t="s">
        <v>3606</v>
      </c>
      <c r="E508" s="16" t="s">
        <v>3607</v>
      </c>
      <c r="F508" s="16" t="s">
        <v>3608</v>
      </c>
      <c r="G508" s="16" t="s">
        <v>3609</v>
      </c>
      <c r="H508" s="16" t="s">
        <v>3610</v>
      </c>
      <c r="I508" s="16"/>
      <c r="J508" s="17" t="s">
        <v>55</v>
      </c>
      <c r="K508" s="17" t="s">
        <v>456</v>
      </c>
      <c r="L508" s="17" t="s">
        <v>140</v>
      </c>
      <c r="M508" s="16" t="s">
        <v>141</v>
      </c>
      <c r="N508" s="18" t="s">
        <v>59</v>
      </c>
      <c r="O508" s="16"/>
    </row>
    <row r="509" spans="1:15">
      <c r="A509" s="15" t="s">
        <v>3611</v>
      </c>
      <c r="B509" s="16" t="s">
        <v>2203</v>
      </c>
      <c r="C509" s="16" t="s">
        <v>3612</v>
      </c>
      <c r="D509" s="16" t="s">
        <v>3613</v>
      </c>
      <c r="E509" s="16" t="s">
        <v>3607</v>
      </c>
      <c r="F509" s="16" t="s">
        <v>3614</v>
      </c>
      <c r="G509" s="16" t="s">
        <v>3615</v>
      </c>
      <c r="H509" s="16" t="s">
        <v>3616</v>
      </c>
      <c r="I509" s="16"/>
      <c r="J509" s="17" t="s">
        <v>100</v>
      </c>
      <c r="K509" s="17" t="s">
        <v>67</v>
      </c>
      <c r="L509" s="17" t="s">
        <v>236</v>
      </c>
      <c r="M509" s="16" t="s">
        <v>141</v>
      </c>
      <c r="N509" s="18" t="s">
        <v>59</v>
      </c>
      <c r="O509" s="16"/>
    </row>
    <row r="510" spans="1:15">
      <c r="A510" s="15" t="s">
        <v>3617</v>
      </c>
      <c r="B510" s="16" t="s">
        <v>2203</v>
      </c>
      <c r="C510" s="16" t="s">
        <v>3618</v>
      </c>
      <c r="D510" s="16" t="s">
        <v>3619</v>
      </c>
      <c r="E510" s="16" t="s">
        <v>3620</v>
      </c>
      <c r="F510" s="16" t="s">
        <v>3621</v>
      </c>
      <c r="G510" s="16" t="s">
        <v>3622</v>
      </c>
      <c r="H510" s="16" t="s">
        <v>3623</v>
      </c>
      <c r="I510" s="16"/>
      <c r="J510" s="17" t="s">
        <v>100</v>
      </c>
      <c r="K510" s="17" t="s">
        <v>67</v>
      </c>
      <c r="L510" s="17" t="s">
        <v>2203</v>
      </c>
      <c r="M510" s="16" t="s">
        <v>141</v>
      </c>
      <c r="N510" s="18" t="s">
        <v>59</v>
      </c>
      <c r="O510" s="16"/>
    </row>
    <row r="511" spans="1:15">
      <c r="A511" s="15" t="s">
        <v>3624</v>
      </c>
      <c r="B511" s="16" t="s">
        <v>2203</v>
      </c>
      <c r="C511" s="16" t="s">
        <v>3625</v>
      </c>
      <c r="D511" s="16" t="s">
        <v>3626</v>
      </c>
      <c r="E511" s="16" t="s">
        <v>3627</v>
      </c>
      <c r="F511" s="16" t="s">
        <v>3628</v>
      </c>
      <c r="G511" s="16" t="s">
        <v>3629</v>
      </c>
      <c r="H511" s="16" t="s">
        <v>3630</v>
      </c>
      <c r="I511" s="16"/>
      <c r="J511" s="17" t="s">
        <v>100</v>
      </c>
      <c r="K511" s="17" t="s">
        <v>56</v>
      </c>
      <c r="L511" s="17" t="s">
        <v>2203</v>
      </c>
      <c r="M511" s="16" t="s">
        <v>58</v>
      </c>
      <c r="N511" s="18" t="s">
        <v>59</v>
      </c>
      <c r="O511" s="16"/>
    </row>
    <row r="512" spans="1:15">
      <c r="A512" s="15" t="s">
        <v>3631</v>
      </c>
      <c r="B512" s="16" t="s">
        <v>2203</v>
      </c>
      <c r="C512" s="16" t="s">
        <v>3632</v>
      </c>
      <c r="D512" s="16" t="s">
        <v>3633</v>
      </c>
      <c r="E512" s="16" t="s">
        <v>2660</v>
      </c>
      <c r="F512" s="16" t="s">
        <v>3634</v>
      </c>
      <c r="G512" s="16" t="s">
        <v>3635</v>
      </c>
      <c r="H512" s="16" t="s">
        <v>3636</v>
      </c>
      <c r="I512" s="16"/>
      <c r="J512" s="17" t="s">
        <v>100</v>
      </c>
      <c r="K512" s="17" t="s">
        <v>67</v>
      </c>
      <c r="L512" s="17" t="s">
        <v>2203</v>
      </c>
      <c r="M512" s="16" t="s">
        <v>58</v>
      </c>
      <c r="N512" s="18" t="s">
        <v>59</v>
      </c>
      <c r="O512" s="16"/>
    </row>
    <row r="513" spans="1:15">
      <c r="A513" s="15" t="s">
        <v>3637</v>
      </c>
      <c r="B513" s="16" t="s">
        <v>2203</v>
      </c>
      <c r="C513" s="16" t="s">
        <v>3638</v>
      </c>
      <c r="D513" s="16" t="s">
        <v>3639</v>
      </c>
      <c r="E513" s="16" t="s">
        <v>3640</v>
      </c>
      <c r="F513" s="16" t="s">
        <v>3641</v>
      </c>
      <c r="G513" s="16" t="s">
        <v>3642</v>
      </c>
      <c r="H513" s="16" t="s">
        <v>3643</v>
      </c>
      <c r="I513" s="16"/>
      <c r="J513" s="17" t="s">
        <v>100</v>
      </c>
      <c r="K513" s="17" t="s">
        <v>67</v>
      </c>
      <c r="L513" s="17" t="s">
        <v>140</v>
      </c>
      <c r="M513" s="16" t="s">
        <v>58</v>
      </c>
      <c r="N513" s="18" t="s">
        <v>59</v>
      </c>
      <c r="O513" s="16"/>
    </row>
    <row r="514" spans="1:15">
      <c r="A514" s="15" t="s">
        <v>3644</v>
      </c>
      <c r="B514" s="16" t="s">
        <v>2203</v>
      </c>
      <c r="C514" s="16" t="s">
        <v>3645</v>
      </c>
      <c r="D514" s="16" t="s">
        <v>3646</v>
      </c>
      <c r="E514" s="16" t="s">
        <v>3647</v>
      </c>
      <c r="F514" s="16" t="s">
        <v>3648</v>
      </c>
      <c r="G514" s="16" t="s">
        <v>3649</v>
      </c>
      <c r="H514" s="16" t="s">
        <v>3650</v>
      </c>
      <c r="I514" s="16"/>
      <c r="J514" s="17" t="s">
        <v>100</v>
      </c>
      <c r="K514" s="17" t="s">
        <v>56</v>
      </c>
      <c r="L514" s="17" t="s">
        <v>140</v>
      </c>
      <c r="M514" s="16" t="s">
        <v>141</v>
      </c>
      <c r="N514" s="18" t="s">
        <v>59</v>
      </c>
      <c r="O514" s="16"/>
    </row>
    <row r="515" spans="1:15">
      <c r="A515" s="15" t="s">
        <v>3651</v>
      </c>
      <c r="B515" s="16" t="s">
        <v>2203</v>
      </c>
      <c r="C515" s="16" t="s">
        <v>3652</v>
      </c>
      <c r="D515" s="16" t="s">
        <v>3653</v>
      </c>
      <c r="E515" s="16" t="s">
        <v>2660</v>
      </c>
      <c r="F515" s="16" t="s">
        <v>3654</v>
      </c>
      <c r="G515" s="16" t="s">
        <v>3655</v>
      </c>
      <c r="H515" s="16" t="s">
        <v>3656</v>
      </c>
      <c r="I515" s="16"/>
      <c r="J515" s="17" t="s">
        <v>100</v>
      </c>
      <c r="K515" s="17" t="s">
        <v>67</v>
      </c>
      <c r="L515" s="17" t="s">
        <v>2124</v>
      </c>
      <c r="M515" s="16" t="s">
        <v>58</v>
      </c>
      <c r="N515" s="18" t="s">
        <v>59</v>
      </c>
      <c r="O515" s="16"/>
    </row>
    <row r="516" spans="1:15">
      <c r="A516" s="15" t="s">
        <v>3657</v>
      </c>
      <c r="B516" s="16" t="s">
        <v>2203</v>
      </c>
      <c r="C516" s="16" t="s">
        <v>3658</v>
      </c>
      <c r="D516" s="16" t="s">
        <v>3659</v>
      </c>
      <c r="E516" s="16" t="s">
        <v>2660</v>
      </c>
      <c r="F516" s="16" t="s">
        <v>3660</v>
      </c>
      <c r="G516" s="16" t="s">
        <v>3661</v>
      </c>
      <c r="H516" s="16" t="s">
        <v>3662</v>
      </c>
      <c r="I516" s="16"/>
      <c r="J516" s="17" t="s">
        <v>228</v>
      </c>
      <c r="K516" s="17" t="s">
        <v>101</v>
      </c>
      <c r="L516" s="17" t="s">
        <v>2203</v>
      </c>
      <c r="M516" s="16" t="s">
        <v>58</v>
      </c>
      <c r="N516" s="18" t="s">
        <v>59</v>
      </c>
      <c r="O516" s="16"/>
    </row>
    <row r="517" spans="1:15">
      <c r="A517" s="15" t="s">
        <v>3663</v>
      </c>
      <c r="B517" s="16" t="s">
        <v>2203</v>
      </c>
      <c r="C517" s="16" t="s">
        <v>3664</v>
      </c>
      <c r="D517" s="16" t="s">
        <v>3665</v>
      </c>
      <c r="E517" s="16" t="s">
        <v>3666</v>
      </c>
      <c r="F517" s="16" t="s">
        <v>3667</v>
      </c>
      <c r="G517" s="16" t="s">
        <v>3668</v>
      </c>
      <c r="H517" s="16" t="s">
        <v>3669</v>
      </c>
      <c r="I517" s="16"/>
      <c r="J517" s="17" t="s">
        <v>100</v>
      </c>
      <c r="K517" s="17" t="s">
        <v>67</v>
      </c>
      <c r="L517" s="17" t="s">
        <v>2203</v>
      </c>
      <c r="M517" s="16" t="s">
        <v>2255</v>
      </c>
      <c r="N517" s="18" t="s">
        <v>59</v>
      </c>
      <c r="O517" s="16"/>
    </row>
    <row r="518" spans="1:15">
      <c r="A518" s="15" t="s">
        <v>3670</v>
      </c>
      <c r="B518" s="16" t="s">
        <v>2203</v>
      </c>
      <c r="C518" s="16" t="s">
        <v>3671</v>
      </c>
      <c r="D518" s="16" t="s">
        <v>3672</v>
      </c>
      <c r="E518" s="16" t="s">
        <v>3673</v>
      </c>
      <c r="F518" s="16" t="s">
        <v>3674</v>
      </c>
      <c r="G518" s="16" t="s">
        <v>3675</v>
      </c>
      <c r="H518" s="16" t="s">
        <v>3676</v>
      </c>
      <c r="I518" s="16"/>
      <c r="J518" s="17" t="s">
        <v>100</v>
      </c>
      <c r="K518" s="17" t="s">
        <v>67</v>
      </c>
      <c r="L518" s="17" t="s">
        <v>3677</v>
      </c>
      <c r="M518" s="16" t="s">
        <v>58</v>
      </c>
      <c r="N518" s="18" t="s">
        <v>59</v>
      </c>
      <c r="O518" s="16"/>
    </row>
    <row r="519" spans="1:15">
      <c r="A519" s="15" t="s">
        <v>3678</v>
      </c>
      <c r="B519" s="16" t="s">
        <v>2203</v>
      </c>
      <c r="C519" s="16" t="s">
        <v>3679</v>
      </c>
      <c r="D519" s="16" t="s">
        <v>3680</v>
      </c>
      <c r="E519" s="16" t="s">
        <v>3681</v>
      </c>
      <c r="F519" s="16" t="s">
        <v>3682</v>
      </c>
      <c r="G519" s="16" t="s">
        <v>3683</v>
      </c>
      <c r="H519" s="16" t="s">
        <v>3684</v>
      </c>
      <c r="I519" s="16"/>
      <c r="J519" s="17" t="s">
        <v>55</v>
      </c>
      <c r="K519" s="17" t="s">
        <v>56</v>
      </c>
      <c r="L519" s="17" t="s">
        <v>2203</v>
      </c>
      <c r="M519" s="16" t="s">
        <v>141</v>
      </c>
      <c r="N519" s="18" t="s">
        <v>59</v>
      </c>
      <c r="O519" s="16"/>
    </row>
    <row r="520" spans="1:15">
      <c r="A520" s="15" t="s">
        <v>3685</v>
      </c>
      <c r="B520" s="16" t="s">
        <v>2203</v>
      </c>
      <c r="C520" s="16" t="s">
        <v>3686</v>
      </c>
      <c r="D520" s="16" t="s">
        <v>3687</v>
      </c>
      <c r="E520" s="16" t="s">
        <v>500</v>
      </c>
      <c r="F520" s="16" t="s">
        <v>3688</v>
      </c>
      <c r="G520" s="16" t="s">
        <v>3689</v>
      </c>
      <c r="H520" s="16" t="s">
        <v>3690</v>
      </c>
      <c r="I520" s="16"/>
      <c r="J520" s="17" t="s">
        <v>55</v>
      </c>
      <c r="K520" s="17" t="s">
        <v>56</v>
      </c>
      <c r="L520" s="17" t="s">
        <v>2203</v>
      </c>
      <c r="M520" s="16" t="s">
        <v>141</v>
      </c>
      <c r="N520" s="18" t="s">
        <v>59</v>
      </c>
      <c r="O520" s="16"/>
    </row>
    <row r="521" spans="1:15">
      <c r="A521" s="12" t="s">
        <v>3691</v>
      </c>
      <c r="B521" s="10" t="s">
        <v>3692</v>
      </c>
      <c r="C521" s="10" t="s">
        <v>3693</v>
      </c>
      <c r="D521" s="10" t="s">
        <v>3694</v>
      </c>
      <c r="E521" s="10" t="s">
        <v>3607</v>
      </c>
      <c r="F521" s="10" t="s">
        <v>3695</v>
      </c>
      <c r="G521" s="10" t="s">
        <v>3696</v>
      </c>
      <c r="H521" s="10" t="s">
        <v>3697</v>
      </c>
      <c r="I521" s="10"/>
      <c r="J521" s="13" t="s">
        <v>100</v>
      </c>
      <c r="K521" s="13" t="s">
        <v>67</v>
      </c>
      <c r="L521" s="13" t="s">
        <v>299</v>
      </c>
      <c r="M521" s="10" t="s">
        <v>141</v>
      </c>
      <c r="N521" s="14" t="s">
        <v>59</v>
      </c>
      <c r="O521" s="10"/>
    </row>
    <row r="522" spans="1:15">
      <c r="A522" s="12" t="s">
        <v>3698</v>
      </c>
      <c r="B522" s="10" t="s">
        <v>3692</v>
      </c>
      <c r="C522" s="10" t="s">
        <v>3699</v>
      </c>
      <c r="D522" s="10" t="s">
        <v>3700</v>
      </c>
      <c r="E522" s="10" t="s">
        <v>3607</v>
      </c>
      <c r="F522" s="10" t="s">
        <v>3701</v>
      </c>
      <c r="G522" s="10" t="s">
        <v>3702</v>
      </c>
      <c r="H522" s="10" t="s">
        <v>3703</v>
      </c>
      <c r="I522" s="10"/>
      <c r="J522" s="13" t="s">
        <v>100</v>
      </c>
      <c r="K522" s="13" t="s">
        <v>67</v>
      </c>
      <c r="L522" s="13" t="s">
        <v>308</v>
      </c>
      <c r="M522" s="10" t="s">
        <v>141</v>
      </c>
      <c r="N522" s="14" t="s">
        <v>59</v>
      </c>
      <c r="O522" s="10"/>
    </row>
    <row r="523" spans="1:15">
      <c r="A523" s="12" t="s">
        <v>3704</v>
      </c>
      <c r="B523" s="10" t="s">
        <v>3692</v>
      </c>
      <c r="C523" s="10" t="s">
        <v>3705</v>
      </c>
      <c r="D523" s="10" t="s">
        <v>3706</v>
      </c>
      <c r="E523" s="10" t="s">
        <v>3607</v>
      </c>
      <c r="F523" s="10" t="s">
        <v>3707</v>
      </c>
      <c r="G523" s="10" t="s">
        <v>3708</v>
      </c>
      <c r="H523" s="10" t="s">
        <v>3709</v>
      </c>
      <c r="I523" s="10"/>
      <c r="J523" s="13" t="s">
        <v>100</v>
      </c>
      <c r="K523" s="13" t="s">
        <v>101</v>
      </c>
      <c r="L523" s="13" t="s">
        <v>391</v>
      </c>
      <c r="M523" s="10" t="s">
        <v>141</v>
      </c>
      <c r="N523" s="14" t="s">
        <v>59</v>
      </c>
      <c r="O523" s="10"/>
    </row>
    <row r="524" spans="1:15">
      <c r="A524" s="12" t="s">
        <v>3710</v>
      </c>
      <c r="B524" s="10" t="s">
        <v>3692</v>
      </c>
      <c r="C524" s="10" t="s">
        <v>3711</v>
      </c>
      <c r="D524" s="10" t="s">
        <v>3712</v>
      </c>
      <c r="E524" s="10" t="s">
        <v>3607</v>
      </c>
      <c r="F524" s="10" t="s">
        <v>3713</v>
      </c>
      <c r="G524" s="10" t="s">
        <v>3714</v>
      </c>
      <c r="H524" s="10" t="s">
        <v>3715</v>
      </c>
      <c r="I524" s="10"/>
      <c r="J524" s="13" t="s">
        <v>228</v>
      </c>
      <c r="K524" s="13" t="s">
        <v>101</v>
      </c>
      <c r="L524" s="13" t="s">
        <v>110</v>
      </c>
      <c r="M524" s="10" t="s">
        <v>141</v>
      </c>
      <c r="N524" s="14" t="s">
        <v>59</v>
      </c>
      <c r="O524" s="10"/>
    </row>
    <row r="525" spans="1:15">
      <c r="A525" s="12" t="s">
        <v>3716</v>
      </c>
      <c r="B525" s="10" t="s">
        <v>3692</v>
      </c>
      <c r="C525" s="10" t="s">
        <v>3717</v>
      </c>
      <c r="D525" s="10" t="s">
        <v>3718</v>
      </c>
      <c r="E525" s="10" t="s">
        <v>3607</v>
      </c>
      <c r="F525" s="10" t="s">
        <v>3719</v>
      </c>
      <c r="G525" s="10" t="s">
        <v>3720</v>
      </c>
      <c r="H525" s="10" t="s">
        <v>3721</v>
      </c>
      <c r="I525" s="10"/>
      <c r="J525" s="13" t="s">
        <v>228</v>
      </c>
      <c r="K525" s="13" t="s">
        <v>101</v>
      </c>
      <c r="L525" s="13" t="s">
        <v>110</v>
      </c>
      <c r="M525" s="10" t="s">
        <v>141</v>
      </c>
      <c r="N525" s="14" t="s">
        <v>59</v>
      </c>
      <c r="O525" s="10"/>
    </row>
    <row r="526" spans="1:15">
      <c r="A526" s="12" t="s">
        <v>3722</v>
      </c>
      <c r="B526" s="10" t="s">
        <v>3692</v>
      </c>
      <c r="C526" s="10" t="s">
        <v>3723</v>
      </c>
      <c r="D526" s="10" t="s">
        <v>3724</v>
      </c>
      <c r="E526" s="10" t="s">
        <v>3607</v>
      </c>
      <c r="F526" s="10" t="s">
        <v>3725</v>
      </c>
      <c r="G526" s="10" t="s">
        <v>3726</v>
      </c>
      <c r="H526" s="10" t="s">
        <v>3727</v>
      </c>
      <c r="I526" s="10"/>
      <c r="J526" s="13" t="s">
        <v>100</v>
      </c>
      <c r="K526" s="13" t="s">
        <v>67</v>
      </c>
      <c r="L526" s="13" t="s">
        <v>3728</v>
      </c>
      <c r="M526" s="10" t="s">
        <v>141</v>
      </c>
      <c r="N526" s="14" t="s">
        <v>59</v>
      </c>
      <c r="O526" s="10"/>
    </row>
    <row r="527" spans="1:15">
      <c r="A527" s="12" t="s">
        <v>3729</v>
      </c>
      <c r="B527" s="10" t="s">
        <v>3692</v>
      </c>
      <c r="C527" s="10" t="s">
        <v>3730</v>
      </c>
      <c r="D527" s="10" t="s">
        <v>3731</v>
      </c>
      <c r="E527" s="10" t="s">
        <v>3607</v>
      </c>
      <c r="F527" s="10" t="s">
        <v>3732</v>
      </c>
      <c r="G527" s="10" t="s">
        <v>3733</v>
      </c>
      <c r="H527" s="10" t="s">
        <v>3734</v>
      </c>
      <c r="I527" s="10"/>
      <c r="J527" s="13" t="s">
        <v>100</v>
      </c>
      <c r="K527" s="13" t="s">
        <v>67</v>
      </c>
      <c r="L527" s="13" t="s">
        <v>2721</v>
      </c>
      <c r="M527" s="10" t="s">
        <v>141</v>
      </c>
      <c r="N527" s="14" t="s">
        <v>59</v>
      </c>
      <c r="O527" s="10"/>
    </row>
    <row r="528" spans="1:15">
      <c r="A528" s="12" t="s">
        <v>3735</v>
      </c>
      <c r="B528" s="10" t="s">
        <v>3692</v>
      </c>
      <c r="C528" s="10" t="s">
        <v>3736</v>
      </c>
      <c r="D528" s="10" t="s">
        <v>3737</v>
      </c>
      <c r="E528" s="10" t="s">
        <v>3607</v>
      </c>
      <c r="F528" s="10" t="s">
        <v>3738</v>
      </c>
      <c r="G528" s="10" t="s">
        <v>3739</v>
      </c>
      <c r="H528" s="10" t="s">
        <v>3740</v>
      </c>
      <c r="I528" s="10"/>
      <c r="J528" s="13" t="s">
        <v>100</v>
      </c>
      <c r="K528" s="13" t="s">
        <v>101</v>
      </c>
      <c r="L528" s="13" t="s">
        <v>149</v>
      </c>
      <c r="M528" s="10" t="s">
        <v>141</v>
      </c>
      <c r="N528" s="14" t="s">
        <v>59</v>
      </c>
      <c r="O528" s="10"/>
    </row>
    <row r="529" spans="1:15">
      <c r="A529" s="12" t="s">
        <v>3741</v>
      </c>
      <c r="B529" s="10" t="s">
        <v>3692</v>
      </c>
      <c r="C529" s="10" t="s">
        <v>3742</v>
      </c>
      <c r="D529" s="10" t="s">
        <v>3743</v>
      </c>
      <c r="E529" s="10" t="s">
        <v>3607</v>
      </c>
      <c r="F529" s="10" t="s">
        <v>3744</v>
      </c>
      <c r="G529" s="10" t="s">
        <v>3745</v>
      </c>
      <c r="H529" s="10" t="s">
        <v>3746</v>
      </c>
      <c r="I529" s="10"/>
      <c r="J529" s="13" t="s">
        <v>100</v>
      </c>
      <c r="K529" s="13" t="s">
        <v>67</v>
      </c>
      <c r="L529" s="13" t="s">
        <v>81</v>
      </c>
      <c r="M529" s="10" t="s">
        <v>141</v>
      </c>
      <c r="N529" s="14" t="s">
        <v>59</v>
      </c>
      <c r="O529" s="10"/>
    </row>
    <row r="530" spans="1:15">
      <c r="A530" s="12" t="s">
        <v>3747</v>
      </c>
      <c r="B530" s="10" t="s">
        <v>3692</v>
      </c>
      <c r="C530" s="10" t="s">
        <v>3748</v>
      </c>
      <c r="D530" s="10" t="s">
        <v>3749</v>
      </c>
      <c r="E530" s="10" t="s">
        <v>3750</v>
      </c>
      <c r="F530" s="10" t="s">
        <v>3751</v>
      </c>
      <c r="G530" s="10" t="s">
        <v>3752</v>
      </c>
      <c r="H530" s="10" t="s">
        <v>3753</v>
      </c>
      <c r="I530" s="10"/>
      <c r="J530" s="13" t="s">
        <v>100</v>
      </c>
      <c r="K530" s="13" t="s">
        <v>101</v>
      </c>
      <c r="L530" s="13" t="s">
        <v>308</v>
      </c>
      <c r="M530" s="10" t="s">
        <v>141</v>
      </c>
      <c r="N530" s="14" t="s">
        <v>59</v>
      </c>
      <c r="O530" s="10"/>
    </row>
    <row r="531" spans="1:15">
      <c r="A531" s="12" t="s">
        <v>3754</v>
      </c>
      <c r="B531" s="10" t="s">
        <v>3692</v>
      </c>
      <c r="C531" s="10" t="s">
        <v>3755</v>
      </c>
      <c r="D531" s="10" t="s">
        <v>3756</v>
      </c>
      <c r="E531" s="10" t="s">
        <v>3757</v>
      </c>
      <c r="F531" s="10" t="s">
        <v>3758</v>
      </c>
      <c r="G531" s="10" t="s">
        <v>3759</v>
      </c>
      <c r="H531" s="10" t="s">
        <v>3760</v>
      </c>
      <c r="I531" s="10"/>
      <c r="J531" s="13" t="s">
        <v>100</v>
      </c>
      <c r="K531" s="13" t="s">
        <v>67</v>
      </c>
      <c r="L531" s="13" t="s">
        <v>3761</v>
      </c>
      <c r="M531" s="10" t="s">
        <v>141</v>
      </c>
      <c r="N531" s="14" t="s">
        <v>59</v>
      </c>
      <c r="O531" s="10"/>
    </row>
    <row r="532" spans="1:15">
      <c r="A532" s="12" t="s">
        <v>3762</v>
      </c>
      <c r="B532" s="10" t="s">
        <v>3692</v>
      </c>
      <c r="C532" s="10" t="s">
        <v>3763</v>
      </c>
      <c r="D532" s="10" t="s">
        <v>3764</v>
      </c>
      <c r="E532" s="10" t="s">
        <v>3765</v>
      </c>
      <c r="F532" s="10" t="s">
        <v>3766</v>
      </c>
      <c r="G532" s="10" t="s">
        <v>3767</v>
      </c>
      <c r="H532" s="10" t="s">
        <v>3768</v>
      </c>
      <c r="I532" s="10"/>
      <c r="J532" s="13" t="s">
        <v>100</v>
      </c>
      <c r="K532" s="13" t="s">
        <v>67</v>
      </c>
      <c r="L532" s="13" t="s">
        <v>284</v>
      </c>
      <c r="M532" s="10" t="s">
        <v>141</v>
      </c>
      <c r="N532" s="14" t="s">
        <v>59</v>
      </c>
      <c r="O532" s="10"/>
    </row>
    <row r="533" spans="1:15">
      <c r="A533" s="12" t="s">
        <v>3769</v>
      </c>
      <c r="B533" s="10" t="s">
        <v>3692</v>
      </c>
      <c r="C533" s="10" t="s">
        <v>3770</v>
      </c>
      <c r="D533" s="10" t="s">
        <v>3771</v>
      </c>
      <c r="E533" s="10" t="s">
        <v>3513</v>
      </c>
      <c r="F533" s="10" t="s">
        <v>3772</v>
      </c>
      <c r="G533" s="10" t="s">
        <v>3773</v>
      </c>
      <c r="H533" s="10" t="s">
        <v>3774</v>
      </c>
      <c r="I533" s="10"/>
      <c r="J533" s="13" t="s">
        <v>228</v>
      </c>
      <c r="K533" s="13" t="s">
        <v>101</v>
      </c>
      <c r="L533" s="13" t="s">
        <v>3775</v>
      </c>
      <c r="M533" s="10" t="s">
        <v>141</v>
      </c>
      <c r="N533" s="14" t="s">
        <v>59</v>
      </c>
      <c r="O533" s="10"/>
    </row>
    <row r="534" spans="1:15">
      <c r="A534" s="12" t="s">
        <v>3776</v>
      </c>
      <c r="B534" s="10" t="s">
        <v>3692</v>
      </c>
      <c r="C534" s="10" t="s">
        <v>3777</v>
      </c>
      <c r="D534" s="10" t="s">
        <v>3778</v>
      </c>
      <c r="E534" s="10" t="s">
        <v>3607</v>
      </c>
      <c r="F534" s="10" t="s">
        <v>3779</v>
      </c>
      <c r="G534" s="10" t="s">
        <v>3780</v>
      </c>
      <c r="H534" s="10" t="s">
        <v>3781</v>
      </c>
      <c r="I534" s="10"/>
      <c r="J534" s="13" t="s">
        <v>55</v>
      </c>
      <c r="K534" s="13" t="s">
        <v>56</v>
      </c>
      <c r="L534" s="13" t="s">
        <v>3782</v>
      </c>
      <c r="M534" s="10" t="s">
        <v>141</v>
      </c>
      <c r="N534" s="14" t="s">
        <v>59</v>
      </c>
      <c r="O534" s="10"/>
    </row>
    <row r="535" spans="1:15">
      <c r="A535" s="15" t="s">
        <v>3783</v>
      </c>
      <c r="B535" s="16" t="s">
        <v>2807</v>
      </c>
      <c r="C535" s="16" t="s">
        <v>3784</v>
      </c>
      <c r="D535" s="16" t="s">
        <v>3785</v>
      </c>
      <c r="E535" s="16" t="s">
        <v>3786</v>
      </c>
      <c r="F535" s="16" t="s">
        <v>3787</v>
      </c>
      <c r="G535" s="16" t="s">
        <v>3788</v>
      </c>
      <c r="H535" s="16" t="s">
        <v>3789</v>
      </c>
      <c r="I535" s="16"/>
      <c r="J535" s="17" t="s">
        <v>55</v>
      </c>
      <c r="K535" s="17" t="s">
        <v>67</v>
      </c>
      <c r="L535" s="17" t="s">
        <v>2807</v>
      </c>
      <c r="M535" s="16" t="s">
        <v>58</v>
      </c>
      <c r="N535" s="18" t="s">
        <v>59</v>
      </c>
      <c r="O535" s="16"/>
    </row>
    <row r="536" spans="1:15">
      <c r="A536" s="15" t="s">
        <v>3790</v>
      </c>
      <c r="B536" s="16" t="s">
        <v>2807</v>
      </c>
      <c r="C536" s="16" t="s">
        <v>3791</v>
      </c>
      <c r="D536" s="16" t="s">
        <v>3792</v>
      </c>
      <c r="E536" s="16" t="s">
        <v>3793</v>
      </c>
      <c r="F536" s="16" t="s">
        <v>3794</v>
      </c>
      <c r="G536" s="16" t="s">
        <v>3795</v>
      </c>
      <c r="H536" s="16" t="s">
        <v>3796</v>
      </c>
      <c r="I536" s="16"/>
      <c r="J536" s="17" t="s">
        <v>55</v>
      </c>
      <c r="K536" s="17" t="s">
        <v>67</v>
      </c>
      <c r="L536" s="17" t="s">
        <v>2807</v>
      </c>
      <c r="M536" s="16" t="s">
        <v>58</v>
      </c>
      <c r="N536" s="18" t="s">
        <v>59</v>
      </c>
      <c r="O536" s="16"/>
    </row>
    <row r="537" spans="1:15">
      <c r="A537" s="15" t="s">
        <v>3797</v>
      </c>
      <c r="B537" s="16" t="s">
        <v>2807</v>
      </c>
      <c r="C537" s="16" t="s">
        <v>3798</v>
      </c>
      <c r="D537" s="16" t="s">
        <v>3799</v>
      </c>
      <c r="E537" s="16" t="s">
        <v>3800</v>
      </c>
      <c r="F537" s="16" t="s">
        <v>3801</v>
      </c>
      <c r="G537" s="16" t="s">
        <v>3802</v>
      </c>
      <c r="H537" s="16" t="s">
        <v>3803</v>
      </c>
      <c r="I537" s="16"/>
      <c r="J537" s="17" t="s">
        <v>55</v>
      </c>
      <c r="K537" s="17" t="s">
        <v>67</v>
      </c>
      <c r="L537" s="17" t="s">
        <v>3804</v>
      </c>
      <c r="M537" s="16" t="s">
        <v>141</v>
      </c>
      <c r="N537" s="18" t="s">
        <v>59</v>
      </c>
      <c r="O537" s="16"/>
    </row>
    <row r="538" spans="1:15">
      <c r="A538" s="15" t="s">
        <v>3805</v>
      </c>
      <c r="B538" s="16" t="s">
        <v>2807</v>
      </c>
      <c r="C538" s="16" t="s">
        <v>3806</v>
      </c>
      <c r="D538" s="16" t="s">
        <v>3807</v>
      </c>
      <c r="E538" s="16" t="s">
        <v>3808</v>
      </c>
      <c r="F538" s="16" t="s">
        <v>3809</v>
      </c>
      <c r="G538" s="16" t="s">
        <v>3810</v>
      </c>
      <c r="H538" s="16" t="s">
        <v>3811</v>
      </c>
      <c r="I538" s="16"/>
      <c r="J538" s="17" t="s">
        <v>55</v>
      </c>
      <c r="K538" s="17" t="s">
        <v>456</v>
      </c>
      <c r="L538" s="17" t="s">
        <v>3804</v>
      </c>
      <c r="M538" s="16" t="s">
        <v>141</v>
      </c>
      <c r="N538" s="18" t="s">
        <v>59</v>
      </c>
      <c r="O538" s="16"/>
    </row>
    <row r="539" spans="1:15">
      <c r="A539" s="15" t="s">
        <v>3812</v>
      </c>
      <c r="B539" s="16" t="s">
        <v>2807</v>
      </c>
      <c r="C539" s="16" t="s">
        <v>3813</v>
      </c>
      <c r="D539" s="16" t="s">
        <v>3814</v>
      </c>
      <c r="E539" s="16" t="s">
        <v>3815</v>
      </c>
      <c r="F539" s="16" t="s">
        <v>3816</v>
      </c>
      <c r="G539" s="16" t="s">
        <v>3817</v>
      </c>
      <c r="H539" s="16" t="s">
        <v>3818</v>
      </c>
      <c r="I539" s="16"/>
      <c r="J539" s="17" t="s">
        <v>100</v>
      </c>
      <c r="K539" s="17" t="s">
        <v>67</v>
      </c>
      <c r="L539" s="17" t="s">
        <v>2807</v>
      </c>
      <c r="M539" s="16" t="s">
        <v>58</v>
      </c>
      <c r="N539" s="18" t="s">
        <v>59</v>
      </c>
      <c r="O539" s="16"/>
    </row>
    <row r="540" spans="1:15">
      <c r="A540" s="15" t="s">
        <v>3819</v>
      </c>
      <c r="B540" s="16" t="s">
        <v>2807</v>
      </c>
      <c r="C540" s="16" t="s">
        <v>3820</v>
      </c>
      <c r="D540" s="16" t="s">
        <v>3821</v>
      </c>
      <c r="E540" s="16" t="s">
        <v>3822</v>
      </c>
      <c r="F540" s="16" t="s">
        <v>3823</v>
      </c>
      <c r="G540" s="16" t="s">
        <v>3824</v>
      </c>
      <c r="H540" s="16" t="s">
        <v>3825</v>
      </c>
      <c r="I540" s="16"/>
      <c r="J540" s="17" t="s">
        <v>100</v>
      </c>
      <c r="K540" s="17" t="s">
        <v>67</v>
      </c>
      <c r="L540" s="17" t="s">
        <v>2807</v>
      </c>
      <c r="M540" s="16" t="s">
        <v>2255</v>
      </c>
      <c r="N540" s="18" t="s">
        <v>59</v>
      </c>
      <c r="O540" s="16"/>
    </row>
    <row r="541" spans="1:15">
      <c r="A541" s="15" t="s">
        <v>3826</v>
      </c>
      <c r="B541" s="16" t="s">
        <v>2807</v>
      </c>
      <c r="C541" s="16" t="s">
        <v>3827</v>
      </c>
      <c r="D541" s="16" t="s">
        <v>3828</v>
      </c>
      <c r="E541" s="16" t="s">
        <v>3829</v>
      </c>
      <c r="F541" s="16" t="s">
        <v>3830</v>
      </c>
      <c r="G541" s="16" t="s">
        <v>3831</v>
      </c>
      <c r="H541" s="16" t="s">
        <v>3832</v>
      </c>
      <c r="I541" s="16"/>
      <c r="J541" s="17" t="s">
        <v>100</v>
      </c>
      <c r="K541" s="17" t="s">
        <v>67</v>
      </c>
      <c r="L541" s="17" t="s">
        <v>2807</v>
      </c>
      <c r="M541" s="16" t="s">
        <v>300</v>
      </c>
      <c r="N541" s="18" t="s">
        <v>59</v>
      </c>
      <c r="O541" s="16"/>
    </row>
    <row r="542" spans="1:15">
      <c r="A542" s="15" t="s">
        <v>3833</v>
      </c>
      <c r="B542" s="16" t="s">
        <v>2807</v>
      </c>
      <c r="C542" s="16" t="s">
        <v>3834</v>
      </c>
      <c r="D542" s="16" t="s">
        <v>3835</v>
      </c>
      <c r="E542" s="16" t="s">
        <v>3829</v>
      </c>
      <c r="F542" s="16" t="s">
        <v>3836</v>
      </c>
      <c r="G542" s="16" t="s">
        <v>3837</v>
      </c>
      <c r="H542" s="16" t="s">
        <v>3838</v>
      </c>
      <c r="I542" s="16"/>
      <c r="J542" s="17" t="s">
        <v>100</v>
      </c>
      <c r="K542" s="17" t="s">
        <v>101</v>
      </c>
      <c r="L542" s="17" t="s">
        <v>2807</v>
      </c>
      <c r="M542" s="16" t="s">
        <v>58</v>
      </c>
      <c r="N542" s="18" t="s">
        <v>59</v>
      </c>
      <c r="O542" s="16"/>
    </row>
    <row r="543" spans="1:15">
      <c r="A543" s="15" t="s">
        <v>3839</v>
      </c>
      <c r="B543" s="16" t="s">
        <v>2807</v>
      </c>
      <c r="C543" s="16" t="s">
        <v>3840</v>
      </c>
      <c r="D543" s="16" t="s">
        <v>3841</v>
      </c>
      <c r="E543" s="16" t="s">
        <v>3842</v>
      </c>
      <c r="F543" s="16" t="s">
        <v>3843</v>
      </c>
      <c r="G543" s="16" t="s">
        <v>3844</v>
      </c>
      <c r="H543" s="16" t="s">
        <v>3845</v>
      </c>
      <c r="I543" s="16"/>
      <c r="J543" s="17" t="s">
        <v>100</v>
      </c>
      <c r="K543" s="17" t="s">
        <v>67</v>
      </c>
      <c r="L543" s="17" t="s">
        <v>2807</v>
      </c>
      <c r="M543" s="16" t="s">
        <v>58</v>
      </c>
      <c r="N543" s="18" t="s">
        <v>59</v>
      </c>
      <c r="O543" s="16"/>
    </row>
    <row r="544" spans="1:15">
      <c r="A544" s="15" t="s">
        <v>3846</v>
      </c>
      <c r="B544" s="16" t="s">
        <v>2807</v>
      </c>
      <c r="C544" s="16" t="s">
        <v>3847</v>
      </c>
      <c r="D544" s="16" t="s">
        <v>3848</v>
      </c>
      <c r="E544" s="16" t="s">
        <v>3849</v>
      </c>
      <c r="F544" s="16" t="s">
        <v>3850</v>
      </c>
      <c r="G544" s="16" t="s">
        <v>3851</v>
      </c>
      <c r="H544" s="16" t="s">
        <v>3852</v>
      </c>
      <c r="I544" s="16"/>
      <c r="J544" s="17" t="s">
        <v>100</v>
      </c>
      <c r="K544" s="17" t="s">
        <v>67</v>
      </c>
      <c r="L544" s="17" t="s">
        <v>3853</v>
      </c>
      <c r="M544" s="16" t="s">
        <v>58</v>
      </c>
      <c r="N544" s="18" t="s">
        <v>59</v>
      </c>
      <c r="O544" s="16"/>
    </row>
    <row r="545" spans="1:15">
      <c r="A545" s="15" t="s">
        <v>3854</v>
      </c>
      <c r="B545" s="16" t="s">
        <v>2807</v>
      </c>
      <c r="C545" s="16" t="s">
        <v>3855</v>
      </c>
      <c r="D545" s="16" t="s">
        <v>3856</v>
      </c>
      <c r="E545" s="16" t="s">
        <v>3857</v>
      </c>
      <c r="F545" s="16" t="s">
        <v>3858</v>
      </c>
      <c r="G545" s="16" t="s">
        <v>3859</v>
      </c>
      <c r="H545" s="16" t="s">
        <v>3860</v>
      </c>
      <c r="I545" s="16"/>
      <c r="J545" s="17" t="s">
        <v>100</v>
      </c>
      <c r="K545" s="17" t="s">
        <v>101</v>
      </c>
      <c r="L545" s="17" t="s">
        <v>2807</v>
      </c>
      <c r="M545" s="16" t="s">
        <v>58</v>
      </c>
      <c r="N545" s="18" t="s">
        <v>59</v>
      </c>
      <c r="O545" s="16"/>
    </row>
    <row r="546" spans="1:15">
      <c r="A546" s="15" t="s">
        <v>3861</v>
      </c>
      <c r="B546" s="16" t="s">
        <v>2807</v>
      </c>
      <c r="C546" s="16" t="s">
        <v>3862</v>
      </c>
      <c r="D546" s="16" t="s">
        <v>3863</v>
      </c>
      <c r="E546" s="16" t="s">
        <v>3808</v>
      </c>
      <c r="F546" s="16" t="s">
        <v>3864</v>
      </c>
      <c r="G546" s="16" t="s">
        <v>3865</v>
      </c>
      <c r="H546" s="16" t="s">
        <v>3866</v>
      </c>
      <c r="I546" s="16"/>
      <c r="J546" s="17" t="s">
        <v>100</v>
      </c>
      <c r="K546" s="17" t="s">
        <v>67</v>
      </c>
      <c r="L546" s="17" t="s">
        <v>3804</v>
      </c>
      <c r="M546" s="16" t="s">
        <v>141</v>
      </c>
      <c r="N546" s="18" t="s">
        <v>59</v>
      </c>
      <c r="O546" s="16"/>
    </row>
    <row r="547" spans="1:15">
      <c r="A547" s="12" t="s">
        <v>3867</v>
      </c>
      <c r="B547" s="10" t="s">
        <v>3868</v>
      </c>
      <c r="C547" s="10" t="s">
        <v>3869</v>
      </c>
      <c r="D547" s="10" t="s">
        <v>3870</v>
      </c>
      <c r="E547" s="10" t="s">
        <v>3871</v>
      </c>
      <c r="F547" s="10" t="s">
        <v>3872</v>
      </c>
      <c r="G547" s="10" t="s">
        <v>2019</v>
      </c>
      <c r="H547" s="10" t="s">
        <v>3873</v>
      </c>
      <c r="I547" s="10"/>
      <c r="J547" s="13" t="s">
        <v>55</v>
      </c>
      <c r="K547" s="13" t="s">
        <v>67</v>
      </c>
      <c r="L547" s="13" t="s">
        <v>3874</v>
      </c>
      <c r="M547" s="10" t="s">
        <v>300</v>
      </c>
      <c r="N547" s="14" t="s">
        <v>59</v>
      </c>
      <c r="O547" s="10"/>
    </row>
    <row r="548" spans="1:15">
      <c r="A548" s="12" t="s">
        <v>3875</v>
      </c>
      <c r="B548" s="10" t="s">
        <v>3868</v>
      </c>
      <c r="C548" s="10" t="s">
        <v>3876</v>
      </c>
      <c r="D548" s="10" t="s">
        <v>3877</v>
      </c>
      <c r="E548" s="10" t="s">
        <v>3878</v>
      </c>
      <c r="F548" s="10" t="s">
        <v>3879</v>
      </c>
      <c r="G548" s="10" t="s">
        <v>3880</v>
      </c>
      <c r="H548" s="10" t="s">
        <v>3881</v>
      </c>
      <c r="I548" s="10"/>
      <c r="J548" s="13" t="s">
        <v>100</v>
      </c>
      <c r="K548" s="13" t="s">
        <v>101</v>
      </c>
      <c r="L548" s="13" t="s">
        <v>3882</v>
      </c>
      <c r="M548" s="10" t="s">
        <v>300</v>
      </c>
      <c r="N548" s="14" t="s">
        <v>59</v>
      </c>
      <c r="O548" s="10"/>
    </row>
    <row r="549" spans="1:15">
      <c r="A549" s="12" t="s">
        <v>3883</v>
      </c>
      <c r="B549" s="10" t="s">
        <v>3868</v>
      </c>
      <c r="C549" s="10" t="s">
        <v>3884</v>
      </c>
      <c r="D549" s="10" t="s">
        <v>3885</v>
      </c>
      <c r="E549" s="10" t="s">
        <v>3886</v>
      </c>
      <c r="F549" s="10" t="s">
        <v>3887</v>
      </c>
      <c r="G549" s="10" t="s">
        <v>3888</v>
      </c>
      <c r="H549" s="10" t="s">
        <v>3889</v>
      </c>
      <c r="I549" s="10"/>
      <c r="J549" s="13" t="s">
        <v>100</v>
      </c>
      <c r="K549" s="13" t="s">
        <v>101</v>
      </c>
      <c r="L549" s="13" t="s">
        <v>3882</v>
      </c>
      <c r="M549" s="10" t="s">
        <v>300</v>
      </c>
      <c r="N549" s="14" t="s">
        <v>59</v>
      </c>
      <c r="O549" s="10"/>
    </row>
    <row r="550" spans="1:15">
      <c r="A550" s="12" t="s">
        <v>3890</v>
      </c>
      <c r="B550" s="10" t="s">
        <v>3868</v>
      </c>
      <c r="C550" s="10" t="s">
        <v>3891</v>
      </c>
      <c r="D550" s="10" t="s">
        <v>3892</v>
      </c>
      <c r="E550" s="10" t="s">
        <v>3893</v>
      </c>
      <c r="F550" s="10" t="s">
        <v>3894</v>
      </c>
      <c r="G550" s="10" t="s">
        <v>3895</v>
      </c>
      <c r="H550" s="10" t="s">
        <v>3896</v>
      </c>
      <c r="I550" s="10"/>
      <c r="J550" s="13" t="s">
        <v>228</v>
      </c>
      <c r="K550" s="13" t="s">
        <v>101</v>
      </c>
      <c r="L550" s="13" t="s">
        <v>3882</v>
      </c>
      <c r="M550" s="10" t="s">
        <v>58</v>
      </c>
      <c r="N550" s="14" t="s">
        <v>59</v>
      </c>
      <c r="O550" s="10"/>
    </row>
    <row r="551" spans="1:15">
      <c r="A551" s="12" t="s">
        <v>3897</v>
      </c>
      <c r="B551" s="10" t="s">
        <v>3868</v>
      </c>
      <c r="C551" s="10" t="s">
        <v>3898</v>
      </c>
      <c r="D551" s="10" t="s">
        <v>3899</v>
      </c>
      <c r="E551" s="10" t="s">
        <v>3878</v>
      </c>
      <c r="F551" s="10" t="s">
        <v>3900</v>
      </c>
      <c r="G551" s="10" t="s">
        <v>2641</v>
      </c>
      <c r="H551" s="10" t="s">
        <v>3901</v>
      </c>
      <c r="I551" s="10"/>
      <c r="J551" s="13" t="s">
        <v>55</v>
      </c>
      <c r="K551" s="13" t="s">
        <v>67</v>
      </c>
      <c r="L551" s="13" t="s">
        <v>3874</v>
      </c>
      <c r="M551" s="10" t="s">
        <v>300</v>
      </c>
      <c r="N551" s="14" t="s">
        <v>59</v>
      </c>
      <c r="O551" s="10"/>
    </row>
    <row r="552" spans="1:15">
      <c r="A552" s="12" t="s">
        <v>3902</v>
      </c>
      <c r="B552" s="10" t="s">
        <v>3868</v>
      </c>
      <c r="C552" s="10" t="s">
        <v>3903</v>
      </c>
      <c r="D552" s="10" t="s">
        <v>3904</v>
      </c>
      <c r="E552" s="10" t="s">
        <v>3905</v>
      </c>
      <c r="F552" s="10" t="s">
        <v>3906</v>
      </c>
      <c r="G552" s="10" t="s">
        <v>3907</v>
      </c>
      <c r="H552" s="10" t="s">
        <v>3908</v>
      </c>
      <c r="I552" s="10"/>
      <c r="J552" s="13" t="s">
        <v>100</v>
      </c>
      <c r="K552" s="13" t="s">
        <v>101</v>
      </c>
      <c r="L552" s="13" t="s">
        <v>3882</v>
      </c>
      <c r="M552" s="10" t="s">
        <v>300</v>
      </c>
      <c r="N552" s="14" t="s">
        <v>59</v>
      </c>
      <c r="O552" s="10"/>
    </row>
    <row r="553" spans="1:15">
      <c r="A553" s="12" t="s">
        <v>3909</v>
      </c>
      <c r="B553" s="10" t="s">
        <v>3868</v>
      </c>
      <c r="C553" s="10" t="s">
        <v>3910</v>
      </c>
      <c r="D553" s="10" t="s">
        <v>3911</v>
      </c>
      <c r="E553" s="10" t="s">
        <v>3878</v>
      </c>
      <c r="F553" s="10" t="s">
        <v>3912</v>
      </c>
      <c r="G553" s="10" t="s">
        <v>3913</v>
      </c>
      <c r="H553" s="10" t="s">
        <v>3914</v>
      </c>
      <c r="I553" s="10"/>
      <c r="J553" s="13" t="s">
        <v>100</v>
      </c>
      <c r="K553" s="13" t="s">
        <v>101</v>
      </c>
      <c r="L553" s="13" t="s">
        <v>3874</v>
      </c>
      <c r="M553" s="10" t="s">
        <v>300</v>
      </c>
      <c r="N553" s="14" t="s">
        <v>59</v>
      </c>
      <c r="O553" s="10"/>
    </row>
    <row r="554" spans="1:15">
      <c r="A554" s="12" t="s">
        <v>3915</v>
      </c>
      <c r="B554" s="10" t="s">
        <v>3868</v>
      </c>
      <c r="C554" s="10" t="s">
        <v>3916</v>
      </c>
      <c r="D554" s="10" t="s">
        <v>3917</v>
      </c>
      <c r="E554" s="10" t="s">
        <v>3878</v>
      </c>
      <c r="F554" s="10" t="s">
        <v>3918</v>
      </c>
      <c r="G554" s="10" t="s">
        <v>3919</v>
      </c>
      <c r="H554" s="10" t="s">
        <v>3920</v>
      </c>
      <c r="I554" s="10"/>
      <c r="J554" s="13" t="s">
        <v>100</v>
      </c>
      <c r="K554" s="13" t="s">
        <v>67</v>
      </c>
      <c r="L554" s="13" t="s">
        <v>3921</v>
      </c>
      <c r="M554" s="10" t="s">
        <v>300</v>
      </c>
      <c r="N554" s="14" t="s">
        <v>59</v>
      </c>
      <c r="O554" s="10"/>
    </row>
    <row r="555" spans="1:15">
      <c r="A555" s="12" t="s">
        <v>3922</v>
      </c>
      <c r="B555" s="10" t="s">
        <v>3868</v>
      </c>
      <c r="C555" s="10" t="s">
        <v>3923</v>
      </c>
      <c r="D555" s="10" t="s">
        <v>3924</v>
      </c>
      <c r="E555" s="10" t="s">
        <v>3925</v>
      </c>
      <c r="F555" s="10" t="s">
        <v>3926</v>
      </c>
      <c r="G555" s="10" t="s">
        <v>3927</v>
      </c>
      <c r="H555" s="10" t="s">
        <v>3928</v>
      </c>
      <c r="I555" s="10"/>
      <c r="J555" s="13" t="s">
        <v>100</v>
      </c>
      <c r="K555" s="13" t="s">
        <v>67</v>
      </c>
      <c r="L555" s="13" t="s">
        <v>3929</v>
      </c>
      <c r="M555" s="10" t="s">
        <v>300</v>
      </c>
      <c r="N555" s="14" t="s">
        <v>59</v>
      </c>
      <c r="O555" s="10"/>
    </row>
    <row r="556" spans="1:15">
      <c r="A556" s="12" t="s">
        <v>3930</v>
      </c>
      <c r="B556" s="10" t="s">
        <v>3868</v>
      </c>
      <c r="C556" s="10" t="s">
        <v>3931</v>
      </c>
      <c r="D556" s="10" t="s">
        <v>3932</v>
      </c>
      <c r="E556" s="10" t="s">
        <v>3933</v>
      </c>
      <c r="F556" s="10" t="s">
        <v>3934</v>
      </c>
      <c r="G556" s="10" t="s">
        <v>3935</v>
      </c>
      <c r="H556" s="10" t="s">
        <v>3936</v>
      </c>
      <c r="I556" s="10"/>
      <c r="J556" s="13" t="s">
        <v>100</v>
      </c>
      <c r="K556" s="13" t="s">
        <v>101</v>
      </c>
      <c r="L556" s="13" t="s">
        <v>3929</v>
      </c>
      <c r="M556" s="10" t="s">
        <v>58</v>
      </c>
      <c r="N556" s="14" t="s">
        <v>59</v>
      </c>
      <c r="O556" s="10"/>
    </row>
    <row r="557" spans="1:15">
      <c r="A557" s="12" t="s">
        <v>3937</v>
      </c>
      <c r="B557" s="10" t="s">
        <v>3868</v>
      </c>
      <c r="C557" s="10" t="s">
        <v>3938</v>
      </c>
      <c r="D557" s="10" t="s">
        <v>3939</v>
      </c>
      <c r="E557" s="10" t="s">
        <v>3940</v>
      </c>
      <c r="F557" s="10" t="s">
        <v>3941</v>
      </c>
      <c r="G557" s="10" t="s">
        <v>3942</v>
      </c>
      <c r="H557" s="10" t="s">
        <v>3943</v>
      </c>
      <c r="I557" s="10"/>
      <c r="J557" s="13" t="s">
        <v>228</v>
      </c>
      <c r="K557" s="13" t="s">
        <v>101</v>
      </c>
      <c r="L557" s="13" t="s">
        <v>3944</v>
      </c>
      <c r="M557" s="10" t="s">
        <v>58</v>
      </c>
      <c r="N557" s="14" t="s">
        <v>59</v>
      </c>
      <c r="O557" s="10"/>
    </row>
    <row r="558" spans="1:15">
      <c r="A558" s="12" t="s">
        <v>3945</v>
      </c>
      <c r="B558" s="10" t="s">
        <v>3868</v>
      </c>
      <c r="C558" s="10" t="s">
        <v>3946</v>
      </c>
      <c r="D558" s="10" t="s">
        <v>3947</v>
      </c>
      <c r="E558" s="10" t="s">
        <v>3948</v>
      </c>
      <c r="F558" s="10" t="s">
        <v>3949</v>
      </c>
      <c r="G558" s="10" t="s">
        <v>3950</v>
      </c>
      <c r="H558" s="10" t="s">
        <v>3951</v>
      </c>
      <c r="I558" s="10"/>
      <c r="J558" s="13" t="s">
        <v>100</v>
      </c>
      <c r="K558" s="13" t="s">
        <v>67</v>
      </c>
      <c r="L558" s="13" t="s">
        <v>3929</v>
      </c>
      <c r="M558" s="10" t="s">
        <v>58</v>
      </c>
      <c r="N558" s="14" t="s">
        <v>59</v>
      </c>
      <c r="O558" s="10"/>
    </row>
    <row r="559" spans="1:15">
      <c r="A559" s="12" t="s">
        <v>3952</v>
      </c>
      <c r="B559" s="10" t="s">
        <v>3868</v>
      </c>
      <c r="C559" s="10" t="s">
        <v>3953</v>
      </c>
      <c r="D559" s="10" t="s">
        <v>3954</v>
      </c>
      <c r="E559" s="10" t="s">
        <v>3955</v>
      </c>
      <c r="F559" s="10" t="s">
        <v>3956</v>
      </c>
      <c r="G559" s="10" t="s">
        <v>3957</v>
      </c>
      <c r="H559" s="10" t="s">
        <v>3958</v>
      </c>
      <c r="I559" s="10"/>
      <c r="J559" s="13" t="s">
        <v>228</v>
      </c>
      <c r="K559" s="13" t="s">
        <v>101</v>
      </c>
      <c r="L559" s="13" t="s">
        <v>3959</v>
      </c>
      <c r="M559" s="10" t="s">
        <v>58</v>
      </c>
      <c r="N559" s="14" t="s">
        <v>59</v>
      </c>
      <c r="O559" s="10"/>
    </row>
    <row r="560" spans="1:15">
      <c r="A560" s="12" t="s">
        <v>3960</v>
      </c>
      <c r="B560" s="10" t="s">
        <v>3868</v>
      </c>
      <c r="C560" s="10" t="s">
        <v>3961</v>
      </c>
      <c r="D560" s="10" t="s">
        <v>3962</v>
      </c>
      <c r="E560" s="10" t="s">
        <v>2425</v>
      </c>
      <c r="F560" s="10" t="s">
        <v>3963</v>
      </c>
      <c r="G560" s="10" t="s">
        <v>3964</v>
      </c>
      <c r="H560" s="10" t="s">
        <v>3965</v>
      </c>
      <c r="I560" s="10"/>
      <c r="J560" s="13" t="s">
        <v>228</v>
      </c>
      <c r="K560" s="13" t="s">
        <v>101</v>
      </c>
      <c r="L560" s="13" t="s">
        <v>3959</v>
      </c>
      <c r="M560" s="10" t="s">
        <v>58</v>
      </c>
      <c r="N560" s="14" t="s">
        <v>59</v>
      </c>
      <c r="O560" s="10"/>
    </row>
    <row r="561" spans="1:15">
      <c r="A561" s="12" t="s">
        <v>3966</v>
      </c>
      <c r="B561" s="10" t="s">
        <v>3868</v>
      </c>
      <c r="C561" s="10" t="s">
        <v>3967</v>
      </c>
      <c r="D561" s="10" t="s">
        <v>3968</v>
      </c>
      <c r="E561" s="10" t="s">
        <v>3969</v>
      </c>
      <c r="F561" s="10" t="s">
        <v>3970</v>
      </c>
      <c r="G561" s="10" t="s">
        <v>3971</v>
      </c>
      <c r="H561" s="10" t="s">
        <v>3972</v>
      </c>
      <c r="I561" s="10"/>
      <c r="J561" s="13" t="s">
        <v>100</v>
      </c>
      <c r="K561" s="13" t="s">
        <v>101</v>
      </c>
      <c r="L561" s="13" t="s">
        <v>3973</v>
      </c>
      <c r="M561" s="10" t="s">
        <v>300</v>
      </c>
      <c r="N561" s="14" t="s">
        <v>59</v>
      </c>
      <c r="O561" s="10"/>
    </row>
    <row r="562" spans="1:15">
      <c r="A562" s="15" t="s">
        <v>3974</v>
      </c>
      <c r="B562" s="16" t="s">
        <v>3975</v>
      </c>
      <c r="C562" s="16" t="s">
        <v>3976</v>
      </c>
      <c r="D562" s="16" t="s">
        <v>3977</v>
      </c>
      <c r="E562" s="16" t="s">
        <v>3978</v>
      </c>
      <c r="F562" s="16" t="s">
        <v>3979</v>
      </c>
      <c r="G562" s="16" t="s">
        <v>3980</v>
      </c>
      <c r="H562" s="16" t="s">
        <v>3981</v>
      </c>
      <c r="I562" s="16"/>
      <c r="J562" s="17" t="s">
        <v>55</v>
      </c>
      <c r="K562" s="17" t="s">
        <v>67</v>
      </c>
      <c r="L562" s="17" t="s">
        <v>3975</v>
      </c>
      <c r="M562" s="16" t="s">
        <v>58</v>
      </c>
      <c r="N562" s="18" t="s">
        <v>59</v>
      </c>
      <c r="O562" s="16"/>
    </row>
    <row r="563" spans="1:15">
      <c r="A563" s="15" t="s">
        <v>3982</v>
      </c>
      <c r="B563" s="16" t="s">
        <v>3975</v>
      </c>
      <c r="C563" s="16" t="s">
        <v>3983</v>
      </c>
      <c r="D563" s="16" t="s">
        <v>3984</v>
      </c>
      <c r="E563" s="16" t="s">
        <v>3978</v>
      </c>
      <c r="F563" s="16" t="s">
        <v>3985</v>
      </c>
      <c r="G563" s="16" t="s">
        <v>3986</v>
      </c>
      <c r="H563" s="16" t="s">
        <v>3987</v>
      </c>
      <c r="I563" s="16"/>
      <c r="J563" s="17" t="s">
        <v>100</v>
      </c>
      <c r="K563" s="17" t="s">
        <v>67</v>
      </c>
      <c r="L563" s="17" t="s">
        <v>3975</v>
      </c>
      <c r="M563" s="16" t="s">
        <v>58</v>
      </c>
      <c r="N563" s="18" t="s">
        <v>59</v>
      </c>
      <c r="O563" s="16"/>
    </row>
    <row r="564" spans="1:15">
      <c r="A564" s="15" t="s">
        <v>3988</v>
      </c>
      <c r="B564" s="16" t="s">
        <v>3975</v>
      </c>
      <c r="C564" s="16" t="s">
        <v>3989</v>
      </c>
      <c r="D564" s="16" t="s">
        <v>3990</v>
      </c>
      <c r="E564" s="16" t="s">
        <v>3991</v>
      </c>
      <c r="F564" s="16" t="s">
        <v>3992</v>
      </c>
      <c r="G564" s="16" t="s">
        <v>3993</v>
      </c>
      <c r="H564" s="16" t="s">
        <v>3994</v>
      </c>
      <c r="I564" s="16"/>
      <c r="J564" s="17" t="s">
        <v>55</v>
      </c>
      <c r="K564" s="17" t="s">
        <v>67</v>
      </c>
      <c r="L564" s="17" t="s">
        <v>3975</v>
      </c>
      <c r="M564" s="16" t="s">
        <v>58</v>
      </c>
      <c r="N564" s="18" t="s">
        <v>59</v>
      </c>
      <c r="O564" s="16"/>
    </row>
    <row r="565" spans="1:15">
      <c r="A565" s="15" t="s">
        <v>3995</v>
      </c>
      <c r="B565" s="16" t="s">
        <v>3975</v>
      </c>
      <c r="C565" s="16" t="s">
        <v>3996</v>
      </c>
      <c r="D565" s="16" t="s">
        <v>3997</v>
      </c>
      <c r="E565" s="16" t="s">
        <v>3998</v>
      </c>
      <c r="F565" s="16" t="s">
        <v>3999</v>
      </c>
      <c r="G565" s="16" t="s">
        <v>4000</v>
      </c>
      <c r="H565" s="16" t="s">
        <v>4001</v>
      </c>
      <c r="I565" s="16"/>
      <c r="J565" s="17" t="s">
        <v>100</v>
      </c>
      <c r="K565" s="17" t="s">
        <v>67</v>
      </c>
      <c r="L565" s="17" t="s">
        <v>3975</v>
      </c>
      <c r="M565" s="16" t="s">
        <v>58</v>
      </c>
      <c r="N565" s="18" t="s">
        <v>59</v>
      </c>
      <c r="O565" s="16"/>
    </row>
    <row r="566" spans="1:15">
      <c r="A566" s="15" t="s">
        <v>4002</v>
      </c>
      <c r="B566" s="16" t="s">
        <v>3975</v>
      </c>
      <c r="C566" s="16" t="s">
        <v>4003</v>
      </c>
      <c r="D566" s="16" t="s">
        <v>4004</v>
      </c>
      <c r="E566" s="16" t="s">
        <v>3829</v>
      </c>
      <c r="F566" s="16" t="s">
        <v>4005</v>
      </c>
      <c r="G566" s="16" t="s">
        <v>4006</v>
      </c>
      <c r="H566" s="16" t="s">
        <v>4007</v>
      </c>
      <c r="I566" s="16"/>
      <c r="J566" s="17" t="s">
        <v>100</v>
      </c>
      <c r="K566" s="17" t="s">
        <v>67</v>
      </c>
      <c r="L566" s="17" t="s">
        <v>3975</v>
      </c>
      <c r="M566" s="16" t="s">
        <v>58</v>
      </c>
      <c r="N566" s="18" t="s">
        <v>59</v>
      </c>
      <c r="O566" s="16"/>
    </row>
    <row r="567" spans="1:15">
      <c r="A567" s="15" t="s">
        <v>4008</v>
      </c>
      <c r="B567" s="16" t="s">
        <v>3975</v>
      </c>
      <c r="C567" s="16" t="s">
        <v>4009</v>
      </c>
      <c r="D567" s="16" t="s">
        <v>4010</v>
      </c>
      <c r="E567" s="16" t="s">
        <v>3955</v>
      </c>
      <c r="F567" s="16" t="s">
        <v>4011</v>
      </c>
      <c r="G567" s="16" t="s">
        <v>4012</v>
      </c>
      <c r="H567" s="16" t="s">
        <v>4013</v>
      </c>
      <c r="I567" s="16"/>
      <c r="J567" s="17" t="s">
        <v>100</v>
      </c>
      <c r="K567" s="17" t="s">
        <v>67</v>
      </c>
      <c r="L567" s="17" t="s">
        <v>3975</v>
      </c>
      <c r="M567" s="16" t="s">
        <v>58</v>
      </c>
      <c r="N567" s="18" t="s">
        <v>59</v>
      </c>
      <c r="O567" s="16"/>
    </row>
    <row r="568" spans="1:15">
      <c r="A568" s="15" t="s">
        <v>4014</v>
      </c>
      <c r="B568" s="16" t="s">
        <v>3975</v>
      </c>
      <c r="C568" s="16" t="s">
        <v>4015</v>
      </c>
      <c r="D568" s="16" t="s">
        <v>4016</v>
      </c>
      <c r="E568" s="16" t="s">
        <v>2660</v>
      </c>
      <c r="F568" s="16" t="s">
        <v>4017</v>
      </c>
      <c r="G568" s="16" t="s">
        <v>4018</v>
      </c>
      <c r="H568" s="16" t="s">
        <v>4019</v>
      </c>
      <c r="I568" s="16"/>
      <c r="J568" s="17" t="s">
        <v>100</v>
      </c>
      <c r="K568" s="17" t="s">
        <v>101</v>
      </c>
      <c r="L568" s="17" t="s">
        <v>3975</v>
      </c>
      <c r="M568" s="16" t="s">
        <v>58</v>
      </c>
      <c r="N568" s="18" t="s">
        <v>59</v>
      </c>
      <c r="O568" s="16"/>
    </row>
    <row r="569" spans="1:15">
      <c r="A569" s="15" t="s">
        <v>4020</v>
      </c>
      <c r="B569" s="16" t="s">
        <v>3975</v>
      </c>
      <c r="C569" s="16" t="s">
        <v>4021</v>
      </c>
      <c r="D569" s="16" t="s">
        <v>4022</v>
      </c>
      <c r="E569" s="16" t="s">
        <v>2660</v>
      </c>
      <c r="F569" s="16" t="s">
        <v>4023</v>
      </c>
      <c r="G569" s="16" t="s">
        <v>4024</v>
      </c>
      <c r="H569" s="16" t="s">
        <v>4025</v>
      </c>
      <c r="I569" s="16"/>
      <c r="J569" s="17" t="s">
        <v>228</v>
      </c>
      <c r="K569" s="17" t="s">
        <v>101</v>
      </c>
      <c r="L569" s="17" t="s">
        <v>3975</v>
      </c>
      <c r="M569" s="16" t="s">
        <v>58</v>
      </c>
      <c r="N569" s="18" t="s">
        <v>59</v>
      </c>
      <c r="O569" s="16"/>
    </row>
    <row r="570" spans="1:15">
      <c r="A570" s="15" t="s">
        <v>4026</v>
      </c>
      <c r="B570" s="16" t="s">
        <v>3975</v>
      </c>
      <c r="C570" s="16" t="s">
        <v>4027</v>
      </c>
      <c r="D570" s="16" t="s">
        <v>4028</v>
      </c>
      <c r="E570" s="16" t="s">
        <v>4029</v>
      </c>
      <c r="F570" s="16" t="s">
        <v>4030</v>
      </c>
      <c r="G570" s="16" t="s">
        <v>4031</v>
      </c>
      <c r="H570" s="16" t="s">
        <v>4032</v>
      </c>
      <c r="I570" s="16"/>
      <c r="J570" s="17" t="s">
        <v>55</v>
      </c>
      <c r="K570" s="17" t="s">
        <v>67</v>
      </c>
      <c r="L570" s="17" t="s">
        <v>3975</v>
      </c>
      <c r="M570" s="16" t="s">
        <v>58</v>
      </c>
      <c r="N570" s="18" t="s">
        <v>59</v>
      </c>
      <c r="O570" s="16"/>
    </row>
    <row r="571" spans="1:15">
      <c r="A571" s="15" t="s">
        <v>4033</v>
      </c>
      <c r="B571" s="16" t="s">
        <v>3975</v>
      </c>
      <c r="C571" s="16" t="s">
        <v>4034</v>
      </c>
      <c r="D571" s="16" t="s">
        <v>4035</v>
      </c>
      <c r="E571" s="16" t="s">
        <v>4036</v>
      </c>
      <c r="F571" s="16" t="s">
        <v>4037</v>
      </c>
      <c r="G571" s="16" t="s">
        <v>4038</v>
      </c>
      <c r="H571" s="16" t="s">
        <v>4039</v>
      </c>
      <c r="I571" s="16"/>
      <c r="J571" s="17" t="s">
        <v>100</v>
      </c>
      <c r="K571" s="17" t="s">
        <v>67</v>
      </c>
      <c r="L571" s="17" t="s">
        <v>3975</v>
      </c>
      <c r="M571" s="16" t="s">
        <v>58</v>
      </c>
      <c r="N571" s="18" t="s">
        <v>59</v>
      </c>
      <c r="O571" s="16"/>
    </row>
    <row r="572" spans="1:15">
      <c r="A572" s="15" t="s">
        <v>4040</v>
      </c>
      <c r="B572" s="16" t="s">
        <v>3975</v>
      </c>
      <c r="C572" s="16" t="s">
        <v>4041</v>
      </c>
      <c r="D572" s="16" t="s">
        <v>4042</v>
      </c>
      <c r="E572" s="16" t="s">
        <v>4043</v>
      </c>
      <c r="F572" s="16" t="s">
        <v>4044</v>
      </c>
      <c r="G572" s="16" t="s">
        <v>4045</v>
      </c>
      <c r="H572" s="16" t="s">
        <v>4046</v>
      </c>
      <c r="I572" s="16"/>
      <c r="J572" s="17" t="s">
        <v>100</v>
      </c>
      <c r="K572" s="17" t="s">
        <v>101</v>
      </c>
      <c r="L572" s="17" t="s">
        <v>3975</v>
      </c>
      <c r="M572" s="16" t="s">
        <v>58</v>
      </c>
      <c r="N572" s="18" t="s">
        <v>59</v>
      </c>
      <c r="O572" s="16"/>
    </row>
    <row r="573" spans="1:15">
      <c r="A573" s="15" t="s">
        <v>4047</v>
      </c>
      <c r="B573" s="16" t="s">
        <v>3975</v>
      </c>
      <c r="C573" s="16" t="s">
        <v>4048</v>
      </c>
      <c r="D573" s="16" t="s">
        <v>4049</v>
      </c>
      <c r="E573" s="16" t="s">
        <v>4050</v>
      </c>
      <c r="F573" s="16" t="s">
        <v>4051</v>
      </c>
      <c r="G573" s="16" t="s">
        <v>4052</v>
      </c>
      <c r="H573" s="16" t="s">
        <v>4053</v>
      </c>
      <c r="I573" s="16"/>
      <c r="J573" s="17" t="s">
        <v>228</v>
      </c>
      <c r="K573" s="17" t="s">
        <v>101</v>
      </c>
      <c r="L573" s="17" t="s">
        <v>3975</v>
      </c>
      <c r="M573" s="16" t="s">
        <v>58</v>
      </c>
      <c r="N573" s="18" t="s">
        <v>59</v>
      </c>
      <c r="O573" s="16"/>
    </row>
    <row r="574" spans="1:15">
      <c r="A574" s="12" t="s">
        <v>4054</v>
      </c>
      <c r="B574" s="10" t="s">
        <v>4055</v>
      </c>
      <c r="C574" s="10" t="s">
        <v>4056</v>
      </c>
      <c r="D574" s="10" t="s">
        <v>4057</v>
      </c>
      <c r="E574" s="10" t="s">
        <v>4058</v>
      </c>
      <c r="F574" s="10" t="s">
        <v>4059</v>
      </c>
      <c r="G574" s="10" t="s">
        <v>4060</v>
      </c>
      <c r="H574" s="10" t="s">
        <v>4061</v>
      </c>
      <c r="I574" s="10"/>
      <c r="J574" s="13" t="s">
        <v>55</v>
      </c>
      <c r="K574" s="13" t="s">
        <v>67</v>
      </c>
      <c r="L574" s="13" t="s">
        <v>4055</v>
      </c>
      <c r="M574" s="10" t="s">
        <v>58</v>
      </c>
      <c r="N574" s="14" t="s">
        <v>59</v>
      </c>
      <c r="O574" s="10"/>
    </row>
    <row r="575" spans="1:15">
      <c r="A575" s="12" t="s">
        <v>4062</v>
      </c>
      <c r="B575" s="10" t="s">
        <v>4055</v>
      </c>
      <c r="C575" s="10" t="s">
        <v>4063</v>
      </c>
      <c r="D575" s="10" t="s">
        <v>4064</v>
      </c>
      <c r="E575" s="10" t="s">
        <v>4065</v>
      </c>
      <c r="F575" s="10" t="s">
        <v>4059</v>
      </c>
      <c r="G575" s="10" t="s">
        <v>4066</v>
      </c>
      <c r="H575" s="10" t="s">
        <v>4067</v>
      </c>
      <c r="I575" s="10"/>
      <c r="J575" s="13" t="s">
        <v>55</v>
      </c>
      <c r="K575" s="13" t="s">
        <v>67</v>
      </c>
      <c r="L575" s="13" t="s">
        <v>4055</v>
      </c>
      <c r="M575" s="10" t="s">
        <v>58</v>
      </c>
      <c r="N575" s="14" t="s">
        <v>59</v>
      </c>
      <c r="O575" s="10"/>
    </row>
    <row r="576" spans="1:15">
      <c r="A576" s="12" t="s">
        <v>4068</v>
      </c>
      <c r="B576" s="10" t="s">
        <v>4055</v>
      </c>
      <c r="C576" s="10" t="s">
        <v>4069</v>
      </c>
      <c r="D576" s="10" t="s">
        <v>4070</v>
      </c>
      <c r="E576" s="10" t="s">
        <v>4071</v>
      </c>
      <c r="F576" s="10" t="s">
        <v>4072</v>
      </c>
      <c r="G576" s="10" t="s">
        <v>4073</v>
      </c>
      <c r="H576" s="10" t="s">
        <v>4074</v>
      </c>
      <c r="I576" s="10"/>
      <c r="J576" s="13" t="s">
        <v>55</v>
      </c>
      <c r="K576" s="13" t="s">
        <v>67</v>
      </c>
      <c r="L576" s="13" t="s">
        <v>4055</v>
      </c>
      <c r="M576" s="10" t="s">
        <v>58</v>
      </c>
      <c r="N576" s="14" t="s">
        <v>59</v>
      </c>
      <c r="O576" s="10"/>
    </row>
    <row r="577" spans="1:15">
      <c r="A577" s="12" t="s">
        <v>4075</v>
      </c>
      <c r="B577" s="10" t="s">
        <v>4055</v>
      </c>
      <c r="C577" s="10" t="s">
        <v>1594</v>
      </c>
      <c r="D577" s="10" t="s">
        <v>4076</v>
      </c>
      <c r="E577" s="10" t="s">
        <v>4077</v>
      </c>
      <c r="F577" s="10" t="s">
        <v>4059</v>
      </c>
      <c r="G577" s="10" t="s">
        <v>4078</v>
      </c>
      <c r="H577" s="10" t="s">
        <v>4079</v>
      </c>
      <c r="I577" s="10"/>
      <c r="J577" s="13" t="s">
        <v>100</v>
      </c>
      <c r="K577" s="13" t="s">
        <v>101</v>
      </c>
      <c r="L577" s="13" t="s">
        <v>4055</v>
      </c>
      <c r="M577" s="10" t="s">
        <v>58</v>
      </c>
      <c r="N577" s="14" t="s">
        <v>59</v>
      </c>
      <c r="O577" s="10"/>
    </row>
    <row r="578" spans="1:15">
      <c r="A578" s="12" t="s">
        <v>4080</v>
      </c>
      <c r="B578" s="10" t="s">
        <v>4055</v>
      </c>
      <c r="C578" s="10" t="s">
        <v>4081</v>
      </c>
      <c r="D578" s="10" t="s">
        <v>4082</v>
      </c>
      <c r="E578" s="10" t="s">
        <v>4083</v>
      </c>
      <c r="F578" s="10" t="s">
        <v>4084</v>
      </c>
      <c r="G578" s="10" t="s">
        <v>4085</v>
      </c>
      <c r="H578" s="10" t="s">
        <v>4086</v>
      </c>
      <c r="I578" s="10"/>
      <c r="J578" s="13" t="s">
        <v>55</v>
      </c>
      <c r="K578" s="13" t="s">
        <v>67</v>
      </c>
      <c r="L578" s="13" t="s">
        <v>4055</v>
      </c>
      <c r="M578" s="10" t="s">
        <v>300</v>
      </c>
      <c r="N578" s="14" t="s">
        <v>59</v>
      </c>
      <c r="O578" s="10"/>
    </row>
    <row r="579" spans="1:15">
      <c r="A579" s="12" t="s">
        <v>4087</v>
      </c>
      <c r="B579" s="10" t="s">
        <v>4055</v>
      </c>
      <c r="C579" s="10" t="s">
        <v>4088</v>
      </c>
      <c r="D579" s="10" t="s">
        <v>4089</v>
      </c>
      <c r="E579" s="10" t="s">
        <v>4090</v>
      </c>
      <c r="F579" s="10" t="s">
        <v>4084</v>
      </c>
      <c r="G579" s="10" t="s">
        <v>4091</v>
      </c>
      <c r="H579" s="10" t="s">
        <v>4092</v>
      </c>
      <c r="I579" s="10"/>
      <c r="J579" s="13" t="s">
        <v>55</v>
      </c>
      <c r="K579" s="13" t="s">
        <v>67</v>
      </c>
      <c r="L579" s="13" t="s">
        <v>4055</v>
      </c>
      <c r="M579" s="10" t="s">
        <v>300</v>
      </c>
      <c r="N579" s="14" t="s">
        <v>59</v>
      </c>
      <c r="O579" s="10"/>
    </row>
    <row r="580" spans="1:15">
      <c r="A580" s="12" t="s">
        <v>4093</v>
      </c>
      <c r="B580" s="10" t="s">
        <v>4055</v>
      </c>
      <c r="C580" s="10" t="s">
        <v>4094</v>
      </c>
      <c r="D580" s="10" t="s">
        <v>4095</v>
      </c>
      <c r="E580" s="10" t="s">
        <v>4096</v>
      </c>
      <c r="F580" s="10" t="s">
        <v>4097</v>
      </c>
      <c r="G580" s="10" t="s">
        <v>4098</v>
      </c>
      <c r="H580" s="10" t="s">
        <v>4099</v>
      </c>
      <c r="I580" s="10"/>
      <c r="J580" s="13" t="s">
        <v>228</v>
      </c>
      <c r="K580" s="13" t="s">
        <v>101</v>
      </c>
      <c r="L580" s="13" t="s">
        <v>4055</v>
      </c>
      <c r="M580" s="10" t="s">
        <v>58</v>
      </c>
      <c r="N580" s="14" t="s">
        <v>59</v>
      </c>
      <c r="O580" s="10"/>
    </row>
    <row r="581" spans="1:15">
      <c r="A581" s="12" t="s">
        <v>4100</v>
      </c>
      <c r="B581" s="10" t="s">
        <v>4055</v>
      </c>
      <c r="C581" s="10" t="s">
        <v>4101</v>
      </c>
      <c r="D581" s="10" t="s">
        <v>4102</v>
      </c>
      <c r="E581" s="10" t="s">
        <v>4101</v>
      </c>
      <c r="F581" s="10" t="s">
        <v>4103</v>
      </c>
      <c r="G581" s="10" t="s">
        <v>4104</v>
      </c>
      <c r="H581" s="10" t="s">
        <v>4105</v>
      </c>
      <c r="I581" s="10"/>
      <c r="J581" s="13" t="s">
        <v>228</v>
      </c>
      <c r="K581" s="13" t="s">
        <v>101</v>
      </c>
      <c r="L581" s="13" t="s">
        <v>4106</v>
      </c>
      <c r="M581" s="10" t="s">
        <v>58</v>
      </c>
      <c r="N581" s="14" t="s">
        <v>59</v>
      </c>
      <c r="O581" s="10"/>
    </row>
    <row r="582" spans="1:15">
      <c r="A582" s="12" t="s">
        <v>4107</v>
      </c>
      <c r="B582" s="10" t="s">
        <v>4055</v>
      </c>
      <c r="C582" s="10" t="s">
        <v>4108</v>
      </c>
      <c r="D582" s="10" t="s">
        <v>4109</v>
      </c>
      <c r="E582" s="10" t="s">
        <v>4110</v>
      </c>
      <c r="F582" s="10" t="s">
        <v>4111</v>
      </c>
      <c r="G582" s="10" t="s">
        <v>4112</v>
      </c>
      <c r="H582" s="10" t="s">
        <v>4113</v>
      </c>
      <c r="I582" s="10"/>
      <c r="J582" s="13" t="s">
        <v>228</v>
      </c>
      <c r="K582" s="13" t="s">
        <v>101</v>
      </c>
      <c r="L582" s="13" t="s">
        <v>4106</v>
      </c>
      <c r="M582" s="10" t="s">
        <v>58</v>
      </c>
      <c r="N582" s="14" t="s">
        <v>59</v>
      </c>
      <c r="O582" s="10"/>
    </row>
    <row r="583" spans="1:15">
      <c r="A583" s="12" t="s">
        <v>4114</v>
      </c>
      <c r="B583" s="10" t="s">
        <v>4055</v>
      </c>
      <c r="C583" s="10" t="s">
        <v>4115</v>
      </c>
      <c r="D583" s="10" t="s">
        <v>4116</v>
      </c>
      <c r="E583" s="10" t="s">
        <v>4117</v>
      </c>
      <c r="F583" s="10" t="s">
        <v>4118</v>
      </c>
      <c r="G583" s="10" t="s">
        <v>4119</v>
      </c>
      <c r="H583" s="10" t="s">
        <v>4120</v>
      </c>
      <c r="I583" s="10"/>
      <c r="J583" s="13" t="s">
        <v>100</v>
      </c>
      <c r="K583" s="13" t="s">
        <v>67</v>
      </c>
      <c r="L583" s="13" t="s">
        <v>4055</v>
      </c>
      <c r="M583" s="10" t="s">
        <v>58</v>
      </c>
      <c r="N583" s="14" t="s">
        <v>59</v>
      </c>
      <c r="O583" s="10"/>
    </row>
    <row r="584" spans="1:15">
      <c r="A584" s="12" t="s">
        <v>4121</v>
      </c>
      <c r="B584" s="10" t="s">
        <v>4055</v>
      </c>
      <c r="C584" s="10" t="s">
        <v>4122</v>
      </c>
      <c r="D584" s="10" t="s">
        <v>4123</v>
      </c>
      <c r="E584" s="10" t="s">
        <v>4124</v>
      </c>
      <c r="F584" s="10" t="s">
        <v>4125</v>
      </c>
      <c r="G584" s="10" t="s">
        <v>4126</v>
      </c>
      <c r="H584" s="10" t="s">
        <v>4127</v>
      </c>
      <c r="I584" s="10"/>
      <c r="J584" s="13" t="s">
        <v>100</v>
      </c>
      <c r="K584" s="13" t="s">
        <v>67</v>
      </c>
      <c r="L584" s="13" t="s">
        <v>4128</v>
      </c>
      <c r="M584" s="10" t="s">
        <v>300</v>
      </c>
      <c r="N584" s="14" t="s">
        <v>59</v>
      </c>
      <c r="O584" s="10"/>
    </row>
    <row r="585" spans="1:15">
      <c r="A585" s="12" t="s">
        <v>4129</v>
      </c>
      <c r="B585" s="10" t="s">
        <v>4055</v>
      </c>
      <c r="C585" s="10" t="s">
        <v>4130</v>
      </c>
      <c r="D585" s="10" t="s">
        <v>4131</v>
      </c>
      <c r="E585" s="10" t="s">
        <v>4132</v>
      </c>
      <c r="F585" s="10" t="s">
        <v>4133</v>
      </c>
      <c r="G585" s="10" t="s">
        <v>4134</v>
      </c>
      <c r="H585" s="10" t="s">
        <v>4135</v>
      </c>
      <c r="I585" s="10"/>
      <c r="J585" s="13" t="s">
        <v>100</v>
      </c>
      <c r="K585" s="13" t="s">
        <v>67</v>
      </c>
      <c r="L585" s="13" t="s">
        <v>4136</v>
      </c>
      <c r="M585" s="10" t="s">
        <v>58</v>
      </c>
      <c r="N585" s="14" t="s">
        <v>59</v>
      </c>
      <c r="O585" s="10"/>
    </row>
    <row r="586" spans="1:15">
      <c r="A586" s="15" t="s">
        <v>4137</v>
      </c>
      <c r="B586" s="16" t="s">
        <v>4138</v>
      </c>
      <c r="C586" s="16" t="s">
        <v>4139</v>
      </c>
      <c r="D586" s="16" t="s">
        <v>4140</v>
      </c>
      <c r="E586" s="16" t="s">
        <v>3757</v>
      </c>
      <c r="F586" s="16" t="s">
        <v>4141</v>
      </c>
      <c r="G586" s="16" t="s">
        <v>4142</v>
      </c>
      <c r="H586" s="16" t="s">
        <v>4143</v>
      </c>
      <c r="I586" s="16"/>
      <c r="J586" s="17" t="s">
        <v>100</v>
      </c>
      <c r="K586" s="17" t="s">
        <v>67</v>
      </c>
      <c r="L586" s="17" t="s">
        <v>3761</v>
      </c>
      <c r="M586" s="16" t="s">
        <v>58</v>
      </c>
      <c r="N586" s="18" t="s">
        <v>59</v>
      </c>
      <c r="O586" s="16"/>
    </row>
    <row r="587" spans="1:15">
      <c r="A587" s="15" t="s">
        <v>4144</v>
      </c>
      <c r="B587" s="16" t="s">
        <v>4138</v>
      </c>
      <c r="C587" s="16" t="s">
        <v>4145</v>
      </c>
      <c r="D587" s="16" t="s">
        <v>4146</v>
      </c>
      <c r="E587" s="16" t="s">
        <v>4147</v>
      </c>
      <c r="F587" s="16" t="s">
        <v>4148</v>
      </c>
      <c r="G587" s="16" t="s">
        <v>4149</v>
      </c>
      <c r="H587" s="16" t="s">
        <v>4150</v>
      </c>
      <c r="I587" s="16"/>
      <c r="J587" s="17" t="s">
        <v>100</v>
      </c>
      <c r="K587" s="17" t="s">
        <v>67</v>
      </c>
      <c r="L587" s="17" t="s">
        <v>3761</v>
      </c>
      <c r="M587" s="16" t="s">
        <v>58</v>
      </c>
      <c r="N587" s="18" t="s">
        <v>59</v>
      </c>
      <c r="O587" s="16"/>
    </row>
    <row r="588" spans="1:15">
      <c r="A588" s="15" t="s">
        <v>4151</v>
      </c>
      <c r="B588" s="16" t="s">
        <v>4138</v>
      </c>
      <c r="C588" s="16" t="s">
        <v>4152</v>
      </c>
      <c r="D588" s="16" t="s">
        <v>4153</v>
      </c>
      <c r="E588" s="16" t="s">
        <v>4154</v>
      </c>
      <c r="F588" s="16" t="s">
        <v>4155</v>
      </c>
      <c r="G588" s="16" t="s">
        <v>4156</v>
      </c>
      <c r="H588" s="16" t="s">
        <v>4157</v>
      </c>
      <c r="I588" s="16"/>
      <c r="J588" s="17" t="s">
        <v>100</v>
      </c>
      <c r="K588" s="17" t="s">
        <v>67</v>
      </c>
      <c r="L588" s="17" t="s">
        <v>4158</v>
      </c>
      <c r="M588" s="16" t="s">
        <v>58</v>
      </c>
      <c r="N588" s="18" t="s">
        <v>59</v>
      </c>
      <c r="O588" s="16"/>
    </row>
    <row r="589" spans="1:15">
      <c r="A589" s="15" t="s">
        <v>4159</v>
      </c>
      <c r="B589" s="16" t="s">
        <v>4138</v>
      </c>
      <c r="C589" s="16" t="s">
        <v>4160</v>
      </c>
      <c r="D589" s="16" t="s">
        <v>4161</v>
      </c>
      <c r="E589" s="16" t="s">
        <v>4162</v>
      </c>
      <c r="F589" s="16" t="s">
        <v>4163</v>
      </c>
      <c r="G589" s="16" t="s">
        <v>4164</v>
      </c>
      <c r="H589" s="16" t="s">
        <v>4165</v>
      </c>
      <c r="I589" s="16"/>
      <c r="J589" s="17" t="s">
        <v>100</v>
      </c>
      <c r="K589" s="17" t="s">
        <v>101</v>
      </c>
      <c r="L589" s="17" t="s">
        <v>4166</v>
      </c>
      <c r="M589" s="16" t="s">
        <v>58</v>
      </c>
      <c r="N589" s="18" t="s">
        <v>59</v>
      </c>
      <c r="O589" s="16"/>
    </row>
    <row r="590" spans="1:15">
      <c r="A590" s="15" t="s">
        <v>4167</v>
      </c>
      <c r="B590" s="16" t="s">
        <v>4138</v>
      </c>
      <c r="C590" s="16" t="s">
        <v>4168</v>
      </c>
      <c r="D590" s="16" t="s">
        <v>4169</v>
      </c>
      <c r="E590" s="16" t="s">
        <v>4170</v>
      </c>
      <c r="F590" s="16" t="s">
        <v>4171</v>
      </c>
      <c r="G590" s="16" t="s">
        <v>4172</v>
      </c>
      <c r="H590" s="16" t="s">
        <v>4173</v>
      </c>
      <c r="I590" s="16"/>
      <c r="J590" s="17" t="s">
        <v>100</v>
      </c>
      <c r="K590" s="17" t="s">
        <v>101</v>
      </c>
      <c r="L590" s="17" t="s">
        <v>4174</v>
      </c>
      <c r="M590" s="16" t="s">
        <v>58</v>
      </c>
      <c r="N590" s="18" t="s">
        <v>59</v>
      </c>
      <c r="O590" s="16"/>
    </row>
    <row r="591" spans="1:15">
      <c r="A591" s="15" t="s">
        <v>4175</v>
      </c>
      <c r="B591" s="16" t="s">
        <v>4138</v>
      </c>
      <c r="C591" s="16" t="s">
        <v>4176</v>
      </c>
      <c r="D591" s="16" t="s">
        <v>4177</v>
      </c>
      <c r="E591" s="16" t="s">
        <v>4178</v>
      </c>
      <c r="F591" s="16" t="s">
        <v>4179</v>
      </c>
      <c r="G591" s="16" t="s">
        <v>4180</v>
      </c>
      <c r="H591" s="16" t="s">
        <v>4181</v>
      </c>
      <c r="I591" s="16"/>
      <c r="J591" s="17" t="s">
        <v>100</v>
      </c>
      <c r="K591" s="17" t="s">
        <v>101</v>
      </c>
      <c r="L591" s="17" t="s">
        <v>4182</v>
      </c>
      <c r="M591" s="16" t="s">
        <v>58</v>
      </c>
      <c r="N591" s="18" t="s">
        <v>59</v>
      </c>
      <c r="O591" s="16"/>
    </row>
    <row r="592" spans="1:15">
      <c r="A592" s="15" t="s">
        <v>4183</v>
      </c>
      <c r="B592" s="16" t="s">
        <v>4138</v>
      </c>
      <c r="C592" s="16" t="s">
        <v>4184</v>
      </c>
      <c r="D592" s="16" t="s">
        <v>4185</v>
      </c>
      <c r="E592" s="16" t="s">
        <v>4186</v>
      </c>
      <c r="F592" s="16" t="s">
        <v>4187</v>
      </c>
      <c r="G592" s="16" t="s">
        <v>4188</v>
      </c>
      <c r="H592" s="16" t="s">
        <v>4189</v>
      </c>
      <c r="I592" s="16"/>
      <c r="J592" s="17" t="s">
        <v>100</v>
      </c>
      <c r="K592" s="17" t="s">
        <v>101</v>
      </c>
      <c r="L592" s="17" t="s">
        <v>4190</v>
      </c>
      <c r="M592" s="16" t="s">
        <v>58</v>
      </c>
      <c r="N592" s="18" t="s">
        <v>59</v>
      </c>
      <c r="O592" s="16"/>
    </row>
    <row r="593" spans="1:15">
      <c r="A593" s="15" t="s">
        <v>4191</v>
      </c>
      <c r="B593" s="16" t="s">
        <v>4138</v>
      </c>
      <c r="C593" s="16" t="s">
        <v>4192</v>
      </c>
      <c r="D593" s="16" t="s">
        <v>4193</v>
      </c>
      <c r="E593" s="16" t="s">
        <v>4194</v>
      </c>
      <c r="F593" s="16" t="s">
        <v>4195</v>
      </c>
      <c r="G593" s="16" t="s">
        <v>4196</v>
      </c>
      <c r="H593" s="16" t="s">
        <v>4197</v>
      </c>
      <c r="I593" s="16"/>
      <c r="J593" s="17" t="s">
        <v>100</v>
      </c>
      <c r="K593" s="17" t="s">
        <v>101</v>
      </c>
      <c r="L593" s="17" t="s">
        <v>4198</v>
      </c>
      <c r="M593" s="16" t="s">
        <v>58</v>
      </c>
      <c r="N593" s="18" t="s">
        <v>59</v>
      </c>
      <c r="O593" s="16"/>
    </row>
    <row r="594" spans="1:15">
      <c r="A594" s="15" t="s">
        <v>4199</v>
      </c>
      <c r="B594" s="16" t="s">
        <v>4138</v>
      </c>
      <c r="C594" s="16" t="s">
        <v>4200</v>
      </c>
      <c r="D594" s="16" t="s">
        <v>4201</v>
      </c>
      <c r="E594" s="16" t="s">
        <v>4202</v>
      </c>
      <c r="F594" s="16" t="s">
        <v>4203</v>
      </c>
      <c r="G594" s="16" t="s">
        <v>4204</v>
      </c>
      <c r="H594" s="16" t="s">
        <v>4205</v>
      </c>
      <c r="I594" s="16"/>
      <c r="J594" s="17" t="s">
        <v>100</v>
      </c>
      <c r="K594" s="17" t="s">
        <v>101</v>
      </c>
      <c r="L594" s="17" t="s">
        <v>4206</v>
      </c>
      <c r="M594" s="16" t="s">
        <v>58</v>
      </c>
      <c r="N594" s="18" t="s">
        <v>59</v>
      </c>
      <c r="O594" s="16"/>
    </row>
    <row r="595" spans="1:15">
      <c r="A595" s="15" t="s">
        <v>4207</v>
      </c>
      <c r="B595" s="16" t="s">
        <v>4138</v>
      </c>
      <c r="C595" s="16" t="s">
        <v>4208</v>
      </c>
      <c r="D595" s="16" t="s">
        <v>4209</v>
      </c>
      <c r="E595" s="16" t="s">
        <v>4210</v>
      </c>
      <c r="F595" s="16" t="s">
        <v>4211</v>
      </c>
      <c r="G595" s="16" t="s">
        <v>4212</v>
      </c>
      <c r="H595" s="16" t="s">
        <v>4213</v>
      </c>
      <c r="I595" s="16"/>
      <c r="J595" s="17" t="s">
        <v>100</v>
      </c>
      <c r="K595" s="17" t="s">
        <v>67</v>
      </c>
      <c r="L595" s="17" t="s">
        <v>4174</v>
      </c>
      <c r="M595" s="16" t="s">
        <v>58</v>
      </c>
      <c r="N595" s="18" t="s">
        <v>59</v>
      </c>
      <c r="O595" s="16"/>
    </row>
    <row r="596" spans="1:15">
      <c r="A596" s="15" t="s">
        <v>4214</v>
      </c>
      <c r="B596" s="16" t="s">
        <v>4138</v>
      </c>
      <c r="C596" s="16" t="s">
        <v>4215</v>
      </c>
      <c r="D596" s="16" t="s">
        <v>4216</v>
      </c>
      <c r="E596" s="16" t="s">
        <v>4217</v>
      </c>
      <c r="F596" s="16" t="s">
        <v>4218</v>
      </c>
      <c r="G596" s="16" t="s">
        <v>4219</v>
      </c>
      <c r="H596" s="16" t="s">
        <v>4220</v>
      </c>
      <c r="I596" s="16"/>
      <c r="J596" s="17" t="s">
        <v>228</v>
      </c>
      <c r="K596" s="17" t="s">
        <v>101</v>
      </c>
      <c r="L596" s="17" t="s">
        <v>4221</v>
      </c>
      <c r="M596" s="16" t="s">
        <v>58</v>
      </c>
      <c r="N596" s="18" t="s">
        <v>59</v>
      </c>
      <c r="O596" s="16"/>
    </row>
    <row r="597" spans="1:15">
      <c r="A597" s="15" t="s">
        <v>4222</v>
      </c>
      <c r="B597" s="16" t="s">
        <v>4138</v>
      </c>
      <c r="C597" s="16" t="s">
        <v>4223</v>
      </c>
      <c r="D597" s="16" t="s">
        <v>4224</v>
      </c>
      <c r="E597" s="16" t="s">
        <v>4225</v>
      </c>
      <c r="F597" s="16" t="s">
        <v>4226</v>
      </c>
      <c r="G597" s="16" t="s">
        <v>4227</v>
      </c>
      <c r="H597" s="16" t="s">
        <v>4228</v>
      </c>
      <c r="I597" s="16"/>
      <c r="J597" s="17" t="s">
        <v>228</v>
      </c>
      <c r="K597" s="17" t="s">
        <v>101</v>
      </c>
      <c r="L597" s="17" t="s">
        <v>4190</v>
      </c>
      <c r="M597" s="16" t="s">
        <v>58</v>
      </c>
      <c r="N597" s="18" t="s">
        <v>59</v>
      </c>
      <c r="O597" s="16"/>
    </row>
    <row r="598" spans="1:15">
      <c r="A598" s="12" t="s">
        <v>4229</v>
      </c>
      <c r="B598" s="10" t="s">
        <v>4230</v>
      </c>
      <c r="C598" s="10" t="s">
        <v>4231</v>
      </c>
      <c r="D598" s="10" t="s">
        <v>4232</v>
      </c>
      <c r="E598" s="10" t="s">
        <v>4233</v>
      </c>
      <c r="F598" s="10" t="s">
        <v>4234</v>
      </c>
      <c r="G598" s="10" t="s">
        <v>4235</v>
      </c>
      <c r="H598" s="10" t="s">
        <v>4236</v>
      </c>
      <c r="I598" s="10"/>
      <c r="J598" s="13" t="s">
        <v>55</v>
      </c>
      <c r="K598" s="13" t="s">
        <v>56</v>
      </c>
      <c r="L598" s="13" t="s">
        <v>2254</v>
      </c>
      <c r="M598" s="10" t="s">
        <v>2255</v>
      </c>
      <c r="N598" s="14" t="s">
        <v>59</v>
      </c>
      <c r="O598" s="10"/>
    </row>
    <row r="599" spans="1:15">
      <c r="A599" s="12" t="s">
        <v>4237</v>
      </c>
      <c r="B599" s="10" t="s">
        <v>4230</v>
      </c>
      <c r="C599" s="10" t="s">
        <v>4238</v>
      </c>
      <c r="D599" s="10" t="s">
        <v>4239</v>
      </c>
      <c r="E599" s="10" t="s">
        <v>4240</v>
      </c>
      <c r="F599" s="10" t="s">
        <v>4241</v>
      </c>
      <c r="G599" s="10" t="s">
        <v>4242</v>
      </c>
      <c r="H599" s="10" t="s">
        <v>4243</v>
      </c>
      <c r="I599" s="10"/>
      <c r="J599" s="13" t="s">
        <v>55</v>
      </c>
      <c r="K599" s="13" t="s">
        <v>456</v>
      </c>
      <c r="L599" s="13" t="s">
        <v>2254</v>
      </c>
      <c r="M599" s="10" t="s">
        <v>2255</v>
      </c>
      <c r="N599" s="14" t="s">
        <v>59</v>
      </c>
      <c r="O599" s="10"/>
    </row>
    <row r="600" spans="1:15">
      <c r="A600" s="12" t="s">
        <v>4244</v>
      </c>
      <c r="B600" s="10" t="s">
        <v>4230</v>
      </c>
      <c r="C600" s="10" t="s">
        <v>4245</v>
      </c>
      <c r="D600" s="10" t="s">
        <v>4246</v>
      </c>
      <c r="E600" s="10" t="s">
        <v>4247</v>
      </c>
      <c r="F600" s="10" t="s">
        <v>4248</v>
      </c>
      <c r="G600" s="10" t="s">
        <v>4249</v>
      </c>
      <c r="H600" s="10" t="s">
        <v>4250</v>
      </c>
      <c r="I600" s="10"/>
      <c r="J600" s="13" t="s">
        <v>55</v>
      </c>
      <c r="K600" s="13" t="s">
        <v>56</v>
      </c>
      <c r="L600" s="13" t="s">
        <v>4251</v>
      </c>
      <c r="M600" s="10" t="s">
        <v>2255</v>
      </c>
      <c r="N600" s="14" t="s">
        <v>59</v>
      </c>
      <c r="O600" s="10"/>
    </row>
    <row r="601" spans="1:15">
      <c r="A601" s="12" t="s">
        <v>4252</v>
      </c>
      <c r="B601" s="10" t="s">
        <v>4230</v>
      </c>
      <c r="C601" s="10" t="s">
        <v>4253</v>
      </c>
      <c r="D601" s="10" t="s">
        <v>4254</v>
      </c>
      <c r="E601" s="10" t="s">
        <v>4255</v>
      </c>
      <c r="F601" s="10" t="s">
        <v>4256</v>
      </c>
      <c r="G601" s="10" t="s">
        <v>2252</v>
      </c>
      <c r="H601" s="10" t="s">
        <v>4257</v>
      </c>
      <c r="I601" s="10"/>
      <c r="J601" s="13" t="s">
        <v>55</v>
      </c>
      <c r="K601" s="13" t="s">
        <v>456</v>
      </c>
      <c r="L601" s="13" t="s">
        <v>2254</v>
      </c>
      <c r="M601" s="10" t="s">
        <v>2255</v>
      </c>
      <c r="N601" s="14" t="s">
        <v>59</v>
      </c>
      <c r="O601" s="10"/>
    </row>
    <row r="602" spans="1:15">
      <c r="A602" s="12" t="s">
        <v>4258</v>
      </c>
      <c r="B602" s="10" t="s">
        <v>4230</v>
      </c>
      <c r="C602" s="10" t="s">
        <v>4259</v>
      </c>
      <c r="D602" s="10" t="s">
        <v>4260</v>
      </c>
      <c r="E602" s="10" t="s">
        <v>4261</v>
      </c>
      <c r="F602" s="10" t="s">
        <v>4262</v>
      </c>
      <c r="G602" s="10" t="s">
        <v>4263</v>
      </c>
      <c r="H602" s="10" t="s">
        <v>4264</v>
      </c>
      <c r="I602" s="10"/>
      <c r="J602" s="13" t="s">
        <v>55</v>
      </c>
      <c r="K602" s="13" t="s">
        <v>56</v>
      </c>
      <c r="L602" s="13" t="s">
        <v>2254</v>
      </c>
      <c r="M602" s="10" t="s">
        <v>2255</v>
      </c>
      <c r="N602" s="14" t="s">
        <v>59</v>
      </c>
      <c r="O602" s="10"/>
    </row>
    <row r="603" spans="1:15">
      <c r="A603" s="12" t="s">
        <v>4265</v>
      </c>
      <c r="B603" s="10" t="s">
        <v>4230</v>
      </c>
      <c r="C603" s="10" t="s">
        <v>4266</v>
      </c>
      <c r="D603" s="10" t="s">
        <v>4267</v>
      </c>
      <c r="E603" s="10" t="s">
        <v>4268</v>
      </c>
      <c r="F603" s="10" t="s">
        <v>4269</v>
      </c>
      <c r="G603" s="10" t="s">
        <v>2606</v>
      </c>
      <c r="H603" s="10" t="s">
        <v>4270</v>
      </c>
      <c r="I603" s="10"/>
      <c r="J603" s="13" t="s">
        <v>55</v>
      </c>
      <c r="K603" s="13" t="s">
        <v>56</v>
      </c>
      <c r="L603" s="13" t="s">
        <v>2254</v>
      </c>
      <c r="M603" s="10" t="s">
        <v>2255</v>
      </c>
      <c r="N603" s="14" t="s">
        <v>59</v>
      </c>
      <c r="O603" s="10"/>
    </row>
    <row r="604" spans="1:15">
      <c r="A604" s="12" t="s">
        <v>4271</v>
      </c>
      <c r="B604" s="10" t="s">
        <v>4230</v>
      </c>
      <c r="C604" s="10" t="s">
        <v>4272</v>
      </c>
      <c r="D604" s="10" t="s">
        <v>4273</v>
      </c>
      <c r="E604" s="10" t="s">
        <v>4274</v>
      </c>
      <c r="F604" s="10" t="s">
        <v>4275</v>
      </c>
      <c r="G604" s="10" t="s">
        <v>4276</v>
      </c>
      <c r="H604" s="10" t="s">
        <v>4277</v>
      </c>
      <c r="I604" s="10"/>
      <c r="J604" s="13" t="s">
        <v>100</v>
      </c>
      <c r="K604" s="13" t="s">
        <v>67</v>
      </c>
      <c r="L604" s="13" t="s">
        <v>2254</v>
      </c>
      <c r="M604" s="10" t="s">
        <v>2255</v>
      </c>
      <c r="N604" s="14" t="s">
        <v>59</v>
      </c>
      <c r="O604" s="10"/>
    </row>
    <row r="605" spans="1:15">
      <c r="A605" s="12" t="s">
        <v>4278</v>
      </c>
      <c r="B605" s="10" t="s">
        <v>4230</v>
      </c>
      <c r="C605" s="10" t="s">
        <v>4279</v>
      </c>
      <c r="D605" s="10" t="s">
        <v>4280</v>
      </c>
      <c r="E605" s="10" t="s">
        <v>4281</v>
      </c>
      <c r="F605" s="10" t="s">
        <v>4282</v>
      </c>
      <c r="G605" s="10" t="s">
        <v>4283</v>
      </c>
      <c r="H605" s="10" t="s">
        <v>4284</v>
      </c>
      <c r="I605" s="10"/>
      <c r="J605" s="13" t="s">
        <v>100</v>
      </c>
      <c r="K605" s="13" t="s">
        <v>67</v>
      </c>
      <c r="L605" s="13" t="s">
        <v>4251</v>
      </c>
      <c r="M605" s="10" t="s">
        <v>2255</v>
      </c>
      <c r="N605" s="14" t="s">
        <v>59</v>
      </c>
      <c r="O605" s="10"/>
    </row>
    <row r="606" spans="1:15">
      <c r="A606" s="12" t="s">
        <v>4285</v>
      </c>
      <c r="B606" s="10" t="s">
        <v>4230</v>
      </c>
      <c r="C606" s="10" t="s">
        <v>4286</v>
      </c>
      <c r="D606" s="10" t="s">
        <v>4287</v>
      </c>
      <c r="E606" s="10" t="s">
        <v>4288</v>
      </c>
      <c r="F606" s="10" t="s">
        <v>4289</v>
      </c>
      <c r="G606" s="10" t="s">
        <v>4290</v>
      </c>
      <c r="H606" s="10" t="s">
        <v>4291</v>
      </c>
      <c r="I606" s="10"/>
      <c r="J606" s="13" t="s">
        <v>100</v>
      </c>
      <c r="K606" s="13" t="s">
        <v>67</v>
      </c>
      <c r="L606" s="13" t="s">
        <v>3448</v>
      </c>
      <c r="M606" s="10" t="s">
        <v>2255</v>
      </c>
      <c r="N606" s="14" t="s">
        <v>59</v>
      </c>
      <c r="O606" s="10"/>
    </row>
    <row r="607" spans="1:15">
      <c r="A607" s="12" t="s">
        <v>4292</v>
      </c>
      <c r="B607" s="10" t="s">
        <v>4230</v>
      </c>
      <c r="C607" s="10" t="s">
        <v>4293</v>
      </c>
      <c r="D607" s="10" t="s">
        <v>4294</v>
      </c>
      <c r="E607" s="10" t="s">
        <v>4295</v>
      </c>
      <c r="F607" s="10" t="s">
        <v>4296</v>
      </c>
      <c r="G607" s="10" t="s">
        <v>4297</v>
      </c>
      <c r="H607" s="10" t="s">
        <v>4298</v>
      </c>
      <c r="I607" s="10"/>
      <c r="J607" s="13" t="s">
        <v>55</v>
      </c>
      <c r="K607" s="13" t="s">
        <v>56</v>
      </c>
      <c r="L607" s="13" t="s">
        <v>4299</v>
      </c>
      <c r="M607" s="10" t="s">
        <v>2255</v>
      </c>
      <c r="N607" s="14" t="s">
        <v>59</v>
      </c>
      <c r="O607" s="10" t="s">
        <v>4300</v>
      </c>
    </row>
    <row r="608" spans="1:15">
      <c r="A608" s="12" t="s">
        <v>4301</v>
      </c>
      <c r="B608" s="10" t="s">
        <v>4230</v>
      </c>
      <c r="C608" s="10" t="s">
        <v>4302</v>
      </c>
      <c r="D608" s="10" t="s">
        <v>4303</v>
      </c>
      <c r="E608" s="10" t="s">
        <v>4304</v>
      </c>
      <c r="F608" s="10" t="s">
        <v>4305</v>
      </c>
      <c r="G608" s="10" t="s">
        <v>4306</v>
      </c>
      <c r="H608" s="10" t="s">
        <v>4307</v>
      </c>
      <c r="I608" s="10"/>
      <c r="J608" s="13" t="s">
        <v>55</v>
      </c>
      <c r="K608" s="13" t="s">
        <v>56</v>
      </c>
      <c r="L608" s="13" t="s">
        <v>4308</v>
      </c>
      <c r="M608" s="10" t="s">
        <v>2255</v>
      </c>
      <c r="N608" s="14" t="s">
        <v>59</v>
      </c>
      <c r="O608" s="10"/>
    </row>
    <row r="609" spans="1:15">
      <c r="A609" s="12" t="s">
        <v>4309</v>
      </c>
      <c r="B609" s="10" t="s">
        <v>4230</v>
      </c>
      <c r="C609" s="10" t="s">
        <v>4310</v>
      </c>
      <c r="D609" s="10" t="s">
        <v>4311</v>
      </c>
      <c r="E609" s="10" t="s">
        <v>4312</v>
      </c>
      <c r="F609" s="10" t="s">
        <v>4313</v>
      </c>
      <c r="G609" s="10" t="s">
        <v>4314</v>
      </c>
      <c r="H609" s="10" t="s">
        <v>4315</v>
      </c>
      <c r="I609" s="10"/>
      <c r="J609" s="13" t="s">
        <v>100</v>
      </c>
      <c r="K609" s="13" t="s">
        <v>67</v>
      </c>
      <c r="L609" s="13" t="s">
        <v>2254</v>
      </c>
      <c r="M609" s="10" t="s">
        <v>2255</v>
      </c>
      <c r="N609" s="14" t="s">
        <v>59</v>
      </c>
      <c r="O609" s="10"/>
    </row>
    <row r="610" spans="1:15">
      <c r="A610" s="15" t="s">
        <v>4316</v>
      </c>
      <c r="B610" s="16" t="s">
        <v>4317</v>
      </c>
      <c r="C610" s="16" t="s">
        <v>4318</v>
      </c>
      <c r="D610" s="16" t="s">
        <v>4319</v>
      </c>
      <c r="E610" s="16" t="s">
        <v>2660</v>
      </c>
      <c r="F610" s="16" t="s">
        <v>4320</v>
      </c>
      <c r="G610" s="16" t="s">
        <v>4321</v>
      </c>
      <c r="H610" s="16" t="s">
        <v>4322</v>
      </c>
      <c r="I610" s="16"/>
      <c r="J610" s="17" t="s">
        <v>100</v>
      </c>
      <c r="K610" s="17" t="s">
        <v>67</v>
      </c>
      <c r="L610" s="17" t="s">
        <v>4323</v>
      </c>
      <c r="M610" s="16" t="s">
        <v>58</v>
      </c>
      <c r="N610" s="18" t="s">
        <v>59</v>
      </c>
      <c r="O610" s="16"/>
    </row>
    <row r="611" spans="1:15">
      <c r="A611" s="15" t="s">
        <v>4324</v>
      </c>
      <c r="B611" s="16" t="s">
        <v>4317</v>
      </c>
      <c r="C611" s="16" t="s">
        <v>4325</v>
      </c>
      <c r="D611" s="16" t="s">
        <v>4326</v>
      </c>
      <c r="E611" s="16" t="s">
        <v>4327</v>
      </c>
      <c r="F611" s="16" t="s">
        <v>4328</v>
      </c>
      <c r="G611" s="16" t="s">
        <v>4329</v>
      </c>
      <c r="H611" s="16" t="s">
        <v>4330</v>
      </c>
      <c r="I611" s="16"/>
      <c r="J611" s="17" t="s">
        <v>55</v>
      </c>
      <c r="K611" s="17" t="s">
        <v>56</v>
      </c>
      <c r="L611" s="17" t="s">
        <v>4331</v>
      </c>
      <c r="M611" s="16" t="s">
        <v>58</v>
      </c>
      <c r="N611" s="18" t="s">
        <v>59</v>
      </c>
      <c r="O611" s="16"/>
    </row>
    <row r="612" spans="1:15">
      <c r="A612" s="15" t="s">
        <v>4332</v>
      </c>
      <c r="B612" s="16" t="s">
        <v>4317</v>
      </c>
      <c r="C612" s="16" t="s">
        <v>4333</v>
      </c>
      <c r="D612" s="16" t="s">
        <v>4334</v>
      </c>
      <c r="E612" s="16" t="s">
        <v>4335</v>
      </c>
      <c r="F612" s="16" t="s">
        <v>4336</v>
      </c>
      <c r="G612" s="16" t="s">
        <v>4337</v>
      </c>
      <c r="H612" s="16" t="s">
        <v>4338</v>
      </c>
      <c r="I612" s="16"/>
      <c r="J612" s="17" t="s">
        <v>55</v>
      </c>
      <c r="K612" s="17" t="s">
        <v>56</v>
      </c>
      <c r="L612" s="17" t="s">
        <v>4323</v>
      </c>
      <c r="M612" s="16" t="s">
        <v>58</v>
      </c>
      <c r="N612" s="18" t="s">
        <v>59</v>
      </c>
      <c r="O612" s="16"/>
    </row>
    <row r="613" spans="1:15">
      <c r="A613" s="15" t="s">
        <v>4339</v>
      </c>
      <c r="B613" s="16" t="s">
        <v>4317</v>
      </c>
      <c r="C613" s="16" t="s">
        <v>4340</v>
      </c>
      <c r="D613" s="16" t="s">
        <v>4341</v>
      </c>
      <c r="E613" s="16" t="s">
        <v>4342</v>
      </c>
      <c r="F613" s="16" t="s">
        <v>4343</v>
      </c>
      <c r="G613" s="16" t="s">
        <v>4344</v>
      </c>
      <c r="H613" s="16" t="s">
        <v>4345</v>
      </c>
      <c r="I613" s="16"/>
      <c r="J613" s="17" t="s">
        <v>55</v>
      </c>
      <c r="K613" s="17" t="s">
        <v>56</v>
      </c>
      <c r="L613" s="17" t="s">
        <v>4346</v>
      </c>
      <c r="M613" s="16" t="s">
        <v>58</v>
      </c>
      <c r="N613" s="18" t="s">
        <v>59</v>
      </c>
      <c r="O613" s="16"/>
    </row>
    <row r="614" spans="1:15">
      <c r="A614" s="15" t="s">
        <v>4347</v>
      </c>
      <c r="B614" s="16" t="s">
        <v>4317</v>
      </c>
      <c r="C614" s="16" t="s">
        <v>4348</v>
      </c>
      <c r="D614" s="16" t="s">
        <v>4349</v>
      </c>
      <c r="E614" s="16" t="s">
        <v>4350</v>
      </c>
      <c r="F614" s="16" t="s">
        <v>4351</v>
      </c>
      <c r="G614" s="16" t="s">
        <v>4352</v>
      </c>
      <c r="H614" s="16" t="s">
        <v>4353</v>
      </c>
      <c r="I614" s="16"/>
      <c r="J614" s="17" t="s">
        <v>100</v>
      </c>
      <c r="K614" s="17" t="s">
        <v>67</v>
      </c>
      <c r="L614" s="17" t="s">
        <v>4323</v>
      </c>
      <c r="M614" s="16" t="s">
        <v>58</v>
      </c>
      <c r="N614" s="18" t="s">
        <v>59</v>
      </c>
      <c r="O614" s="16"/>
    </row>
    <row r="615" spans="1:15">
      <c r="A615" s="15" t="s">
        <v>4354</v>
      </c>
      <c r="B615" s="16" t="s">
        <v>4317</v>
      </c>
      <c r="C615" s="16" t="s">
        <v>4355</v>
      </c>
      <c r="D615" s="16" t="s">
        <v>4356</v>
      </c>
      <c r="E615" s="16" t="s">
        <v>4357</v>
      </c>
      <c r="F615" s="16" t="s">
        <v>4358</v>
      </c>
      <c r="G615" s="16" t="s">
        <v>4359</v>
      </c>
      <c r="H615" s="16" t="s">
        <v>4360</v>
      </c>
      <c r="I615" s="16"/>
      <c r="J615" s="17" t="s">
        <v>100</v>
      </c>
      <c r="K615" s="17" t="s">
        <v>67</v>
      </c>
      <c r="L615" s="17" t="s">
        <v>4361</v>
      </c>
      <c r="M615" s="16" t="s">
        <v>58</v>
      </c>
      <c r="N615" s="18" t="s">
        <v>59</v>
      </c>
      <c r="O615" s="16"/>
    </row>
    <row r="616" spans="1:15">
      <c r="A616" s="15" t="s">
        <v>4362</v>
      </c>
      <c r="B616" s="16" t="s">
        <v>4317</v>
      </c>
      <c r="C616" s="16" t="s">
        <v>4363</v>
      </c>
      <c r="D616" s="16" t="s">
        <v>4364</v>
      </c>
      <c r="E616" s="16" t="s">
        <v>4365</v>
      </c>
      <c r="F616" s="16" t="s">
        <v>4366</v>
      </c>
      <c r="G616" s="16" t="s">
        <v>4367</v>
      </c>
      <c r="H616" s="16" t="s">
        <v>4368</v>
      </c>
      <c r="I616" s="16"/>
      <c r="J616" s="17" t="s">
        <v>100</v>
      </c>
      <c r="K616" s="17" t="s">
        <v>67</v>
      </c>
      <c r="L616" s="17" t="s">
        <v>4369</v>
      </c>
      <c r="M616" s="16" t="s">
        <v>58</v>
      </c>
      <c r="N616" s="18" t="s">
        <v>59</v>
      </c>
      <c r="O616" s="16"/>
    </row>
    <row r="617" spans="1:15">
      <c r="A617" s="15" t="s">
        <v>4370</v>
      </c>
      <c r="B617" s="16" t="s">
        <v>4317</v>
      </c>
      <c r="C617" s="16" t="s">
        <v>4371</v>
      </c>
      <c r="D617" s="16" t="s">
        <v>4372</v>
      </c>
      <c r="E617" s="16" t="s">
        <v>4373</v>
      </c>
      <c r="F617" s="16" t="s">
        <v>4374</v>
      </c>
      <c r="G617" s="16" t="s">
        <v>4375</v>
      </c>
      <c r="H617" s="16" t="s">
        <v>4376</v>
      </c>
      <c r="I617" s="16"/>
      <c r="J617" s="17" t="s">
        <v>100</v>
      </c>
      <c r="K617" s="17" t="s">
        <v>67</v>
      </c>
      <c r="L617" s="17" t="s">
        <v>823</v>
      </c>
      <c r="M617" s="16" t="s">
        <v>58</v>
      </c>
      <c r="N617" s="18" t="s">
        <v>59</v>
      </c>
      <c r="O617" s="16"/>
    </row>
    <row r="618" spans="1:15">
      <c r="A618" s="15" t="s">
        <v>4377</v>
      </c>
      <c r="B618" s="16" t="s">
        <v>4317</v>
      </c>
      <c r="C618" s="16" t="s">
        <v>4378</v>
      </c>
      <c r="D618" s="16" t="s">
        <v>4379</v>
      </c>
      <c r="E618" s="16" t="s">
        <v>4380</v>
      </c>
      <c r="F618" s="16" t="s">
        <v>4381</v>
      </c>
      <c r="G618" s="16" t="s">
        <v>4382</v>
      </c>
      <c r="H618" s="16" t="s">
        <v>4383</v>
      </c>
      <c r="I618" s="16"/>
      <c r="J618" s="17" t="s">
        <v>100</v>
      </c>
      <c r="K618" s="17" t="s">
        <v>67</v>
      </c>
      <c r="L618" s="17" t="s">
        <v>1774</v>
      </c>
      <c r="M618" s="16" t="s">
        <v>58</v>
      </c>
      <c r="N618" s="18" t="s">
        <v>59</v>
      </c>
      <c r="O618" s="16"/>
    </row>
    <row r="619" spans="1:15">
      <c r="A619" s="15" t="s">
        <v>4384</v>
      </c>
      <c r="B619" s="16" t="s">
        <v>4317</v>
      </c>
      <c r="C619" s="16" t="s">
        <v>4385</v>
      </c>
      <c r="D619" s="16" t="s">
        <v>4386</v>
      </c>
      <c r="E619" s="16" t="s">
        <v>4387</v>
      </c>
      <c r="F619" s="16" t="s">
        <v>4388</v>
      </c>
      <c r="G619" s="16" t="s">
        <v>4389</v>
      </c>
      <c r="H619" s="16" t="s">
        <v>4390</v>
      </c>
      <c r="I619" s="16"/>
      <c r="J619" s="17" t="s">
        <v>100</v>
      </c>
      <c r="K619" s="17" t="s">
        <v>67</v>
      </c>
      <c r="L619" s="17" t="s">
        <v>4391</v>
      </c>
      <c r="M619" s="16" t="s">
        <v>58</v>
      </c>
      <c r="N619" s="18" t="s">
        <v>59</v>
      </c>
      <c r="O619" s="16"/>
    </row>
    <row r="620" spans="1:15">
      <c r="A620" s="15" t="s">
        <v>4392</v>
      </c>
      <c r="B620" s="16" t="s">
        <v>4317</v>
      </c>
      <c r="C620" s="16" t="s">
        <v>4393</v>
      </c>
      <c r="D620" s="16" t="s">
        <v>4394</v>
      </c>
      <c r="E620" s="16" t="s">
        <v>548</v>
      </c>
      <c r="F620" s="16" t="s">
        <v>4395</v>
      </c>
      <c r="G620" s="16" t="s">
        <v>4396</v>
      </c>
      <c r="H620" s="16" t="s">
        <v>4397</v>
      </c>
      <c r="I620" s="16"/>
      <c r="J620" s="17" t="s">
        <v>100</v>
      </c>
      <c r="K620" s="17" t="s">
        <v>101</v>
      </c>
      <c r="L620" s="17" t="s">
        <v>4398</v>
      </c>
      <c r="M620" s="16" t="s">
        <v>58</v>
      </c>
      <c r="N620" s="18" t="s">
        <v>59</v>
      </c>
      <c r="O620" s="16"/>
    </row>
    <row r="621" spans="1:15">
      <c r="A621" s="15" t="s">
        <v>4399</v>
      </c>
      <c r="B621" s="16" t="s">
        <v>4317</v>
      </c>
      <c r="C621" s="16" t="s">
        <v>4400</v>
      </c>
      <c r="D621" s="16" t="s">
        <v>4401</v>
      </c>
      <c r="E621" s="16" t="s">
        <v>4402</v>
      </c>
      <c r="F621" s="16" t="s">
        <v>4403</v>
      </c>
      <c r="G621" s="16" t="s">
        <v>4404</v>
      </c>
      <c r="H621" s="16" t="s">
        <v>4405</v>
      </c>
      <c r="I621" s="16"/>
      <c r="J621" s="17" t="s">
        <v>228</v>
      </c>
      <c r="K621" s="17" t="s">
        <v>101</v>
      </c>
      <c r="L621" s="17" t="s">
        <v>4323</v>
      </c>
      <c r="M621" s="16" t="s">
        <v>58</v>
      </c>
      <c r="N621" s="18" t="s">
        <v>59</v>
      </c>
      <c r="O621" s="16"/>
    </row>
    <row r="622" spans="1:15">
      <c r="A622" s="12" t="s">
        <v>4406</v>
      </c>
      <c r="B622" s="10" t="s">
        <v>4407</v>
      </c>
      <c r="C622" s="10" t="s">
        <v>4408</v>
      </c>
      <c r="D622" s="10" t="s">
        <v>4409</v>
      </c>
      <c r="E622" s="10" t="s">
        <v>4410</v>
      </c>
      <c r="F622" s="10" t="s">
        <v>4411</v>
      </c>
      <c r="G622" s="10" t="s">
        <v>4412</v>
      </c>
      <c r="H622" s="10" t="s">
        <v>4413</v>
      </c>
      <c r="I622" s="10"/>
      <c r="J622" s="13" t="s">
        <v>100</v>
      </c>
      <c r="K622" s="13" t="s">
        <v>56</v>
      </c>
      <c r="L622" s="13" t="s">
        <v>4414</v>
      </c>
      <c r="M622" s="10" t="s">
        <v>2255</v>
      </c>
      <c r="N622" s="14" t="s">
        <v>59</v>
      </c>
      <c r="O622" s="10"/>
    </row>
    <row r="623" spans="1:15">
      <c r="A623" s="12" t="s">
        <v>4415</v>
      </c>
      <c r="B623" s="10" t="s">
        <v>4407</v>
      </c>
      <c r="C623" s="10" t="s">
        <v>4416</v>
      </c>
      <c r="D623" s="10" t="s">
        <v>4417</v>
      </c>
      <c r="E623" s="10" t="s">
        <v>4418</v>
      </c>
      <c r="F623" s="10" t="s">
        <v>4419</v>
      </c>
      <c r="G623" s="10" t="s">
        <v>4420</v>
      </c>
      <c r="H623" s="10" t="s">
        <v>4421</v>
      </c>
      <c r="I623" s="10"/>
      <c r="J623" s="13" t="s">
        <v>228</v>
      </c>
      <c r="K623" s="13" t="s">
        <v>101</v>
      </c>
      <c r="L623" s="13" t="s">
        <v>4422</v>
      </c>
      <c r="M623" s="10" t="s">
        <v>2255</v>
      </c>
      <c r="N623" s="14" t="s">
        <v>59</v>
      </c>
      <c r="O623" s="10"/>
    </row>
    <row r="624" spans="1:15">
      <c r="A624" s="12" t="s">
        <v>4423</v>
      </c>
      <c r="B624" s="10" t="s">
        <v>4407</v>
      </c>
      <c r="C624" s="10" t="s">
        <v>4424</v>
      </c>
      <c r="D624" s="10" t="s">
        <v>4425</v>
      </c>
      <c r="E624" s="10" t="s">
        <v>4426</v>
      </c>
      <c r="F624" s="10" t="s">
        <v>4427</v>
      </c>
      <c r="G624" s="10" t="s">
        <v>4428</v>
      </c>
      <c r="H624" s="10" t="s">
        <v>4429</v>
      </c>
      <c r="I624" s="10"/>
      <c r="J624" s="13" t="s">
        <v>100</v>
      </c>
      <c r="K624" s="13" t="s">
        <v>67</v>
      </c>
      <c r="L624" s="13" t="s">
        <v>4422</v>
      </c>
      <c r="M624" s="10" t="s">
        <v>2255</v>
      </c>
      <c r="N624" s="14" t="s">
        <v>59</v>
      </c>
      <c r="O624" s="10"/>
    </row>
    <row r="625" spans="1:15">
      <c r="A625" s="12" t="s">
        <v>4430</v>
      </c>
      <c r="B625" s="10" t="s">
        <v>4407</v>
      </c>
      <c r="C625" s="10" t="s">
        <v>4431</v>
      </c>
      <c r="D625" s="10" t="s">
        <v>4432</v>
      </c>
      <c r="E625" s="10" t="s">
        <v>4433</v>
      </c>
      <c r="F625" s="10" t="s">
        <v>4434</v>
      </c>
      <c r="G625" s="10" t="s">
        <v>4435</v>
      </c>
      <c r="H625" s="10" t="s">
        <v>4436</v>
      </c>
      <c r="I625" s="10"/>
      <c r="J625" s="13" t="s">
        <v>55</v>
      </c>
      <c r="K625" s="13" t="s">
        <v>456</v>
      </c>
      <c r="L625" s="13" t="s">
        <v>4437</v>
      </c>
      <c r="M625" s="10" t="s">
        <v>58</v>
      </c>
      <c r="N625" s="14" t="s">
        <v>59</v>
      </c>
      <c r="O625" s="10" t="s">
        <v>3489</v>
      </c>
    </row>
    <row r="626" spans="1:15">
      <c r="A626" s="12" t="s">
        <v>4438</v>
      </c>
      <c r="B626" s="10" t="s">
        <v>4407</v>
      </c>
      <c r="C626" s="10" t="s">
        <v>4439</v>
      </c>
      <c r="D626" s="10" t="s">
        <v>4440</v>
      </c>
      <c r="E626" s="10" t="s">
        <v>4441</v>
      </c>
      <c r="F626" s="10" t="s">
        <v>4442</v>
      </c>
      <c r="G626" s="10" t="s">
        <v>4443</v>
      </c>
      <c r="H626" s="10" t="s">
        <v>4444</v>
      </c>
      <c r="I626" s="10"/>
      <c r="J626" s="13" t="s">
        <v>228</v>
      </c>
      <c r="K626" s="13" t="s">
        <v>101</v>
      </c>
      <c r="L626" s="13" t="s">
        <v>308</v>
      </c>
      <c r="M626" s="10" t="s">
        <v>58</v>
      </c>
      <c r="N626" s="14" t="s">
        <v>59</v>
      </c>
      <c r="O626" s="10"/>
    </row>
    <row r="627" spans="1:15">
      <c r="A627" s="12" t="s">
        <v>4445</v>
      </c>
      <c r="B627" s="10" t="s">
        <v>4407</v>
      </c>
      <c r="C627" s="10" t="s">
        <v>4446</v>
      </c>
      <c r="D627" s="10" t="s">
        <v>4447</v>
      </c>
      <c r="E627" s="10" t="s">
        <v>4408</v>
      </c>
      <c r="F627" s="10" t="s">
        <v>4448</v>
      </c>
      <c r="G627" s="10" t="s">
        <v>4449</v>
      </c>
      <c r="H627" s="10" t="s">
        <v>4450</v>
      </c>
      <c r="I627" s="10"/>
      <c r="J627" s="13" t="s">
        <v>100</v>
      </c>
      <c r="K627" s="13" t="s">
        <v>67</v>
      </c>
      <c r="L627" s="13" t="s">
        <v>4451</v>
      </c>
      <c r="M627" s="10" t="s">
        <v>2255</v>
      </c>
      <c r="N627" s="14" t="s">
        <v>59</v>
      </c>
      <c r="O627" s="10"/>
    </row>
    <row r="628" spans="1:15">
      <c r="A628" s="12" t="s">
        <v>4452</v>
      </c>
      <c r="B628" s="10" t="s">
        <v>4407</v>
      </c>
      <c r="C628" s="10" t="s">
        <v>4453</v>
      </c>
      <c r="D628" s="10" t="s">
        <v>4454</v>
      </c>
      <c r="E628" s="10" t="s">
        <v>4455</v>
      </c>
      <c r="F628" s="10" t="s">
        <v>4456</v>
      </c>
      <c r="G628" s="10" t="s">
        <v>4457</v>
      </c>
      <c r="H628" s="10" t="s">
        <v>4458</v>
      </c>
      <c r="I628" s="10"/>
      <c r="J628" s="13" t="s">
        <v>55</v>
      </c>
      <c r="K628" s="13" t="s">
        <v>56</v>
      </c>
      <c r="L628" s="13" t="s">
        <v>4459</v>
      </c>
      <c r="M628" s="10" t="s">
        <v>2255</v>
      </c>
      <c r="N628" s="14" t="s">
        <v>59</v>
      </c>
      <c r="O628" s="10"/>
    </row>
    <row r="629" spans="1:15">
      <c r="A629" s="12" t="s">
        <v>4460</v>
      </c>
      <c r="B629" s="10" t="s">
        <v>4407</v>
      </c>
      <c r="C629" s="10" t="s">
        <v>4461</v>
      </c>
      <c r="D629" s="10" t="s">
        <v>4462</v>
      </c>
      <c r="E629" s="10" t="s">
        <v>4463</v>
      </c>
      <c r="F629" s="10" t="s">
        <v>4464</v>
      </c>
      <c r="G629" s="10" t="s">
        <v>4465</v>
      </c>
      <c r="H629" s="10" t="s">
        <v>4466</v>
      </c>
      <c r="I629" s="10"/>
      <c r="J629" s="13" t="s">
        <v>55</v>
      </c>
      <c r="K629" s="13" t="s">
        <v>56</v>
      </c>
      <c r="L629" s="13" t="s">
        <v>4467</v>
      </c>
      <c r="M629" s="10" t="s">
        <v>2255</v>
      </c>
      <c r="N629" s="14" t="s">
        <v>59</v>
      </c>
      <c r="O629" s="10"/>
    </row>
    <row r="630" spans="1:15">
      <c r="A630" s="15" t="s">
        <v>4468</v>
      </c>
      <c r="B630" s="16" t="s">
        <v>4469</v>
      </c>
      <c r="C630" s="16" t="s">
        <v>4470</v>
      </c>
      <c r="D630" s="16" t="s">
        <v>4471</v>
      </c>
      <c r="E630" s="16" t="s">
        <v>4472</v>
      </c>
      <c r="F630" s="16" t="s">
        <v>4473</v>
      </c>
      <c r="G630" s="16" t="s">
        <v>4474</v>
      </c>
      <c r="H630" s="16" t="s">
        <v>4475</v>
      </c>
      <c r="I630" s="16"/>
      <c r="J630" s="17" t="s">
        <v>55</v>
      </c>
      <c r="K630" s="17" t="s">
        <v>456</v>
      </c>
      <c r="L630" s="17" t="s">
        <v>4476</v>
      </c>
      <c r="M630" s="16" t="s">
        <v>58</v>
      </c>
      <c r="N630" s="18" t="s">
        <v>59</v>
      </c>
      <c r="O630" s="16"/>
    </row>
    <row r="631" spans="1:15">
      <c r="A631" s="15" t="s">
        <v>4477</v>
      </c>
      <c r="B631" s="16" t="s">
        <v>4469</v>
      </c>
      <c r="C631" s="16" t="s">
        <v>4478</v>
      </c>
      <c r="D631" s="16" t="s">
        <v>4479</v>
      </c>
      <c r="E631" s="16" t="s">
        <v>4480</v>
      </c>
      <c r="F631" s="16" t="s">
        <v>4481</v>
      </c>
      <c r="G631" s="16" t="s">
        <v>4482</v>
      </c>
      <c r="H631" s="16" t="s">
        <v>4483</v>
      </c>
      <c r="I631" s="16"/>
      <c r="J631" s="17" t="s">
        <v>55</v>
      </c>
      <c r="K631" s="17" t="s">
        <v>456</v>
      </c>
      <c r="L631" s="17" t="s">
        <v>4476</v>
      </c>
      <c r="M631" s="16" t="s">
        <v>58</v>
      </c>
      <c r="N631" s="18" t="s">
        <v>59</v>
      </c>
      <c r="O631" s="16"/>
    </row>
    <row r="632" spans="1:15">
      <c r="A632" s="15" t="s">
        <v>4484</v>
      </c>
      <c r="B632" s="16" t="s">
        <v>4469</v>
      </c>
      <c r="C632" s="16" t="s">
        <v>4485</v>
      </c>
      <c r="D632" s="16" t="s">
        <v>4486</v>
      </c>
      <c r="E632" s="16" t="s">
        <v>4487</v>
      </c>
      <c r="F632" s="16" t="s">
        <v>4488</v>
      </c>
      <c r="G632" s="16" t="s">
        <v>4489</v>
      </c>
      <c r="H632" s="16" t="s">
        <v>4490</v>
      </c>
      <c r="I632" s="16"/>
      <c r="J632" s="17" t="s">
        <v>55</v>
      </c>
      <c r="K632" s="17" t="s">
        <v>456</v>
      </c>
      <c r="L632" s="17" t="s">
        <v>4491</v>
      </c>
      <c r="M632" s="16" t="s">
        <v>58</v>
      </c>
      <c r="N632" s="18" t="s">
        <v>59</v>
      </c>
      <c r="O632" s="16" t="s">
        <v>4492</v>
      </c>
    </row>
    <row r="633" spans="1:15">
      <c r="A633" s="15" t="s">
        <v>4493</v>
      </c>
      <c r="B633" s="16" t="s">
        <v>4469</v>
      </c>
      <c r="C633" s="16" t="s">
        <v>4494</v>
      </c>
      <c r="D633" s="16" t="s">
        <v>4495</v>
      </c>
      <c r="E633" s="16" t="s">
        <v>4496</v>
      </c>
      <c r="F633" s="16" t="s">
        <v>4497</v>
      </c>
      <c r="G633" s="16" t="s">
        <v>4498</v>
      </c>
      <c r="H633" s="16" t="s">
        <v>4499</v>
      </c>
      <c r="I633" s="16"/>
      <c r="J633" s="17" t="s">
        <v>55</v>
      </c>
      <c r="K633" s="17" t="s">
        <v>456</v>
      </c>
      <c r="L633" s="17" t="s">
        <v>4491</v>
      </c>
      <c r="M633" s="16" t="s">
        <v>58</v>
      </c>
      <c r="N633" s="18" t="s">
        <v>59</v>
      </c>
      <c r="O633" s="16"/>
    </row>
    <row r="634" spans="1:15">
      <c r="A634" s="15" t="s">
        <v>4500</v>
      </c>
      <c r="B634" s="16" t="s">
        <v>4469</v>
      </c>
      <c r="C634" s="16" t="s">
        <v>4501</v>
      </c>
      <c r="D634" s="16" t="s">
        <v>4502</v>
      </c>
      <c r="E634" s="16" t="s">
        <v>4503</v>
      </c>
      <c r="F634" s="16" t="s">
        <v>4504</v>
      </c>
      <c r="G634" s="16" t="s">
        <v>4505</v>
      </c>
      <c r="H634" s="16" t="s">
        <v>4506</v>
      </c>
      <c r="I634" s="16"/>
      <c r="J634" s="17" t="s">
        <v>55</v>
      </c>
      <c r="K634" s="17" t="s">
        <v>56</v>
      </c>
      <c r="L634" s="17" t="s">
        <v>4491</v>
      </c>
      <c r="M634" s="16" t="s">
        <v>58</v>
      </c>
      <c r="N634" s="18" t="s">
        <v>59</v>
      </c>
      <c r="O634" s="16"/>
    </row>
    <row r="635" spans="1:15">
      <c r="A635" s="15" t="s">
        <v>4507</v>
      </c>
      <c r="B635" s="16" t="s">
        <v>4469</v>
      </c>
      <c r="C635" s="16" t="s">
        <v>4508</v>
      </c>
      <c r="D635" s="16" t="s">
        <v>4509</v>
      </c>
      <c r="E635" s="16" t="s">
        <v>4510</v>
      </c>
      <c r="F635" s="16" t="s">
        <v>4511</v>
      </c>
      <c r="G635" s="16" t="s">
        <v>4512</v>
      </c>
      <c r="H635" s="16" t="s">
        <v>4513</v>
      </c>
      <c r="I635" s="16"/>
      <c r="J635" s="17" t="s">
        <v>55</v>
      </c>
      <c r="K635" s="17" t="s">
        <v>456</v>
      </c>
      <c r="L635" s="17" t="s">
        <v>4514</v>
      </c>
      <c r="M635" s="16" t="s">
        <v>58</v>
      </c>
      <c r="N635" s="18" t="s">
        <v>59</v>
      </c>
      <c r="O635" s="16"/>
    </row>
    <row r="636" spans="1:15">
      <c r="A636" s="15" t="s">
        <v>4515</v>
      </c>
      <c r="B636" s="16" t="s">
        <v>4469</v>
      </c>
      <c r="C636" s="16" t="s">
        <v>4516</v>
      </c>
      <c r="D636" s="16" t="s">
        <v>4517</v>
      </c>
      <c r="E636" s="16" t="s">
        <v>4518</v>
      </c>
      <c r="F636" s="16" t="s">
        <v>4519</v>
      </c>
      <c r="G636" s="16" t="s">
        <v>4520</v>
      </c>
      <c r="H636" s="16" t="s">
        <v>4521</v>
      </c>
      <c r="I636" s="16"/>
      <c r="J636" s="17" t="s">
        <v>55</v>
      </c>
      <c r="K636" s="17" t="s">
        <v>56</v>
      </c>
      <c r="L636" s="17" t="s">
        <v>4476</v>
      </c>
      <c r="M636" s="16" t="s">
        <v>58</v>
      </c>
      <c r="N636" s="18" t="s">
        <v>59</v>
      </c>
      <c r="O636" s="16"/>
    </row>
    <row r="637" spans="1:15">
      <c r="A637" s="15" t="s">
        <v>4522</v>
      </c>
      <c r="B637" s="16" t="s">
        <v>4469</v>
      </c>
      <c r="C637" s="16" t="s">
        <v>4523</v>
      </c>
      <c r="D637" s="16" t="s">
        <v>4524</v>
      </c>
      <c r="E637" s="16" t="s">
        <v>2894</v>
      </c>
      <c r="F637" s="16" t="s">
        <v>4525</v>
      </c>
      <c r="G637" s="16" t="s">
        <v>4526</v>
      </c>
      <c r="H637" s="16" t="s">
        <v>4527</v>
      </c>
      <c r="I637" s="16"/>
      <c r="J637" s="17" t="s">
        <v>100</v>
      </c>
      <c r="K637" s="17" t="s">
        <v>67</v>
      </c>
      <c r="L637" s="17" t="s">
        <v>4476</v>
      </c>
      <c r="M637" s="16" t="s">
        <v>58</v>
      </c>
      <c r="N637" s="18" t="s">
        <v>59</v>
      </c>
      <c r="O637" s="16"/>
    </row>
    <row r="638" spans="1:15">
      <c r="A638" s="15" t="s">
        <v>4528</v>
      </c>
      <c r="B638" s="16" t="s">
        <v>4469</v>
      </c>
      <c r="C638" s="16" t="s">
        <v>4529</v>
      </c>
      <c r="D638" s="16" t="s">
        <v>4530</v>
      </c>
      <c r="E638" s="16" t="s">
        <v>4531</v>
      </c>
      <c r="F638" s="16" t="s">
        <v>4532</v>
      </c>
      <c r="G638" s="16" t="s">
        <v>4533</v>
      </c>
      <c r="H638" s="16" t="s">
        <v>4534</v>
      </c>
      <c r="I638" s="16"/>
      <c r="J638" s="17" t="s">
        <v>55</v>
      </c>
      <c r="K638" s="17" t="s">
        <v>56</v>
      </c>
      <c r="L638" s="17" t="s">
        <v>4491</v>
      </c>
      <c r="M638" s="16" t="s">
        <v>58</v>
      </c>
      <c r="N638" s="18" t="s">
        <v>59</v>
      </c>
      <c r="O638" s="16"/>
    </row>
    <row r="639" spans="1:15">
      <c r="A639" s="15" t="s">
        <v>4535</v>
      </c>
      <c r="B639" s="16" t="s">
        <v>4469</v>
      </c>
      <c r="C639" s="16" t="s">
        <v>4536</v>
      </c>
      <c r="D639" s="16" t="s">
        <v>4537</v>
      </c>
      <c r="E639" s="16" t="s">
        <v>4538</v>
      </c>
      <c r="F639" s="16" t="s">
        <v>4539</v>
      </c>
      <c r="G639" s="16" t="s">
        <v>4540</v>
      </c>
      <c r="H639" s="16" t="s">
        <v>4541</v>
      </c>
      <c r="I639" s="16"/>
      <c r="J639" s="17" t="s">
        <v>55</v>
      </c>
      <c r="K639" s="17" t="s">
        <v>56</v>
      </c>
      <c r="L639" s="17" t="s">
        <v>4476</v>
      </c>
      <c r="M639" s="16" t="s">
        <v>58</v>
      </c>
      <c r="N639" s="18" t="s">
        <v>59</v>
      </c>
      <c r="O639" s="16"/>
    </row>
    <row r="640" spans="1:15">
      <c r="A640" s="15" t="s">
        <v>4542</v>
      </c>
      <c r="B640" s="16" t="s">
        <v>4469</v>
      </c>
      <c r="C640" s="16" t="s">
        <v>4543</v>
      </c>
      <c r="D640" s="16" t="s">
        <v>4544</v>
      </c>
      <c r="E640" s="16" t="s">
        <v>4545</v>
      </c>
      <c r="F640" s="16" t="s">
        <v>4546</v>
      </c>
      <c r="G640" s="16" t="s">
        <v>4547</v>
      </c>
      <c r="H640" s="16" t="s">
        <v>4548</v>
      </c>
      <c r="I640" s="16"/>
      <c r="J640" s="17" t="s">
        <v>100</v>
      </c>
      <c r="K640" s="17" t="s">
        <v>67</v>
      </c>
      <c r="L640" s="17" t="s">
        <v>4491</v>
      </c>
      <c r="M640" s="16" t="s">
        <v>58</v>
      </c>
      <c r="N640" s="18" t="s">
        <v>59</v>
      </c>
      <c r="O640" s="16"/>
    </row>
    <row r="641" spans="1:15">
      <c r="A641" s="15" t="s">
        <v>4549</v>
      </c>
      <c r="B641" s="16" t="s">
        <v>4469</v>
      </c>
      <c r="C641" s="16" t="s">
        <v>4550</v>
      </c>
      <c r="D641" s="16" t="s">
        <v>4551</v>
      </c>
      <c r="E641" s="16" t="s">
        <v>4552</v>
      </c>
      <c r="F641" s="16" t="s">
        <v>4553</v>
      </c>
      <c r="G641" s="16" t="s">
        <v>4554</v>
      </c>
      <c r="H641" s="16" t="s">
        <v>4555</v>
      </c>
      <c r="I641" s="16"/>
      <c r="J641" s="17" t="s">
        <v>55</v>
      </c>
      <c r="K641" s="17" t="s">
        <v>67</v>
      </c>
      <c r="L641" s="17" t="s">
        <v>4556</v>
      </c>
      <c r="M641" s="16" t="s">
        <v>300</v>
      </c>
      <c r="N641" s="18" t="s">
        <v>59</v>
      </c>
      <c r="O641" s="16"/>
    </row>
    <row r="642" spans="1:15">
      <c r="A642" s="15" t="s">
        <v>4557</v>
      </c>
      <c r="B642" s="16" t="s">
        <v>4469</v>
      </c>
      <c r="C642" s="16" t="s">
        <v>4558</v>
      </c>
      <c r="D642" s="16" t="s">
        <v>4559</v>
      </c>
      <c r="E642" s="16" t="s">
        <v>4560</v>
      </c>
      <c r="F642" s="16" t="s">
        <v>4561</v>
      </c>
      <c r="G642" s="16" t="s">
        <v>4562</v>
      </c>
      <c r="H642" s="16" t="s">
        <v>4563</v>
      </c>
      <c r="I642" s="16"/>
      <c r="J642" s="17" t="s">
        <v>100</v>
      </c>
      <c r="K642" s="17" t="s">
        <v>101</v>
      </c>
      <c r="L642" s="17" t="s">
        <v>4476</v>
      </c>
      <c r="M642" s="16" t="s">
        <v>58</v>
      </c>
      <c r="N642" s="18" t="s">
        <v>59</v>
      </c>
      <c r="O642" s="16"/>
    </row>
    <row r="643" spans="1:15">
      <c r="A643" s="15" t="s">
        <v>4564</v>
      </c>
      <c r="B643" s="16" t="s">
        <v>4469</v>
      </c>
      <c r="C643" s="16" t="s">
        <v>4565</v>
      </c>
      <c r="D643" s="16" t="s">
        <v>4566</v>
      </c>
      <c r="E643" s="16" t="s">
        <v>4567</v>
      </c>
      <c r="F643" s="16" t="s">
        <v>4568</v>
      </c>
      <c r="G643" s="16" t="s">
        <v>4569</v>
      </c>
      <c r="H643" s="16" t="s">
        <v>4570</v>
      </c>
      <c r="I643" s="16"/>
      <c r="J643" s="17" t="s">
        <v>55</v>
      </c>
      <c r="K643" s="17" t="s">
        <v>456</v>
      </c>
      <c r="L643" s="17" t="s">
        <v>4571</v>
      </c>
      <c r="M643" s="16" t="s">
        <v>58</v>
      </c>
      <c r="N643" s="18" t="s">
        <v>59</v>
      </c>
      <c r="O643" s="16" t="s">
        <v>4572</v>
      </c>
    </row>
  </sheetData>
  <autoFilter ref="A1:O643"/>
  <conditionalFormatting sqref="N2:N643">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"Deferred"</formula>
    </cfRule>
    <cfRule type="cellIs" dxfId="4" priority="5" operator="equal">
      <formula>"Not Executed"</formula>
    </cfRule>
  </conditionalFormatting>
  <conditionalFormatting sqref="K2:K643">
    <cfRule type="cellIs" dxfId="5" priority="6" operator="equal">
      <formula>"Blocker"</formula>
    </cfRule>
    <cfRule type="cellIs" dxfId="6" priority="7" operator="equal">
      <formula>"Critical"</formula>
    </cfRule>
    <cfRule type="cellIs" dxfId="7" priority="8" operator="equal">
      <formula>"Major"</formula>
    </cfRule>
    <cfRule type="cellIs" dxfId="8" priority="9" operator="equal">
      <formula>"Minor"</formula>
    </cfRule>
  </conditionalFormatting>
  <conditionalFormatting sqref="J2:J643">
    <cfRule type="cellIs" dxfId="9" priority="10" operator="equal">
      <formula>"High"</formula>
    </cfRule>
    <cfRule type="cellIs" dxfId="10" priority="11" operator="equal">
      <formula>"Medium"</formula>
    </cfRule>
    <cfRule type="cellIs" dxfId="11" priority="12" operator="equal">
      <formula>"Low"</formula>
    </cfRule>
  </conditionalFormatting>
  <dataValidations count="3">
    <dataValidation type="list" errorStyle="information" operator="between" allowBlank="0" showDropDown="0" showInputMessage="1" showErrorMessage="1" errorTitle="Invalid value" error="Choose a value from the list." sqref="J2:J643">
      <formula1>"High,Medium,Low"</formula1>
    </dataValidation>
    <dataValidation type="list" errorStyle="information" operator="between" allowBlank="0" showDropDown="0" showInputMessage="1" showErrorMessage="1" errorTitle="Invalid value" error="Choose a value from the list." sqref="K2:K643">
      <formula1>"Blocker,Critical,Major,Minor"</formula1>
    </dataValidation>
    <dataValidation type="list" errorStyle="information" operator="between" allowBlank="0" showDropDown="0" showInputMessage="1" showErrorMessage="1" errorTitle="Invalid value" error="Choose a value from the list." sqref="N2:N643">
      <formula1>"Not Executed,Pass,Fail,Blocked,Deferred,N-A"</formula1>
    </dataValidation>
  </dataValidations>
  <printOptions gridLines="false" gridLinesSet="true"/>
  <pageMargins left="0.7" right="0.7" top="0.75" bottom="0.75" header="0.3" footer="0.3"/>
  <pageSetup paperSize="1" orientation="landscape"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55"/>
  <sheetViews>
    <sheetView tabSelected="0" workbookViewId="0" showGridLines="false" showRowColHeaders="1">
      <selection activeCell="J22" sqref="J22:L41"/>
    </sheetView>
  </sheetViews>
  <sheetFormatPr defaultRowHeight="14.4" outlineLevelRow="0" outlineLevelCol="0"/>
  <cols>
    <col min="1" max="1" width="3" customWidth="true" style="0"/>
    <col min="2" max="2" width="30" customWidth="true" style="0"/>
    <col min="3" max="3" width="14" customWidth="true" style="0"/>
    <col min="4" max="4" width="14" customWidth="true" style="0"/>
    <col min="5" max="5" width="14" customWidth="true" style="0"/>
    <col min="6" max="6" width="14" customWidth="true" style="0"/>
    <col min="7" max="7" width="14" customWidth="true" style="0"/>
    <col min="8" max="8" width="4" customWidth="true" style="0"/>
    <col min="9" max="9" width="30" customWidth="true" style="0"/>
    <col min="10" max="10" width="14" customWidth="true" style="0"/>
    <col min="11" max="11" width="14" customWidth="true" style="0"/>
    <col min="12" max="12" width="14" customWidth="true" style="0"/>
  </cols>
  <sheetData>
    <row r="2" spans="1:12" customHeight="1" ht="30">
      <c r="B2" s="19" t="s">
        <v>4573</v>
      </c>
    </row>
    <row r="3" spans="1:12">
      <c r="B3" s="3" t="s">
        <v>4574</v>
      </c>
    </row>
    <row r="5" spans="1:12">
      <c r="B5" s="7" t="s">
        <v>4575</v>
      </c>
      <c r="I5" s="7" t="s">
        <v>4587</v>
      </c>
    </row>
    <row r="6" spans="1:12">
      <c r="B6" s="20" t="s">
        <v>4576</v>
      </c>
      <c r="C6" s="20" t="s">
        <v>4577</v>
      </c>
      <c r="D6" s="20" t="s">
        <v>4578</v>
      </c>
      <c r="I6" s="20" t="s">
        <v>19</v>
      </c>
      <c r="J6" s="20" t="s">
        <v>4588</v>
      </c>
      <c r="K6" s="20" t="s">
        <v>4579</v>
      </c>
      <c r="L6" s="20" t="s">
        <v>4580</v>
      </c>
    </row>
    <row r="7" spans="1:12">
      <c r="B7" s="24" t="s">
        <v>7</v>
      </c>
      <c r="C7" s="25" t="str">
        <f>COUNTA('Test Cases'!$A$2:$A$643)</f>
        <v>0</v>
      </c>
      <c r="D7" s="26" t="str">
        <f>IF($C$7=0,0,C7/$C$7)</f>
        <v>0</v>
      </c>
      <c r="I7" s="21" t="s">
        <v>55</v>
      </c>
      <c r="J7" s="23" t="str">
        <f>COUNTIF('Test Cases'!$J$2:$J$643,"High")</f>
        <v>0</v>
      </c>
      <c r="K7" s="23" t="str">
        <f>_xlfn.COUNTIFS('Test Cases'!$J$2:$J$643,"High",'Test Cases'!$N$2:$N$643,"Pass")</f>
        <v>0</v>
      </c>
      <c r="L7" s="23" t="str">
        <f>_xlfn.COUNTIFS('Test Cases'!$J$2:$J$643,"High",'Test Cases'!$N$2:$N$643,"Fail")</f>
        <v>0</v>
      </c>
    </row>
    <row r="8" spans="1:12">
      <c r="B8" s="21" t="s">
        <v>59</v>
      </c>
      <c r="C8" s="23" t="str">
        <f>COUNTIF('Test Cases'!$N$2:$N$643,"Not Executed")</f>
        <v>0</v>
      </c>
      <c r="D8" s="22" t="str">
        <f>IF($C$7=0,0,C8/$C$7)</f>
        <v>0</v>
      </c>
      <c r="I8" s="21" t="s">
        <v>100</v>
      </c>
      <c r="J8" s="23" t="str">
        <f>COUNTIF('Test Cases'!$J$2:$J$643,"Medium")</f>
        <v>0</v>
      </c>
      <c r="K8" s="23" t="str">
        <f>_xlfn.COUNTIFS('Test Cases'!$J$2:$J$643,"Medium",'Test Cases'!$N$2:$N$643,"Pass")</f>
        <v>0</v>
      </c>
      <c r="L8" s="23" t="str">
        <f>_xlfn.COUNTIFS('Test Cases'!$J$2:$J$643,"Medium",'Test Cases'!$N$2:$N$643,"Fail")</f>
        <v>0</v>
      </c>
    </row>
    <row r="9" spans="1:12">
      <c r="B9" s="21" t="s">
        <v>4579</v>
      </c>
      <c r="C9" s="23" t="str">
        <f>COUNTIF('Test Cases'!$N$2:$N$643,"Pass")</f>
        <v>0</v>
      </c>
      <c r="D9" s="22" t="str">
        <f>IF($C$7=0,0,C9/$C$7)</f>
        <v>0</v>
      </c>
      <c r="I9" s="21" t="s">
        <v>228</v>
      </c>
      <c r="J9" s="23" t="str">
        <f>COUNTIF('Test Cases'!$J$2:$J$643,"Low")</f>
        <v>0</v>
      </c>
      <c r="K9" s="23" t="str">
        <f>_xlfn.COUNTIFS('Test Cases'!$J$2:$J$643,"Low",'Test Cases'!$N$2:$N$643,"Pass")</f>
        <v>0</v>
      </c>
      <c r="L9" s="23" t="str">
        <f>_xlfn.COUNTIFS('Test Cases'!$J$2:$J$643,"Low",'Test Cases'!$N$2:$N$643,"Fail")</f>
        <v>0</v>
      </c>
    </row>
    <row r="10" spans="1:12">
      <c r="B10" s="21" t="s">
        <v>4580</v>
      </c>
      <c r="C10" s="23" t="str">
        <f>COUNTIF('Test Cases'!$N$2:$N$643,"Fail")</f>
        <v>0</v>
      </c>
      <c r="D10" s="22" t="str">
        <f>IF($C$7=0,0,C10/$C$7)</f>
        <v>0</v>
      </c>
    </row>
    <row r="11" spans="1:12">
      <c r="B11" s="21" t="s">
        <v>4581</v>
      </c>
      <c r="C11" s="23" t="str">
        <f>COUNTIF('Test Cases'!$N$2:$N$643,"Blocked")</f>
        <v>0</v>
      </c>
      <c r="D11" s="22" t="str">
        <f>IF($C$7=0,0,C11/$C$7)</f>
        <v>0</v>
      </c>
      <c r="I11" s="7" t="s">
        <v>4589</v>
      </c>
    </row>
    <row r="12" spans="1:12">
      <c r="B12" s="21" t="s">
        <v>4582</v>
      </c>
      <c r="C12" s="23" t="str">
        <f>COUNTIF('Test Cases'!$N$2:$N$643,"Deferred")</f>
        <v>0</v>
      </c>
      <c r="D12" s="22" t="str">
        <f>IF($C$7=0,0,C12/$C$7)</f>
        <v>0</v>
      </c>
      <c r="I12" s="20" t="s">
        <v>21</v>
      </c>
      <c r="J12" s="20" t="s">
        <v>4588</v>
      </c>
      <c r="K12" s="20" t="s">
        <v>4579</v>
      </c>
      <c r="L12" s="20" t="s">
        <v>4580</v>
      </c>
    </row>
    <row r="13" spans="1:12">
      <c r="B13" s="21" t="s">
        <v>4583</v>
      </c>
      <c r="C13" s="23" t="str">
        <f>COUNTIF('Test Cases'!$N$2:$N$643,"N-A")</f>
        <v>0</v>
      </c>
      <c r="D13" s="22" t="str">
        <f>IF($C$7=0,0,C13/$C$7)</f>
        <v>0</v>
      </c>
      <c r="I13" s="21" t="s">
        <v>456</v>
      </c>
      <c r="J13" s="23" t="str">
        <f>COUNTIF('Test Cases'!$K$2:$K$643,"Blocker")</f>
        <v>0</v>
      </c>
      <c r="K13" s="23" t="str">
        <f>_xlfn.COUNTIFS('Test Cases'!$K$2:$K$643,"Blocker",'Test Cases'!$N$2:$N$643,"Pass")</f>
        <v>0</v>
      </c>
      <c r="L13" s="23" t="str">
        <f>_xlfn.COUNTIFS('Test Cases'!$K$2:$K$643,"Blocker",'Test Cases'!$N$2:$N$643,"Fail")</f>
        <v>0</v>
      </c>
    </row>
    <row r="14" spans="1:12">
      <c r="B14" s="21" t="s">
        <v>4584</v>
      </c>
      <c r="C14" s="23" t="str">
        <f>$C$7-$C$8</f>
        <v>0</v>
      </c>
      <c r="D14" s="22" t="str">
        <f>IF($C$7=0,0,C14/$C$7)</f>
        <v>0</v>
      </c>
      <c r="I14" s="21" t="s">
        <v>56</v>
      </c>
      <c r="J14" s="23" t="str">
        <f>COUNTIF('Test Cases'!$K$2:$K$643,"Critical")</f>
        <v>0</v>
      </c>
      <c r="K14" s="23" t="str">
        <f>_xlfn.COUNTIFS('Test Cases'!$K$2:$K$643,"Critical",'Test Cases'!$N$2:$N$643,"Pass")</f>
        <v>0</v>
      </c>
      <c r="L14" s="23" t="str">
        <f>_xlfn.COUNTIFS('Test Cases'!$K$2:$K$643,"Critical",'Test Cases'!$N$2:$N$643,"Fail")</f>
        <v>0</v>
      </c>
    </row>
    <row r="15" spans="1:12">
      <c r="I15" s="21" t="s">
        <v>67</v>
      </c>
      <c r="J15" s="23" t="str">
        <f>COUNTIF('Test Cases'!$K$2:$K$643,"Major")</f>
        <v>0</v>
      </c>
      <c r="K15" s="23" t="str">
        <f>_xlfn.COUNTIFS('Test Cases'!$K$2:$K$643,"Major",'Test Cases'!$N$2:$N$643,"Pass")</f>
        <v>0</v>
      </c>
      <c r="L15" s="23" t="str">
        <f>_xlfn.COUNTIFS('Test Cases'!$K$2:$K$643,"Major",'Test Cases'!$N$2:$N$643,"Fail")</f>
        <v>0</v>
      </c>
    </row>
    <row r="16" spans="1:12">
      <c r="B16" s="24" t="s">
        <v>4585</v>
      </c>
      <c r="C16" s="27" t="str">
        <f>IF($C$7=0,0,$C$14/$C$7)</f>
        <v>0</v>
      </c>
      <c r="I16" s="21" t="s">
        <v>101</v>
      </c>
      <c r="J16" s="23" t="str">
        <f>COUNTIF('Test Cases'!$K$2:$K$643,"Minor")</f>
        <v>0</v>
      </c>
      <c r="K16" s="23" t="str">
        <f>_xlfn.COUNTIFS('Test Cases'!$K$2:$K$643,"Minor",'Test Cases'!$N$2:$N$643,"Pass")</f>
        <v>0</v>
      </c>
      <c r="L16" s="23" t="str">
        <f>_xlfn.COUNTIFS('Test Cases'!$K$2:$K$643,"Minor",'Test Cases'!$N$2:$N$643,"Fail")</f>
        <v>0</v>
      </c>
    </row>
    <row r="17" spans="1:12">
      <c r="B17" s="24" t="s">
        <v>4586</v>
      </c>
      <c r="C17" s="27" t="str">
        <f>IF($C$14=0,0,$C$9/$C$14)</f>
        <v>0</v>
      </c>
    </row>
    <row r="20" spans="1:12">
      <c r="B20" s="7" t="s">
        <v>4590</v>
      </c>
      <c r="I20" s="7" t="s">
        <v>4592</v>
      </c>
    </row>
    <row r="21" spans="1:12">
      <c r="B21" s="20" t="s">
        <v>36</v>
      </c>
      <c r="C21" s="20" t="s">
        <v>4588</v>
      </c>
      <c r="D21" s="20" t="s">
        <v>4579</v>
      </c>
      <c r="E21" s="20" t="s">
        <v>4580</v>
      </c>
      <c r="F21" s="20" t="s">
        <v>4581</v>
      </c>
      <c r="G21" s="20" t="s">
        <v>59</v>
      </c>
      <c r="I21" s="20" t="s">
        <v>43</v>
      </c>
      <c r="J21" s="20" t="s">
        <v>4588</v>
      </c>
      <c r="K21" s="20" t="s">
        <v>4579</v>
      </c>
      <c r="L21" s="20" t="s">
        <v>4580</v>
      </c>
    </row>
    <row r="22" spans="1:12">
      <c r="B22" s="21" t="s">
        <v>3692</v>
      </c>
      <c r="C22" s="23" t="str">
        <f>COUNTIF('Test Cases'!$B$2:$B$643,"API")</f>
        <v>0</v>
      </c>
      <c r="D22" s="23" t="str">
        <f>_xlfn.COUNTIFS('Test Cases'!$B$2:$B$643,"API",'Test Cases'!$N$2:$N$643,"Pass")</f>
        <v>0</v>
      </c>
      <c r="E22" s="23" t="str">
        <f>_xlfn.COUNTIFS('Test Cases'!$B$2:$B$643,"API",'Test Cases'!$N$2:$N$643,"Fail")</f>
        <v>0</v>
      </c>
      <c r="F22" s="23" t="str">
        <f>_xlfn.COUNTIFS('Test Cases'!$B$2:$B$643,"API",'Test Cases'!$N$2:$N$643,"Blocked")</f>
        <v>0</v>
      </c>
      <c r="G22" s="23" t="str">
        <f>_xlfn.COUNTIFS('Test Cases'!$B$2:$B$643,"API",'Test Cases'!$N$2:$N$643,"Not Executed")</f>
        <v>0</v>
      </c>
      <c r="I22" s="21" t="s">
        <v>308</v>
      </c>
      <c r="J22" s="23" t="str">
        <f>COUNTIF('Test Cases'!$L$2:$L$643,"Functional*")</f>
        <v>0</v>
      </c>
      <c r="K22" s="23" t="str">
        <f>_xlfn.COUNTIFS('Test Cases'!$L$2:$L$643,"Functional*",'Test Cases'!$N$2:$N$643,"Pass")</f>
        <v>0</v>
      </c>
      <c r="L22" s="23" t="str">
        <f>_xlfn.COUNTIFS('Test Cases'!$L$2:$L$643,"Functional*",'Test Cases'!$N$2:$N$643,"Fail")</f>
        <v>0</v>
      </c>
    </row>
    <row r="23" spans="1:12">
      <c r="B23" s="21" t="s">
        <v>3975</v>
      </c>
      <c r="C23" s="23" t="str">
        <f>COUNTIF('Test Cases'!$B$2:$B$643,"Accessibility")</f>
        <v>0</v>
      </c>
      <c r="D23" s="23" t="str">
        <f>_xlfn.COUNTIFS('Test Cases'!$B$2:$B$643,"Accessibility",'Test Cases'!$N$2:$N$643,"Pass")</f>
        <v>0</v>
      </c>
      <c r="E23" s="23" t="str">
        <f>_xlfn.COUNTIFS('Test Cases'!$B$2:$B$643,"Accessibility",'Test Cases'!$N$2:$N$643,"Fail")</f>
        <v>0</v>
      </c>
      <c r="F23" s="23" t="str">
        <f>_xlfn.COUNTIFS('Test Cases'!$B$2:$B$643,"Accessibility",'Test Cases'!$N$2:$N$643,"Blocked")</f>
        <v>0</v>
      </c>
      <c r="G23" s="23" t="str">
        <f>_xlfn.COUNTIFS('Test Cases'!$B$2:$B$643,"Accessibility",'Test Cases'!$N$2:$N$643,"Not Executed")</f>
        <v>0</v>
      </c>
      <c r="I23" s="21" t="s">
        <v>2203</v>
      </c>
      <c r="J23" s="23" t="str">
        <f>COUNTIF('Test Cases'!$L$2:$L$643,"Security*")</f>
        <v>0</v>
      </c>
      <c r="K23" s="23" t="str">
        <f>_xlfn.COUNTIFS('Test Cases'!$L$2:$L$643,"Security*",'Test Cases'!$N$2:$N$643,"Pass")</f>
        <v>0</v>
      </c>
      <c r="L23" s="23" t="str">
        <f>_xlfn.COUNTIFS('Test Cases'!$L$2:$L$643,"Security*",'Test Cases'!$N$2:$N$643,"Fail")</f>
        <v>0</v>
      </c>
    </row>
    <row r="24" spans="1:12">
      <c r="B24" s="21" t="s">
        <v>490</v>
      </c>
      <c r="C24" s="23" t="str">
        <f>COUNTIF('Test Cases'!$B$2:$B$643,"Admin Authentication")</f>
        <v>0</v>
      </c>
      <c r="D24" s="23" t="str">
        <f>_xlfn.COUNTIFS('Test Cases'!$B$2:$B$643,"Admin Authentication",'Test Cases'!$N$2:$N$643,"Pass")</f>
        <v>0</v>
      </c>
      <c r="E24" s="23" t="str">
        <f>_xlfn.COUNTIFS('Test Cases'!$B$2:$B$643,"Admin Authentication",'Test Cases'!$N$2:$N$643,"Fail")</f>
        <v>0</v>
      </c>
      <c r="F24" s="23" t="str">
        <f>_xlfn.COUNTIFS('Test Cases'!$B$2:$B$643,"Admin Authentication",'Test Cases'!$N$2:$N$643,"Blocked")</f>
        <v>0</v>
      </c>
      <c r="G24" s="23" t="str">
        <f>_xlfn.COUNTIFS('Test Cases'!$B$2:$B$643,"Admin Authentication",'Test Cases'!$N$2:$N$643,"Not Executed")</f>
        <v>0</v>
      </c>
      <c r="I24" s="21" t="s">
        <v>110</v>
      </c>
      <c r="J24" s="23" t="str">
        <f>COUNTIF('Test Cases'!$L$2:$L$643,"Negative*")</f>
        <v>0</v>
      </c>
      <c r="K24" s="23" t="str">
        <f>_xlfn.COUNTIFS('Test Cases'!$L$2:$L$643,"Negative*",'Test Cases'!$N$2:$N$643,"Pass")</f>
        <v>0</v>
      </c>
      <c r="L24" s="23" t="str">
        <f>_xlfn.COUNTIFS('Test Cases'!$L$2:$L$643,"Negative*",'Test Cases'!$N$2:$N$643,"Fail")</f>
        <v>0</v>
      </c>
    </row>
    <row r="25" spans="1:12">
      <c r="B25" s="21" t="s">
        <v>48</v>
      </c>
      <c r="C25" s="23" t="str">
        <f>COUNTIF('Test Cases'!$B$2:$B$643,"Authentication")</f>
        <v>0</v>
      </c>
      <c r="D25" s="23" t="str">
        <f>_xlfn.COUNTIFS('Test Cases'!$B$2:$B$643,"Authentication",'Test Cases'!$N$2:$N$643,"Pass")</f>
        <v>0</v>
      </c>
      <c r="E25" s="23" t="str">
        <f>_xlfn.COUNTIFS('Test Cases'!$B$2:$B$643,"Authentication",'Test Cases'!$N$2:$N$643,"Fail")</f>
        <v>0</v>
      </c>
      <c r="F25" s="23" t="str">
        <f>_xlfn.COUNTIFS('Test Cases'!$B$2:$B$643,"Authentication",'Test Cases'!$N$2:$N$643,"Blocked")</f>
        <v>0</v>
      </c>
      <c r="G25" s="23" t="str">
        <f>_xlfn.COUNTIFS('Test Cases'!$B$2:$B$643,"Authentication",'Test Cases'!$N$2:$N$643,"Not Executed")</f>
        <v>0</v>
      </c>
      <c r="I25" s="21" t="s">
        <v>4593</v>
      </c>
      <c r="J25" s="23" t="str">
        <f>COUNTIF('Test Cases'!$L$2:$L$643,"Validation*")</f>
        <v>0</v>
      </c>
      <c r="K25" s="23" t="str">
        <f>_xlfn.COUNTIFS('Test Cases'!$L$2:$L$643,"Validation*",'Test Cases'!$N$2:$N$643,"Pass")</f>
        <v>0</v>
      </c>
      <c r="L25" s="23" t="str">
        <f>_xlfn.COUNTIFS('Test Cases'!$L$2:$L$643,"Validation*",'Test Cases'!$N$2:$N$643,"Fail")</f>
        <v>0</v>
      </c>
    </row>
    <row r="26" spans="1:12">
      <c r="B26" s="21" t="s">
        <v>1648</v>
      </c>
      <c r="C26" s="23" t="str">
        <f>COUNTIF('Test Cases'!$B$2:$B$643,"Cart")</f>
        <v>0</v>
      </c>
      <c r="D26" s="23" t="str">
        <f>_xlfn.COUNTIFS('Test Cases'!$B$2:$B$643,"Cart",'Test Cases'!$N$2:$N$643,"Pass")</f>
        <v>0</v>
      </c>
      <c r="E26" s="23" t="str">
        <f>_xlfn.COUNTIFS('Test Cases'!$B$2:$B$643,"Cart",'Test Cases'!$N$2:$N$643,"Fail")</f>
        <v>0</v>
      </c>
      <c r="F26" s="23" t="str">
        <f>_xlfn.COUNTIFS('Test Cases'!$B$2:$B$643,"Cart",'Test Cases'!$N$2:$N$643,"Blocked")</f>
        <v>0</v>
      </c>
      <c r="G26" s="23" t="str">
        <f>_xlfn.COUNTIFS('Test Cases'!$B$2:$B$643,"Cart",'Test Cases'!$N$2:$N$643,"Not Executed")</f>
        <v>0</v>
      </c>
      <c r="I26" s="21" t="s">
        <v>102</v>
      </c>
      <c r="J26" s="23" t="str">
        <f>COUNTIF('Test Cases'!$L$2:$L$643,"Boundary*")</f>
        <v>0</v>
      </c>
      <c r="K26" s="23" t="str">
        <f>_xlfn.COUNTIFS('Test Cases'!$L$2:$L$643,"Boundary*",'Test Cases'!$N$2:$N$643,"Pass")</f>
        <v>0</v>
      </c>
      <c r="L26" s="23" t="str">
        <f>_xlfn.COUNTIFS('Test Cases'!$L$2:$L$643,"Boundary*",'Test Cases'!$N$2:$N$643,"Fail")</f>
        <v>0</v>
      </c>
    </row>
    <row r="27" spans="1:12">
      <c r="B27" s="21" t="s">
        <v>656</v>
      </c>
      <c r="C27" s="23" t="str">
        <f>COUNTIF('Test Cases'!$B$2:$B$643,"Catalogue Structure")</f>
        <v>0</v>
      </c>
      <c r="D27" s="23" t="str">
        <f>_xlfn.COUNTIFS('Test Cases'!$B$2:$B$643,"Catalogue Structure",'Test Cases'!$N$2:$N$643,"Pass")</f>
        <v>0</v>
      </c>
      <c r="E27" s="23" t="str">
        <f>_xlfn.COUNTIFS('Test Cases'!$B$2:$B$643,"Catalogue Structure",'Test Cases'!$N$2:$N$643,"Fail")</f>
        <v>0</v>
      </c>
      <c r="F27" s="23" t="str">
        <f>_xlfn.COUNTIFS('Test Cases'!$B$2:$B$643,"Catalogue Structure",'Test Cases'!$N$2:$N$643,"Blocked")</f>
        <v>0</v>
      </c>
      <c r="G27" s="23" t="str">
        <f>_xlfn.COUNTIFS('Test Cases'!$B$2:$B$643,"Catalogue Structure",'Test Cases'!$N$2:$N$643,"Not Executed")</f>
        <v>0</v>
      </c>
      <c r="I27" s="21" t="s">
        <v>1609</v>
      </c>
      <c r="J27" s="23" t="str">
        <f>COUNTIF('Test Cases'!$L$2:$L$643,"Integration*")</f>
        <v>0</v>
      </c>
      <c r="K27" s="23" t="str">
        <f>_xlfn.COUNTIFS('Test Cases'!$L$2:$L$643,"Integration*",'Test Cases'!$N$2:$N$643,"Pass")</f>
        <v>0</v>
      </c>
      <c r="L27" s="23" t="str">
        <f>_xlfn.COUNTIFS('Test Cases'!$L$2:$L$643,"Integration*",'Test Cases'!$N$2:$N$643,"Fail")</f>
        <v>0</v>
      </c>
    </row>
    <row r="28" spans="1:12">
      <c r="B28" s="21" t="s">
        <v>1836</v>
      </c>
      <c r="C28" s="23" t="str">
        <f>COUNTIF('Test Cases'!$B$2:$B$643,"Checkout")</f>
        <v>0</v>
      </c>
      <c r="D28" s="23" t="str">
        <f>_xlfn.COUNTIFS('Test Cases'!$B$2:$B$643,"Checkout",'Test Cases'!$N$2:$N$643,"Pass")</f>
        <v>0</v>
      </c>
      <c r="E28" s="23" t="str">
        <f>_xlfn.COUNTIFS('Test Cases'!$B$2:$B$643,"Checkout",'Test Cases'!$N$2:$N$643,"Fail")</f>
        <v>0</v>
      </c>
      <c r="F28" s="23" t="str">
        <f>_xlfn.COUNTIFS('Test Cases'!$B$2:$B$643,"Checkout",'Test Cases'!$N$2:$N$643,"Blocked")</f>
        <v>0</v>
      </c>
      <c r="G28" s="23" t="str">
        <f>_xlfn.COUNTIFS('Test Cases'!$B$2:$B$643,"Checkout",'Test Cases'!$N$2:$N$643,"Not Executed")</f>
        <v>0</v>
      </c>
      <c r="I28" s="21" t="s">
        <v>1594</v>
      </c>
      <c r="J28" s="23" t="str">
        <f>COUNTIF('Test Cases'!$L$2:$L$643,"Edge*")</f>
        <v>0</v>
      </c>
      <c r="K28" s="23" t="str">
        <f>_xlfn.COUNTIFS('Test Cases'!$L$2:$L$643,"Edge*",'Test Cases'!$N$2:$N$643,"Pass")</f>
        <v>0</v>
      </c>
      <c r="L28" s="23" t="str">
        <f>_xlfn.COUNTIFS('Test Cases'!$L$2:$L$643,"Edge*",'Test Cases'!$N$2:$N$643,"Fail")</f>
        <v>0</v>
      </c>
    </row>
    <row r="29" spans="1:12">
      <c r="B29" s="21" t="s">
        <v>4055</v>
      </c>
      <c r="C29" s="23" t="str">
        <f>COUNTIF('Test Cases'!$B$2:$B$643,"Compatibility")</f>
        <v>0</v>
      </c>
      <c r="D29" s="23" t="str">
        <f>_xlfn.COUNTIFS('Test Cases'!$B$2:$B$643,"Compatibility",'Test Cases'!$N$2:$N$643,"Pass")</f>
        <v>0</v>
      </c>
      <c r="E29" s="23" t="str">
        <f>_xlfn.COUNTIFS('Test Cases'!$B$2:$B$643,"Compatibility",'Test Cases'!$N$2:$N$643,"Fail")</f>
        <v>0</v>
      </c>
      <c r="F29" s="23" t="str">
        <f>_xlfn.COUNTIFS('Test Cases'!$B$2:$B$643,"Compatibility",'Test Cases'!$N$2:$N$643,"Blocked")</f>
        <v>0</v>
      </c>
      <c r="G29" s="23" t="str">
        <f>_xlfn.COUNTIFS('Test Cases'!$B$2:$B$643,"Compatibility",'Test Cases'!$N$2:$N$643,"Not Executed")</f>
        <v>0</v>
      </c>
      <c r="I29" s="21" t="s">
        <v>2254</v>
      </c>
      <c r="J29" s="23" t="str">
        <f>COUNTIF('Test Cases'!$L$2:$L$643,"Data integrity*")</f>
        <v>0</v>
      </c>
      <c r="K29" s="23" t="str">
        <f>_xlfn.COUNTIFS('Test Cases'!$L$2:$L$643,"Data integrity*",'Test Cases'!$N$2:$N$643,"Pass")</f>
        <v>0</v>
      </c>
      <c r="L29" s="23" t="str">
        <f>_xlfn.COUNTIFS('Test Cases'!$L$2:$L$643,"Data integrity*",'Test Cases'!$N$2:$N$643,"Fail")</f>
        <v>0</v>
      </c>
    </row>
    <row r="30" spans="1:12">
      <c r="B30" s="21" t="s">
        <v>3103</v>
      </c>
      <c r="C30" s="23" t="str">
        <f>COUNTIF('Test Cases'!$B$2:$B$643,"Content Management")</f>
        <v>0</v>
      </c>
      <c r="D30" s="23" t="str">
        <f>_xlfn.COUNTIFS('Test Cases'!$B$2:$B$643,"Content Management",'Test Cases'!$N$2:$N$643,"Pass")</f>
        <v>0</v>
      </c>
      <c r="E30" s="23" t="str">
        <f>_xlfn.COUNTIFS('Test Cases'!$B$2:$B$643,"Content Management",'Test Cases'!$N$2:$N$643,"Fail")</f>
        <v>0</v>
      </c>
      <c r="F30" s="23" t="str">
        <f>_xlfn.COUNTIFS('Test Cases'!$B$2:$B$643,"Content Management",'Test Cases'!$N$2:$N$643,"Blocked")</f>
        <v>0</v>
      </c>
      <c r="G30" s="23" t="str">
        <f>_xlfn.COUNTIFS('Test Cases'!$B$2:$B$643,"Content Management",'Test Cases'!$N$2:$N$643,"Not Executed")</f>
        <v>0</v>
      </c>
      <c r="I30" s="21" t="s">
        <v>4594</v>
      </c>
      <c r="J30" s="23" t="str">
        <f>COUNTIF('Test Cases'!$L$2:$L$643,"E2E*")</f>
        <v>0</v>
      </c>
      <c r="K30" s="23" t="str">
        <f>_xlfn.COUNTIFS('Test Cases'!$L$2:$L$643,"E2E*",'Test Cases'!$N$2:$N$643,"Pass")</f>
        <v>0</v>
      </c>
      <c r="L30" s="23" t="str">
        <f>_xlfn.COUNTIFS('Test Cases'!$L$2:$L$643,"E2E*",'Test Cases'!$N$2:$N$643,"Fail")</f>
        <v>0</v>
      </c>
    </row>
    <row r="31" spans="1:12">
      <c r="B31" s="21" t="s">
        <v>3359</v>
      </c>
      <c r="C31" s="23" t="str">
        <f>COUNTIF('Test Cases'!$B$2:$B$643,"Customer Account")</f>
        <v>0</v>
      </c>
      <c r="D31" s="23" t="str">
        <f>_xlfn.COUNTIFS('Test Cases'!$B$2:$B$643,"Customer Account",'Test Cases'!$N$2:$N$643,"Pass")</f>
        <v>0</v>
      </c>
      <c r="E31" s="23" t="str">
        <f>_xlfn.COUNTIFS('Test Cases'!$B$2:$B$643,"Customer Account",'Test Cases'!$N$2:$N$643,"Fail")</f>
        <v>0</v>
      </c>
      <c r="F31" s="23" t="str">
        <f>_xlfn.COUNTIFS('Test Cases'!$B$2:$B$643,"Customer Account",'Test Cases'!$N$2:$N$643,"Blocked")</f>
        <v>0</v>
      </c>
      <c r="G31" s="23" t="str">
        <f>_xlfn.COUNTIFS('Test Cases'!$B$2:$B$643,"Customer Account",'Test Cases'!$N$2:$N$643,"Not Executed")</f>
        <v>0</v>
      </c>
      <c r="I31" s="21" t="s">
        <v>2807</v>
      </c>
      <c r="J31" s="23" t="str">
        <f>COUNTIF('Test Cases'!$L$2:$L$643,"Performance*")</f>
        <v>0</v>
      </c>
      <c r="K31" s="23" t="str">
        <f>_xlfn.COUNTIFS('Test Cases'!$L$2:$L$643,"Performance*",'Test Cases'!$N$2:$N$643,"Pass")</f>
        <v>0</v>
      </c>
      <c r="L31" s="23" t="str">
        <f>_xlfn.COUNTIFS('Test Cases'!$L$2:$L$643,"Performance*",'Test Cases'!$N$2:$N$643,"Fail")</f>
        <v>0</v>
      </c>
    </row>
    <row r="32" spans="1:12">
      <c r="B32" s="21" t="s">
        <v>4230</v>
      </c>
      <c r="C32" s="23" t="str">
        <f>COUNTIF('Test Cases'!$B$2:$B$643,"Database")</f>
        <v>0</v>
      </c>
      <c r="D32" s="23" t="str">
        <f>_xlfn.COUNTIFS('Test Cases'!$B$2:$B$643,"Database",'Test Cases'!$N$2:$N$643,"Pass")</f>
        <v>0</v>
      </c>
      <c r="E32" s="23" t="str">
        <f>_xlfn.COUNTIFS('Test Cases'!$B$2:$B$643,"Database",'Test Cases'!$N$2:$N$643,"Fail")</f>
        <v>0</v>
      </c>
      <c r="F32" s="23" t="str">
        <f>_xlfn.COUNTIFS('Test Cases'!$B$2:$B$643,"Database",'Test Cases'!$N$2:$N$643,"Blocked")</f>
        <v>0</v>
      </c>
      <c r="G32" s="23" t="str">
        <f>_xlfn.COUNTIFS('Test Cases'!$B$2:$B$643,"Database",'Test Cases'!$N$2:$N$643,"Not Executed")</f>
        <v>0</v>
      </c>
      <c r="I32" s="21" t="s">
        <v>3975</v>
      </c>
      <c r="J32" s="23" t="str">
        <f>COUNTIF('Test Cases'!$L$2:$L$643,"Accessibility*")</f>
        <v>0</v>
      </c>
      <c r="K32" s="23" t="str">
        <f>_xlfn.COUNTIFS('Test Cases'!$L$2:$L$643,"Accessibility*",'Test Cases'!$N$2:$N$643,"Pass")</f>
        <v>0</v>
      </c>
      <c r="L32" s="23" t="str">
        <f>_xlfn.COUNTIFS('Test Cases'!$L$2:$L$643,"Accessibility*",'Test Cases'!$N$2:$N$643,"Fail")</f>
        <v>0</v>
      </c>
    </row>
    <row r="33" spans="1:12">
      <c r="B33" s="21" t="s">
        <v>4469</v>
      </c>
      <c r="C33" s="23" t="str">
        <f>COUNTIF('Test Cases'!$B$2:$B$643,"End-to-End")</f>
        <v>0</v>
      </c>
      <c r="D33" s="23" t="str">
        <f>_xlfn.COUNTIFS('Test Cases'!$B$2:$B$643,"End-to-End",'Test Cases'!$N$2:$N$643,"Pass")</f>
        <v>0</v>
      </c>
      <c r="E33" s="23" t="str">
        <f>_xlfn.COUNTIFS('Test Cases'!$B$2:$B$643,"End-to-End",'Test Cases'!$N$2:$N$643,"Fail")</f>
        <v>0</v>
      </c>
      <c r="F33" s="23" t="str">
        <f>_xlfn.COUNTIFS('Test Cases'!$B$2:$B$643,"End-to-End",'Test Cases'!$N$2:$N$643,"Blocked")</f>
        <v>0</v>
      </c>
      <c r="G33" s="23" t="str">
        <f>_xlfn.COUNTIFS('Test Cases'!$B$2:$B$643,"End-to-End",'Test Cases'!$N$2:$N$643,"Not Executed")</f>
        <v>0</v>
      </c>
      <c r="I33" s="21" t="s">
        <v>4055</v>
      </c>
      <c r="J33" s="23" t="str">
        <f>COUNTIF('Test Cases'!$L$2:$L$643,"Compatibility*")</f>
        <v>0</v>
      </c>
      <c r="K33" s="23" t="str">
        <f>_xlfn.COUNTIFS('Test Cases'!$L$2:$L$643,"Compatibility*",'Test Cases'!$N$2:$N$643,"Pass")</f>
        <v>0</v>
      </c>
      <c r="L33" s="23" t="str">
        <f>_xlfn.COUNTIFS('Test Cases'!$L$2:$L$643,"Compatibility*",'Test Cases'!$N$2:$N$643,"Fail")</f>
        <v>0</v>
      </c>
    </row>
    <row r="34" spans="1:12">
      <c r="B34" s="21" t="s">
        <v>4317</v>
      </c>
      <c r="C34" s="23" t="str">
        <f>COUNTIF('Test Cases'!$B$2:$B$643,"Error Handling")</f>
        <v>0</v>
      </c>
      <c r="D34" s="23" t="str">
        <f>_xlfn.COUNTIFS('Test Cases'!$B$2:$B$643,"Error Handling",'Test Cases'!$N$2:$N$643,"Pass")</f>
        <v>0</v>
      </c>
      <c r="E34" s="23" t="str">
        <f>_xlfn.COUNTIFS('Test Cases'!$B$2:$B$643,"Error Handling",'Test Cases'!$N$2:$N$643,"Fail")</f>
        <v>0</v>
      </c>
      <c r="F34" s="23" t="str">
        <f>_xlfn.COUNTIFS('Test Cases'!$B$2:$B$643,"Error Handling",'Test Cases'!$N$2:$N$643,"Blocked")</f>
        <v>0</v>
      </c>
      <c r="G34" s="23" t="str">
        <f>_xlfn.COUNTIFS('Test Cases'!$B$2:$B$643,"Error Handling",'Test Cases'!$N$2:$N$643,"Not Executed")</f>
        <v>0</v>
      </c>
      <c r="I34" s="21" t="s">
        <v>4323</v>
      </c>
      <c r="J34" s="23" t="str">
        <f>COUNTIF('Test Cases'!$L$2:$L$643,"Error handling*")</f>
        <v>0</v>
      </c>
      <c r="K34" s="23" t="str">
        <f>_xlfn.COUNTIFS('Test Cases'!$L$2:$L$643,"Error handling*",'Test Cases'!$N$2:$N$643,"Pass")</f>
        <v>0</v>
      </c>
      <c r="L34" s="23" t="str">
        <f>_xlfn.COUNTIFS('Test Cases'!$L$2:$L$643,"Error handling*",'Test Cases'!$N$2:$N$643,"Fail")</f>
        <v>0</v>
      </c>
    </row>
    <row r="35" spans="1:12">
      <c r="B35" s="21" t="s">
        <v>4407</v>
      </c>
      <c r="C35" s="23" t="str">
        <f>COUNTIF('Test Cases'!$B$2:$B$643,"Installation")</f>
        <v>0</v>
      </c>
      <c r="D35" s="23" t="str">
        <f>_xlfn.COUNTIFS('Test Cases'!$B$2:$B$643,"Installation",'Test Cases'!$N$2:$N$643,"Pass")</f>
        <v>0</v>
      </c>
      <c r="E35" s="23" t="str">
        <f>_xlfn.COUNTIFS('Test Cases'!$B$2:$B$643,"Installation",'Test Cases'!$N$2:$N$643,"Fail")</f>
        <v>0</v>
      </c>
      <c r="F35" s="23" t="str">
        <f>_xlfn.COUNTIFS('Test Cases'!$B$2:$B$643,"Installation",'Test Cases'!$N$2:$N$643,"Blocked")</f>
        <v>0</v>
      </c>
      <c r="G35" s="23" t="str">
        <f>_xlfn.COUNTIFS('Test Cases'!$B$2:$B$643,"Installation",'Test Cases'!$N$2:$N$643,"Not Executed")</f>
        <v>0</v>
      </c>
      <c r="I35" s="21" t="s">
        <v>3882</v>
      </c>
      <c r="J35" s="23" t="str">
        <f>COUNTIF('Test Cases'!$L$2:$L$643,"Responsive*")</f>
        <v>0</v>
      </c>
      <c r="K35" s="23" t="str">
        <f>_xlfn.COUNTIFS('Test Cases'!$L$2:$L$643,"Responsive*",'Test Cases'!$N$2:$N$643,"Pass")</f>
        <v>0</v>
      </c>
      <c r="L35" s="23" t="str">
        <f>_xlfn.COUNTIFS('Test Cases'!$L$2:$L$643,"Responsive*",'Test Cases'!$N$2:$N$643,"Fail")</f>
        <v>0</v>
      </c>
    </row>
    <row r="36" spans="1:12">
      <c r="B36" s="21" t="s">
        <v>1118</v>
      </c>
      <c r="C36" s="23" t="str">
        <f>COUNTIF('Test Cases'!$B$2:$B$643,"Inventory &amp; Stock")</f>
        <v>0</v>
      </c>
      <c r="D36" s="23" t="str">
        <f>_xlfn.COUNTIFS('Test Cases'!$B$2:$B$643,"Inventory &amp; Stock",'Test Cases'!$N$2:$N$643,"Pass")</f>
        <v>0</v>
      </c>
      <c r="E36" s="23" t="str">
        <f>_xlfn.COUNTIFS('Test Cases'!$B$2:$B$643,"Inventory &amp; Stock",'Test Cases'!$N$2:$N$643,"Fail")</f>
        <v>0</v>
      </c>
      <c r="F36" s="23" t="str">
        <f>_xlfn.COUNTIFS('Test Cases'!$B$2:$B$643,"Inventory &amp; Stock",'Test Cases'!$N$2:$N$643,"Blocked")</f>
        <v>0</v>
      </c>
      <c r="G36" s="23" t="str">
        <f>_xlfn.COUNTIFS('Test Cases'!$B$2:$B$643,"Inventory &amp; Stock",'Test Cases'!$N$2:$N$643,"Not Executed")</f>
        <v>0</v>
      </c>
      <c r="I36" s="21" t="s">
        <v>4221</v>
      </c>
      <c r="J36" s="23" t="str">
        <f>COUNTIF('Test Cases'!$L$2:$L$643,"i18n*")</f>
        <v>0</v>
      </c>
      <c r="K36" s="23" t="str">
        <f>_xlfn.COUNTIFS('Test Cases'!$L$2:$L$643,"i18n*",'Test Cases'!$N$2:$N$643,"Pass")</f>
        <v>0</v>
      </c>
      <c r="L36" s="23" t="str">
        <f>_xlfn.COUNTIFS('Test Cases'!$L$2:$L$643,"i18n*",'Test Cases'!$N$2:$N$643,"Fail")</f>
        <v>0</v>
      </c>
    </row>
    <row r="37" spans="1:12">
      <c r="B37" s="21" t="s">
        <v>4138</v>
      </c>
      <c r="C37" s="23" t="str">
        <f>COUNTIF('Test Cases'!$B$2:$B$643,"Localisation")</f>
        <v>0</v>
      </c>
      <c r="D37" s="23" t="str">
        <f>_xlfn.COUNTIFS('Test Cases'!$B$2:$B$643,"Localisation",'Test Cases'!$N$2:$N$643,"Pass")</f>
        <v>0</v>
      </c>
      <c r="E37" s="23" t="str">
        <f>_xlfn.COUNTIFS('Test Cases'!$B$2:$B$643,"Localisation",'Test Cases'!$N$2:$N$643,"Fail")</f>
        <v>0</v>
      </c>
      <c r="F37" s="23" t="str">
        <f>_xlfn.COUNTIFS('Test Cases'!$B$2:$B$643,"Localisation",'Test Cases'!$N$2:$N$643,"Blocked")</f>
        <v>0</v>
      </c>
      <c r="G37" s="23" t="str">
        <f>_xlfn.COUNTIFS('Test Cases'!$B$2:$B$643,"Localisation",'Test Cases'!$N$2:$N$643,"Not Executed")</f>
        <v>0</v>
      </c>
      <c r="I37" s="21" t="s">
        <v>3959</v>
      </c>
      <c r="J37" s="23" t="str">
        <f>COUNTIF('Test Cases'!$L$2:$L$643,"UI*")</f>
        <v>0</v>
      </c>
      <c r="K37" s="23" t="str">
        <f>_xlfn.COUNTIFS('Test Cases'!$L$2:$L$643,"UI*",'Test Cases'!$N$2:$N$643,"Pass")</f>
        <v>0</v>
      </c>
      <c r="L37" s="23" t="str">
        <f>_xlfn.COUNTIFS('Test Cases'!$L$2:$L$643,"UI*",'Test Cases'!$N$2:$N$643,"Fail")</f>
        <v>0</v>
      </c>
    </row>
    <row r="38" spans="1:12">
      <c r="B38" s="21" t="s">
        <v>2233</v>
      </c>
      <c r="C38" s="23" t="str">
        <f>COUNTIF('Test Cases'!$B$2:$B$643,"Order Management")</f>
        <v>0</v>
      </c>
      <c r="D38" s="23" t="str">
        <f>_xlfn.COUNTIFS('Test Cases'!$B$2:$B$643,"Order Management",'Test Cases'!$N$2:$N$643,"Pass")</f>
        <v>0</v>
      </c>
      <c r="E38" s="23" t="str">
        <f>_xlfn.COUNTIFS('Test Cases'!$B$2:$B$643,"Order Management",'Test Cases'!$N$2:$N$643,"Fail")</f>
        <v>0</v>
      </c>
      <c r="F38" s="23" t="str">
        <f>_xlfn.COUNTIFS('Test Cases'!$B$2:$B$643,"Order Management",'Test Cases'!$N$2:$N$643,"Blocked")</f>
        <v>0</v>
      </c>
      <c r="G38" s="23" t="str">
        <f>_xlfn.COUNTIFS('Test Cases'!$B$2:$B$643,"Order Management",'Test Cases'!$N$2:$N$643,"Not Executed")</f>
        <v>0</v>
      </c>
      <c r="I38" s="21" t="s">
        <v>3782</v>
      </c>
      <c r="J38" s="23" t="str">
        <f>COUNTIF('Test Cases'!$L$2:$L$643,"Concurrency*")</f>
        <v>0</v>
      </c>
      <c r="K38" s="23" t="str">
        <f>_xlfn.COUNTIFS('Test Cases'!$L$2:$L$643,"Concurrency*",'Test Cases'!$N$2:$N$643,"Pass")</f>
        <v>0</v>
      </c>
      <c r="L38" s="23" t="str">
        <f>_xlfn.COUNTIFS('Test Cases'!$L$2:$L$643,"Concurrency*",'Test Cases'!$N$2:$N$643,"Fail")</f>
        <v>0</v>
      </c>
    </row>
    <row r="39" spans="1:12">
      <c r="B39" s="21" t="s">
        <v>2023</v>
      </c>
      <c r="C39" s="23" t="str">
        <f>COUNTIF('Test Cases'!$B$2:$B$643,"Payments")</f>
        <v>0</v>
      </c>
      <c r="D39" s="23" t="str">
        <f>_xlfn.COUNTIFS('Test Cases'!$B$2:$B$643,"Payments",'Test Cases'!$N$2:$N$643,"Pass")</f>
        <v>0</v>
      </c>
      <c r="E39" s="23" t="str">
        <f>_xlfn.COUNTIFS('Test Cases'!$B$2:$B$643,"Payments",'Test Cases'!$N$2:$N$643,"Fail")</f>
        <v>0</v>
      </c>
      <c r="F39" s="23" t="str">
        <f>_xlfn.COUNTIFS('Test Cases'!$B$2:$B$643,"Payments",'Test Cases'!$N$2:$N$643,"Blocked")</f>
        <v>0</v>
      </c>
      <c r="G39" s="23" t="str">
        <f>_xlfn.COUNTIFS('Test Cases'!$B$2:$B$643,"Payments",'Test Cases'!$N$2:$N$643,"Not Executed")</f>
        <v>0</v>
      </c>
      <c r="I39" s="21" t="s">
        <v>4308</v>
      </c>
      <c r="J39" s="23" t="str">
        <f>COUNTIF('Test Cases'!$L$2:$L$643,"Recovery*")</f>
        <v>0</v>
      </c>
      <c r="K39" s="23" t="str">
        <f>_xlfn.COUNTIFS('Test Cases'!$L$2:$L$643,"Recovery*",'Test Cases'!$N$2:$N$643,"Pass")</f>
        <v>0</v>
      </c>
      <c r="L39" s="23" t="str">
        <f>_xlfn.COUNTIFS('Test Cases'!$L$2:$L$643,"Recovery*",'Test Cases'!$N$2:$N$643,"Fail")</f>
        <v>0</v>
      </c>
    </row>
    <row r="40" spans="1:12">
      <c r="B40" s="21" t="s">
        <v>2807</v>
      </c>
      <c r="C40" s="23" t="str">
        <f>COUNTIF('Test Cases'!$B$2:$B$643,"Performance")</f>
        <v>0</v>
      </c>
      <c r="D40" s="23" t="str">
        <f>_xlfn.COUNTIFS('Test Cases'!$B$2:$B$643,"Performance",'Test Cases'!$N$2:$N$643,"Pass")</f>
        <v>0</v>
      </c>
      <c r="E40" s="23" t="str">
        <f>_xlfn.COUNTIFS('Test Cases'!$B$2:$B$643,"Performance",'Test Cases'!$N$2:$N$643,"Fail")</f>
        <v>0</v>
      </c>
      <c r="F40" s="23" t="str">
        <f>_xlfn.COUNTIFS('Test Cases'!$B$2:$B$643,"Performance",'Test Cases'!$N$2:$N$643,"Blocked")</f>
        <v>0</v>
      </c>
      <c r="G40" s="23" t="str">
        <f>_xlfn.COUNTIFS('Test Cases'!$B$2:$B$643,"Performance",'Test Cases'!$N$2:$N$643,"Not Executed")</f>
        <v>0</v>
      </c>
      <c r="I40" s="21" t="s">
        <v>4459</v>
      </c>
      <c r="J40" s="23" t="str">
        <f>COUNTIF('Test Cases'!$L$2:$L$643,"Deployment*")</f>
        <v>0</v>
      </c>
      <c r="K40" s="23" t="str">
        <f>_xlfn.COUNTIFS('Test Cases'!$L$2:$L$643,"Deployment*",'Test Cases'!$N$2:$N$643,"Pass")</f>
        <v>0</v>
      </c>
      <c r="L40" s="23" t="str">
        <f>_xlfn.COUNTIFS('Test Cases'!$L$2:$L$643,"Deployment*",'Test Cases'!$N$2:$N$643,"Fail")</f>
        <v>0</v>
      </c>
    </row>
    <row r="41" spans="1:12">
      <c r="B41" s="21" t="s">
        <v>3048</v>
      </c>
      <c r="C41" s="23" t="str">
        <f>COUNTIF('Test Cases'!$B$2:$B$643,"Point of Sale")</f>
        <v>0</v>
      </c>
      <c r="D41" s="23" t="str">
        <f>_xlfn.COUNTIFS('Test Cases'!$B$2:$B$643,"Point of Sale",'Test Cases'!$N$2:$N$643,"Pass")</f>
        <v>0</v>
      </c>
      <c r="E41" s="23" t="str">
        <f>_xlfn.COUNTIFS('Test Cases'!$B$2:$B$643,"Point of Sale",'Test Cases'!$N$2:$N$643,"Fail")</f>
        <v>0</v>
      </c>
      <c r="F41" s="23" t="str">
        <f>_xlfn.COUNTIFS('Test Cases'!$B$2:$B$643,"Point of Sale",'Test Cases'!$N$2:$N$643,"Blocked")</f>
        <v>0</v>
      </c>
      <c r="G41" s="23" t="str">
        <f>_xlfn.COUNTIFS('Test Cases'!$B$2:$B$643,"Point of Sale",'Test Cases'!$N$2:$N$643,"Not Executed")</f>
        <v>0</v>
      </c>
      <c r="I41" s="28" t="s">
        <v>4591</v>
      </c>
      <c r="J41" s="29" t="str">
        <f>SUM(J$22:J$40)</f>
        <v>0</v>
      </c>
      <c r="K41" s="29" t="str">
        <f>SUM(K$22:K$40)</f>
        <v>0</v>
      </c>
      <c r="L41" s="29" t="str">
        <f>SUM(L$22:L$40)</f>
        <v>0</v>
      </c>
    </row>
    <row r="42" spans="1:12">
      <c r="B42" s="21" t="s">
        <v>1256</v>
      </c>
      <c r="C42" s="23" t="str">
        <f>COUNTIF('Test Cases'!$B$2:$B$643,"Pricing &amp; Promotions")</f>
        <v>0</v>
      </c>
      <c r="D42" s="23" t="str">
        <f>_xlfn.COUNTIFS('Test Cases'!$B$2:$B$643,"Pricing &amp; Promotions",'Test Cases'!$N$2:$N$643,"Pass")</f>
        <v>0</v>
      </c>
      <c r="E42" s="23" t="str">
        <f>_xlfn.COUNTIFS('Test Cases'!$B$2:$B$643,"Pricing &amp; Promotions",'Test Cases'!$N$2:$N$643,"Fail")</f>
        <v>0</v>
      </c>
      <c r="F42" s="23" t="str">
        <f>_xlfn.COUNTIFS('Test Cases'!$B$2:$B$643,"Pricing &amp; Promotions",'Test Cases'!$N$2:$N$643,"Blocked")</f>
        <v>0</v>
      </c>
      <c r="G42" s="23" t="str">
        <f>_xlfn.COUNTIFS('Test Cases'!$B$2:$B$643,"Pricing &amp; Promotions",'Test Cases'!$N$2:$N$643,"Not Executed")</f>
        <v>0</v>
      </c>
    </row>
    <row r="43" spans="1:12">
      <c r="B43" s="21" t="s">
        <v>2992</v>
      </c>
      <c r="C43" s="23" t="str">
        <f>COUNTIF('Test Cases'!$B$2:$B$643,"Procurement")</f>
        <v>0</v>
      </c>
      <c r="D43" s="23" t="str">
        <f>_xlfn.COUNTIFS('Test Cases'!$B$2:$B$643,"Procurement",'Test Cases'!$N$2:$N$643,"Pass")</f>
        <v>0</v>
      </c>
      <c r="E43" s="23" t="str">
        <f>_xlfn.COUNTIFS('Test Cases'!$B$2:$B$643,"Procurement",'Test Cases'!$N$2:$N$643,"Fail")</f>
        <v>0</v>
      </c>
      <c r="F43" s="23" t="str">
        <f>_xlfn.COUNTIFS('Test Cases'!$B$2:$B$643,"Procurement",'Test Cases'!$N$2:$N$643,"Blocked")</f>
        <v>0</v>
      </c>
      <c r="G43" s="23" t="str">
        <f>_xlfn.COUNTIFS('Test Cases'!$B$2:$B$643,"Procurement",'Test Cases'!$N$2:$N$643,"Not Executed")</f>
        <v>0</v>
      </c>
    </row>
    <row r="44" spans="1:12">
      <c r="B44" s="21" t="s">
        <v>825</v>
      </c>
      <c r="C44" s="23" t="str">
        <f>COUNTIF('Test Cases'!$B$2:$B$643,"Product Management")</f>
        <v>0</v>
      </c>
      <c r="D44" s="23" t="str">
        <f>_xlfn.COUNTIFS('Test Cases'!$B$2:$B$643,"Product Management",'Test Cases'!$N$2:$N$643,"Pass")</f>
        <v>0</v>
      </c>
      <c r="E44" s="23" t="str">
        <f>_xlfn.COUNTIFS('Test Cases'!$B$2:$B$643,"Product Management",'Test Cases'!$N$2:$N$643,"Fail")</f>
        <v>0</v>
      </c>
      <c r="F44" s="23" t="str">
        <f>_xlfn.COUNTIFS('Test Cases'!$B$2:$B$643,"Product Management",'Test Cases'!$N$2:$N$643,"Blocked")</f>
        <v>0</v>
      </c>
      <c r="G44" s="23" t="str">
        <f>_xlfn.COUNTIFS('Test Cases'!$B$2:$B$643,"Product Management",'Test Cases'!$N$2:$N$643,"Not Executed")</f>
        <v>0</v>
      </c>
    </row>
    <row r="45" spans="1:12">
      <c r="B45" s="21" t="s">
        <v>3868</v>
      </c>
      <c r="C45" s="23" t="str">
        <f>COUNTIF('Test Cases'!$B$2:$B$643,"Responsive &amp; UI")</f>
        <v>0</v>
      </c>
      <c r="D45" s="23" t="str">
        <f>_xlfn.COUNTIFS('Test Cases'!$B$2:$B$643,"Responsive &amp; UI",'Test Cases'!$N$2:$N$643,"Pass")</f>
        <v>0</v>
      </c>
      <c r="E45" s="23" t="str">
        <f>_xlfn.COUNTIFS('Test Cases'!$B$2:$B$643,"Responsive &amp; UI",'Test Cases'!$N$2:$N$643,"Fail")</f>
        <v>0</v>
      </c>
      <c r="F45" s="23" t="str">
        <f>_xlfn.COUNTIFS('Test Cases'!$B$2:$B$643,"Responsive &amp; UI",'Test Cases'!$N$2:$N$643,"Blocked")</f>
        <v>0</v>
      </c>
      <c r="G45" s="23" t="str">
        <f>_xlfn.COUNTIFS('Test Cases'!$B$2:$B$643,"Responsive &amp; UI",'Test Cases'!$N$2:$N$643,"Not Executed")</f>
        <v>0</v>
      </c>
    </row>
    <row r="46" spans="1:12">
      <c r="B46" s="21" t="s">
        <v>2809</v>
      </c>
      <c r="C46" s="23" t="str">
        <f>COUNTIF('Test Cases'!$B$2:$B$643,"Reviews &amp; Ratings")</f>
        <v>0</v>
      </c>
      <c r="D46" s="23" t="str">
        <f>_xlfn.COUNTIFS('Test Cases'!$B$2:$B$643,"Reviews &amp; Ratings",'Test Cases'!$N$2:$N$643,"Pass")</f>
        <v>0</v>
      </c>
      <c r="E46" s="23" t="str">
        <f>_xlfn.COUNTIFS('Test Cases'!$B$2:$B$643,"Reviews &amp; Ratings",'Test Cases'!$N$2:$N$643,"Fail")</f>
        <v>0</v>
      </c>
      <c r="F46" s="23" t="str">
        <f>_xlfn.COUNTIFS('Test Cases'!$B$2:$B$643,"Reviews &amp; Ratings",'Test Cases'!$N$2:$N$643,"Blocked")</f>
        <v>0</v>
      </c>
      <c r="G46" s="23" t="str">
        <f>_xlfn.COUNTIFS('Test Cases'!$B$2:$B$643,"Reviews &amp; Ratings",'Test Cases'!$N$2:$N$643,"Not Executed")</f>
        <v>0</v>
      </c>
    </row>
    <row r="47" spans="1:12">
      <c r="B47" s="21" t="s">
        <v>559</v>
      </c>
      <c r="C47" s="23" t="str">
        <f>COUNTIF('Test Cases'!$B$2:$B$643,"Roles &amp; Permissions")</f>
        <v>0</v>
      </c>
      <c r="D47" s="23" t="str">
        <f>_xlfn.COUNTIFS('Test Cases'!$B$2:$B$643,"Roles &amp; Permissions",'Test Cases'!$N$2:$N$643,"Pass")</f>
        <v>0</v>
      </c>
      <c r="E47" s="23" t="str">
        <f>_xlfn.COUNTIFS('Test Cases'!$B$2:$B$643,"Roles &amp; Permissions",'Test Cases'!$N$2:$N$643,"Fail")</f>
        <v>0</v>
      </c>
      <c r="F47" s="23" t="str">
        <f>_xlfn.COUNTIFS('Test Cases'!$B$2:$B$643,"Roles &amp; Permissions",'Test Cases'!$N$2:$N$643,"Blocked")</f>
        <v>0</v>
      </c>
      <c r="G47" s="23" t="str">
        <f>_xlfn.COUNTIFS('Test Cases'!$B$2:$B$643,"Roles &amp; Permissions",'Test Cases'!$N$2:$N$643,"Not Executed")</f>
        <v>0</v>
      </c>
    </row>
    <row r="48" spans="1:12">
      <c r="B48" s="21" t="s">
        <v>2694</v>
      </c>
      <c r="C48" s="23" t="str">
        <f>COUNTIF('Test Cases'!$B$2:$B$643,"Search &amp; Browse")</f>
        <v>0</v>
      </c>
      <c r="D48" s="23" t="str">
        <f>_xlfn.COUNTIFS('Test Cases'!$B$2:$B$643,"Search &amp; Browse",'Test Cases'!$N$2:$N$643,"Pass")</f>
        <v>0</v>
      </c>
      <c r="E48" s="23" t="str">
        <f>_xlfn.COUNTIFS('Test Cases'!$B$2:$B$643,"Search &amp; Browse",'Test Cases'!$N$2:$N$643,"Fail")</f>
        <v>0</v>
      </c>
      <c r="F48" s="23" t="str">
        <f>_xlfn.COUNTIFS('Test Cases'!$B$2:$B$643,"Search &amp; Browse",'Test Cases'!$N$2:$N$643,"Blocked")</f>
        <v>0</v>
      </c>
      <c r="G48" s="23" t="str">
        <f>_xlfn.COUNTIFS('Test Cases'!$B$2:$B$643,"Search &amp; Browse",'Test Cases'!$N$2:$N$643,"Not Executed")</f>
        <v>0</v>
      </c>
    </row>
    <row r="49" spans="1:12">
      <c r="B49" s="21" t="s">
        <v>2203</v>
      </c>
      <c r="C49" s="23" t="str">
        <f>COUNTIF('Test Cases'!$B$2:$B$643,"Security")</f>
        <v>0</v>
      </c>
      <c r="D49" s="23" t="str">
        <f>_xlfn.COUNTIFS('Test Cases'!$B$2:$B$643,"Security",'Test Cases'!$N$2:$N$643,"Pass")</f>
        <v>0</v>
      </c>
      <c r="E49" s="23" t="str">
        <f>_xlfn.COUNTIFS('Test Cases'!$B$2:$B$643,"Security",'Test Cases'!$N$2:$N$643,"Fail")</f>
        <v>0</v>
      </c>
      <c r="F49" s="23" t="str">
        <f>_xlfn.COUNTIFS('Test Cases'!$B$2:$B$643,"Security",'Test Cases'!$N$2:$N$643,"Blocked")</f>
        <v>0</v>
      </c>
      <c r="G49" s="23" t="str">
        <f>_xlfn.COUNTIFS('Test Cases'!$B$2:$B$643,"Security",'Test Cases'!$N$2:$N$643,"Not Executed")</f>
        <v>0</v>
      </c>
    </row>
    <row r="50" spans="1:12">
      <c r="B50" s="21" t="s">
        <v>3232</v>
      </c>
      <c r="C50" s="23" t="str">
        <f>COUNTIF('Test Cases'!$B$2:$B$643,"Settings")</f>
        <v>0</v>
      </c>
      <c r="D50" s="23" t="str">
        <f>_xlfn.COUNTIFS('Test Cases'!$B$2:$B$643,"Settings",'Test Cases'!$N$2:$N$643,"Pass")</f>
        <v>0</v>
      </c>
      <c r="E50" s="23" t="str">
        <f>_xlfn.COUNTIFS('Test Cases'!$B$2:$B$643,"Settings",'Test Cases'!$N$2:$N$643,"Fail")</f>
        <v>0</v>
      </c>
      <c r="F50" s="23" t="str">
        <f>_xlfn.COUNTIFS('Test Cases'!$B$2:$B$643,"Settings",'Test Cases'!$N$2:$N$643,"Blocked")</f>
        <v>0</v>
      </c>
      <c r="G50" s="23" t="str">
        <f>_xlfn.COUNTIFS('Test Cases'!$B$2:$B$643,"Settings",'Test Cases'!$N$2:$N$643,"Not Executed")</f>
        <v>0</v>
      </c>
    </row>
    <row r="51" spans="1:12">
      <c r="B51" s="21" t="s">
        <v>2609</v>
      </c>
      <c r="C51" s="23" t="str">
        <f>COUNTIF('Test Cases'!$B$2:$B$643,"Storefront")</f>
        <v>0</v>
      </c>
      <c r="D51" s="23" t="str">
        <f>_xlfn.COUNTIFS('Test Cases'!$B$2:$B$643,"Storefront",'Test Cases'!$N$2:$N$643,"Pass")</f>
        <v>0</v>
      </c>
      <c r="E51" s="23" t="str">
        <f>_xlfn.COUNTIFS('Test Cases'!$B$2:$B$643,"Storefront",'Test Cases'!$N$2:$N$643,"Fail")</f>
        <v>0</v>
      </c>
      <c r="F51" s="23" t="str">
        <f>_xlfn.COUNTIFS('Test Cases'!$B$2:$B$643,"Storefront",'Test Cases'!$N$2:$N$643,"Blocked")</f>
        <v>0</v>
      </c>
      <c r="G51" s="23" t="str">
        <f>_xlfn.COUNTIFS('Test Cases'!$B$2:$B$643,"Storefront",'Test Cases'!$N$2:$N$643,"Not Executed")</f>
        <v>0</v>
      </c>
    </row>
    <row r="52" spans="1:12">
      <c r="B52" s="21" t="s">
        <v>2891</v>
      </c>
      <c r="C52" s="23" t="str">
        <f>COUNTIF('Test Cases'!$B$2:$B$643,"Vendor &amp; Store")</f>
        <v>0</v>
      </c>
      <c r="D52" s="23" t="str">
        <f>_xlfn.COUNTIFS('Test Cases'!$B$2:$B$643,"Vendor &amp; Store",'Test Cases'!$N$2:$N$643,"Pass")</f>
        <v>0</v>
      </c>
      <c r="E52" s="23" t="str">
        <f>_xlfn.COUNTIFS('Test Cases'!$B$2:$B$643,"Vendor &amp; Store",'Test Cases'!$N$2:$N$643,"Fail")</f>
        <v>0</v>
      </c>
      <c r="F52" s="23" t="str">
        <f>_xlfn.COUNTIFS('Test Cases'!$B$2:$B$643,"Vendor &amp; Store",'Test Cases'!$N$2:$N$643,"Blocked")</f>
        <v>0</v>
      </c>
      <c r="G52" s="23" t="str">
        <f>_xlfn.COUNTIFS('Test Cases'!$B$2:$B$643,"Vendor &amp; Store",'Test Cases'!$N$2:$N$643,"Not Executed")</f>
        <v>0</v>
      </c>
    </row>
    <row r="53" spans="1:12">
      <c r="B53" s="21" t="s">
        <v>1472</v>
      </c>
      <c r="C53" s="23" t="str">
        <f>COUNTIF('Test Cases'!$B$2:$B$643,"Vouchers &amp; Coupons")</f>
        <v>0</v>
      </c>
      <c r="D53" s="23" t="str">
        <f>_xlfn.COUNTIFS('Test Cases'!$B$2:$B$643,"Vouchers &amp; Coupons",'Test Cases'!$N$2:$N$643,"Pass")</f>
        <v>0</v>
      </c>
      <c r="E53" s="23" t="str">
        <f>_xlfn.COUNTIFS('Test Cases'!$B$2:$B$643,"Vouchers &amp; Coupons",'Test Cases'!$N$2:$N$643,"Fail")</f>
        <v>0</v>
      </c>
      <c r="F53" s="23" t="str">
        <f>_xlfn.COUNTIFS('Test Cases'!$B$2:$B$643,"Vouchers &amp; Coupons",'Test Cases'!$N$2:$N$643,"Blocked")</f>
        <v>0</v>
      </c>
      <c r="G53" s="23" t="str">
        <f>_xlfn.COUNTIFS('Test Cases'!$B$2:$B$643,"Vouchers &amp; Coupons",'Test Cases'!$N$2:$N$643,"Not Executed")</f>
        <v>0</v>
      </c>
    </row>
    <row r="54" spans="1:12">
      <c r="B54" s="21" t="s">
        <v>2479</v>
      </c>
      <c r="C54" s="23" t="str">
        <f>COUNTIF('Test Cases'!$B$2:$B$643,"Wallet &amp; Loyalty")</f>
        <v>0</v>
      </c>
      <c r="D54" s="23" t="str">
        <f>_xlfn.COUNTIFS('Test Cases'!$B$2:$B$643,"Wallet &amp; Loyalty",'Test Cases'!$N$2:$N$643,"Pass")</f>
        <v>0</v>
      </c>
      <c r="E54" s="23" t="str">
        <f>_xlfn.COUNTIFS('Test Cases'!$B$2:$B$643,"Wallet &amp; Loyalty",'Test Cases'!$N$2:$N$643,"Fail")</f>
        <v>0</v>
      </c>
      <c r="F54" s="23" t="str">
        <f>_xlfn.COUNTIFS('Test Cases'!$B$2:$B$643,"Wallet &amp; Loyalty",'Test Cases'!$N$2:$N$643,"Blocked")</f>
        <v>0</v>
      </c>
      <c r="G54" s="23" t="str">
        <f>_xlfn.COUNTIFS('Test Cases'!$B$2:$B$643,"Wallet &amp; Loyalty",'Test Cases'!$N$2:$N$643,"Not Executed")</f>
        <v>0</v>
      </c>
    </row>
    <row r="55" spans="1:12">
      <c r="B55" s="28" t="s">
        <v>4591</v>
      </c>
      <c r="C55" s="29" t="str">
        <f>SUM(C$22:C$54)</f>
        <v>0</v>
      </c>
      <c r="D55" s="29" t="str">
        <f>SUM(D$22:D$54)</f>
        <v>0</v>
      </c>
      <c r="E55" s="29" t="str">
        <f>SUM(E$22:E$54)</f>
        <v>0</v>
      </c>
      <c r="F55" s="29" t="str">
        <f>SUM(F$22:F$54)</f>
        <v>0</v>
      </c>
      <c r="G55" s="29" t="str">
        <f>SUM(G$22:G$54)</f>
        <v>0</v>
      </c>
    </row>
  </sheetData>
  <mergeCells>
    <mergeCell ref="B2:L2"/>
    <mergeCell ref="B3:L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G35"/>
  <sheetViews>
    <sheetView tabSelected="0" workbookViewId="0" showGridLines="false" showRowColHeaders="1">
      <pane ySplit="1" topLeftCell="A2" activePane="bottomLeft" state="frozen"/>
      <selection pane="bottomLeft" activeCell="A2" sqref="A2:A34"/>
    </sheetView>
  </sheetViews>
  <sheetFormatPr defaultRowHeight="14.4" outlineLevelRow="0" outlineLevelCol="0"/>
  <cols>
    <col min="1" max="1" width="26" customWidth="true" style="0"/>
    <col min="2" max="2" width="12" customWidth="true" style="0"/>
    <col min="3" max="3" width="12" customWidth="true" style="0"/>
    <col min="4" max="4" width="14" customWidth="true" style="0"/>
    <col min="5" max="5" width="18" customWidth="true" style="0"/>
    <col min="6" max="6" width="46" customWidth="true" style="0"/>
    <col min="7" max="7" width="62" customWidth="true" style="0"/>
  </cols>
  <sheetData>
    <row r="1" spans="1:7" customHeight="1" ht="30">
      <c r="A1" s="9" t="s">
        <v>36</v>
      </c>
      <c r="B1" s="9" t="s">
        <v>4595</v>
      </c>
      <c r="C1" s="9" t="s">
        <v>15</v>
      </c>
      <c r="D1" s="9" t="s">
        <v>4596</v>
      </c>
      <c r="E1" s="9" t="s">
        <v>4597</v>
      </c>
      <c r="F1" s="9" t="s">
        <v>4598</v>
      </c>
      <c r="G1" s="9" t="s">
        <v>4599</v>
      </c>
    </row>
    <row r="2" spans="1:7">
      <c r="A2" s="11" t="s">
        <v>3692</v>
      </c>
      <c r="B2" s="10" t="s">
        <v>3692</v>
      </c>
      <c r="C2" s="13">
        <v>14</v>
      </c>
      <c r="D2" s="13">
        <v>1</v>
      </c>
      <c r="E2" s="13">
        <v>1</v>
      </c>
      <c r="F2" s="10" t="s">
        <v>4600</v>
      </c>
      <c r="G2" s="10" t="s">
        <v>4601</v>
      </c>
    </row>
    <row r="3" spans="1:7">
      <c r="A3" s="11" t="s">
        <v>3975</v>
      </c>
      <c r="B3" s="10" t="s">
        <v>4602</v>
      </c>
      <c r="C3" s="13">
        <v>12</v>
      </c>
      <c r="D3" s="13">
        <v>3</v>
      </c>
      <c r="E3" s="13">
        <v>0</v>
      </c>
      <c r="F3" s="10" t="s">
        <v>4603</v>
      </c>
      <c r="G3" s="10" t="s">
        <v>4604</v>
      </c>
    </row>
    <row r="4" spans="1:7">
      <c r="A4" s="11" t="s">
        <v>490</v>
      </c>
      <c r="B4" s="10" t="s">
        <v>4605</v>
      </c>
      <c r="C4" s="13">
        <v>10</v>
      </c>
      <c r="D4" s="13">
        <v>5</v>
      </c>
      <c r="E4" s="13">
        <v>4</v>
      </c>
      <c r="F4" s="10" t="s">
        <v>4606</v>
      </c>
      <c r="G4" s="10" t="s">
        <v>4607</v>
      </c>
    </row>
    <row r="5" spans="1:7">
      <c r="A5" s="11" t="s">
        <v>48</v>
      </c>
      <c r="B5" s="10" t="s">
        <v>4608</v>
      </c>
      <c r="C5" s="13">
        <v>60</v>
      </c>
      <c r="D5" s="13">
        <v>38</v>
      </c>
      <c r="E5" s="13">
        <v>22</v>
      </c>
      <c r="F5" s="10" t="s">
        <v>4609</v>
      </c>
      <c r="G5" s="10" t="s">
        <v>4610</v>
      </c>
    </row>
    <row r="6" spans="1:7">
      <c r="A6" s="11" t="s">
        <v>1648</v>
      </c>
      <c r="B6" s="10" t="s">
        <v>4611</v>
      </c>
      <c r="C6" s="13">
        <v>27</v>
      </c>
      <c r="D6" s="13">
        <v>15</v>
      </c>
      <c r="E6" s="13">
        <v>11</v>
      </c>
      <c r="F6" s="10" t="s">
        <v>4612</v>
      </c>
      <c r="G6" s="10" t="s">
        <v>4613</v>
      </c>
    </row>
    <row r="7" spans="1:7">
      <c r="A7" s="11" t="s">
        <v>656</v>
      </c>
      <c r="B7" s="10" t="s">
        <v>4614</v>
      </c>
      <c r="C7" s="13">
        <v>24</v>
      </c>
      <c r="D7" s="13">
        <v>10</v>
      </c>
      <c r="E7" s="13">
        <v>3</v>
      </c>
      <c r="F7" s="10" t="s">
        <v>4615</v>
      </c>
      <c r="G7" s="10" t="s">
        <v>4616</v>
      </c>
    </row>
    <row r="8" spans="1:7">
      <c r="A8" s="11" t="s">
        <v>1836</v>
      </c>
      <c r="B8" s="10" t="s">
        <v>4617</v>
      </c>
      <c r="C8" s="13">
        <v>26</v>
      </c>
      <c r="D8" s="13">
        <v>13</v>
      </c>
      <c r="E8" s="13">
        <v>10</v>
      </c>
      <c r="F8" s="10" t="s">
        <v>4618</v>
      </c>
      <c r="G8" s="10" t="s">
        <v>4619</v>
      </c>
    </row>
    <row r="9" spans="1:7">
      <c r="A9" s="11" t="s">
        <v>4055</v>
      </c>
      <c r="B9" s="10" t="s">
        <v>4620</v>
      </c>
      <c r="C9" s="13">
        <v>12</v>
      </c>
      <c r="D9" s="13">
        <v>5</v>
      </c>
      <c r="E9" s="13">
        <v>0</v>
      </c>
      <c r="F9" s="10" t="s">
        <v>4621</v>
      </c>
      <c r="G9" s="10" t="s">
        <v>4622</v>
      </c>
    </row>
    <row r="10" spans="1:7">
      <c r="A10" s="11" t="s">
        <v>3103</v>
      </c>
      <c r="B10" s="10" t="s">
        <v>4623</v>
      </c>
      <c r="C10" s="13">
        <v>20</v>
      </c>
      <c r="D10" s="13">
        <v>1</v>
      </c>
      <c r="E10" s="13">
        <v>2</v>
      </c>
      <c r="F10" s="10" t="s">
        <v>4624</v>
      </c>
      <c r="G10" s="10" t="s">
        <v>4625</v>
      </c>
    </row>
    <row r="11" spans="1:7">
      <c r="A11" s="11" t="s">
        <v>3359</v>
      </c>
      <c r="B11" s="10" t="s">
        <v>4626</v>
      </c>
      <c r="C11" s="13">
        <v>18</v>
      </c>
      <c r="D11" s="13">
        <v>4</v>
      </c>
      <c r="E11" s="13">
        <v>4</v>
      </c>
      <c r="F11" s="10" t="s">
        <v>4627</v>
      </c>
      <c r="G11" s="10" t="s">
        <v>4628</v>
      </c>
    </row>
    <row r="12" spans="1:7">
      <c r="A12" s="11" t="s">
        <v>4230</v>
      </c>
      <c r="B12" s="10" t="s">
        <v>4629</v>
      </c>
      <c r="C12" s="13">
        <v>12</v>
      </c>
      <c r="D12" s="13">
        <v>8</v>
      </c>
      <c r="E12" s="13">
        <v>8</v>
      </c>
      <c r="F12" s="10" t="s">
        <v>4630</v>
      </c>
      <c r="G12" s="10" t="s">
        <v>4631</v>
      </c>
    </row>
    <row r="13" spans="1:7">
      <c r="A13" s="11" t="s">
        <v>4469</v>
      </c>
      <c r="B13" s="10" t="s">
        <v>4594</v>
      </c>
      <c r="C13" s="13">
        <v>14</v>
      </c>
      <c r="D13" s="13">
        <v>11</v>
      </c>
      <c r="E13" s="13">
        <v>10</v>
      </c>
      <c r="F13" s="10" t="s">
        <v>4632</v>
      </c>
      <c r="G13" s="10" t="s">
        <v>4633</v>
      </c>
    </row>
    <row r="14" spans="1:7">
      <c r="A14" s="11" t="s">
        <v>4317</v>
      </c>
      <c r="B14" s="10" t="s">
        <v>4634</v>
      </c>
      <c r="C14" s="13">
        <v>12</v>
      </c>
      <c r="D14" s="13">
        <v>3</v>
      </c>
      <c r="E14" s="13">
        <v>3</v>
      </c>
      <c r="F14" s="10" t="s">
        <v>4635</v>
      </c>
      <c r="G14" s="10" t="s">
        <v>4636</v>
      </c>
    </row>
    <row r="15" spans="1:7">
      <c r="A15" s="11" t="s">
        <v>4407</v>
      </c>
      <c r="B15" s="10" t="s">
        <v>4637</v>
      </c>
      <c r="C15" s="13">
        <v>8</v>
      </c>
      <c r="D15" s="13">
        <v>3</v>
      </c>
      <c r="E15" s="13">
        <v>4</v>
      </c>
      <c r="F15" s="10" t="s">
        <v>4638</v>
      </c>
      <c r="G15" s="10" t="s">
        <v>4639</v>
      </c>
    </row>
    <row r="16" spans="1:7">
      <c r="A16" s="11" t="s">
        <v>1118</v>
      </c>
      <c r="B16" s="10" t="s">
        <v>4640</v>
      </c>
      <c r="C16" s="13">
        <v>18</v>
      </c>
      <c r="D16" s="13">
        <v>13</v>
      </c>
      <c r="E16" s="13">
        <v>11</v>
      </c>
      <c r="F16" s="10" t="s">
        <v>4641</v>
      </c>
      <c r="G16" s="10" t="s">
        <v>4642</v>
      </c>
    </row>
    <row r="17" spans="1:7">
      <c r="A17" s="11" t="s">
        <v>4138</v>
      </c>
      <c r="B17" s="10" t="s">
        <v>4643</v>
      </c>
      <c r="C17" s="13">
        <v>12</v>
      </c>
      <c r="D17" s="13">
        <v>0</v>
      </c>
      <c r="E17" s="13">
        <v>0</v>
      </c>
      <c r="F17" s="10" t="s">
        <v>4644</v>
      </c>
      <c r="G17" s="10" t="s">
        <v>4645</v>
      </c>
    </row>
    <row r="18" spans="1:7">
      <c r="A18" s="11" t="s">
        <v>2233</v>
      </c>
      <c r="B18" s="10" t="s">
        <v>4646</v>
      </c>
      <c r="C18" s="13">
        <v>35</v>
      </c>
      <c r="D18" s="13">
        <v>21</v>
      </c>
      <c r="E18" s="13">
        <v>17</v>
      </c>
      <c r="F18" s="10" t="s">
        <v>4647</v>
      </c>
      <c r="G18" s="10" t="s">
        <v>4648</v>
      </c>
    </row>
    <row r="19" spans="1:7">
      <c r="A19" s="11" t="s">
        <v>2023</v>
      </c>
      <c r="B19" s="10" t="s">
        <v>4649</v>
      </c>
      <c r="C19" s="13">
        <v>30</v>
      </c>
      <c r="D19" s="13">
        <v>19</v>
      </c>
      <c r="E19" s="13">
        <v>20</v>
      </c>
      <c r="F19" s="10" t="s">
        <v>4650</v>
      </c>
      <c r="G19" s="10" t="s">
        <v>4651</v>
      </c>
    </row>
    <row r="20" spans="1:7">
      <c r="A20" s="11" t="s">
        <v>2807</v>
      </c>
      <c r="B20" s="10" t="s">
        <v>4652</v>
      </c>
      <c r="C20" s="13">
        <v>12</v>
      </c>
      <c r="D20" s="13">
        <v>4</v>
      </c>
      <c r="E20" s="13">
        <v>1</v>
      </c>
      <c r="F20" s="10" t="s">
        <v>4653</v>
      </c>
      <c r="G20" s="10" t="s">
        <v>4654</v>
      </c>
    </row>
    <row r="21" spans="1:7">
      <c r="A21" s="11" t="s">
        <v>3048</v>
      </c>
      <c r="B21" s="10" t="s">
        <v>4655</v>
      </c>
      <c r="C21" s="13">
        <v>8</v>
      </c>
      <c r="D21" s="13">
        <v>0</v>
      </c>
      <c r="E21" s="13">
        <v>0</v>
      </c>
      <c r="F21" s="10" t="s">
        <v>4656</v>
      </c>
      <c r="G21" s="10" t="s">
        <v>4657</v>
      </c>
    </row>
    <row r="22" spans="1:7">
      <c r="A22" s="11" t="s">
        <v>1256</v>
      </c>
      <c r="B22" s="10" t="s">
        <v>4658</v>
      </c>
      <c r="C22" s="13">
        <v>30</v>
      </c>
      <c r="D22" s="13">
        <v>15</v>
      </c>
      <c r="E22" s="13">
        <v>11</v>
      </c>
      <c r="F22" s="10" t="s">
        <v>4659</v>
      </c>
      <c r="G22" s="10" t="s">
        <v>4660</v>
      </c>
    </row>
    <row r="23" spans="1:7">
      <c r="A23" s="11" t="s">
        <v>2992</v>
      </c>
      <c r="B23" s="10" t="s">
        <v>4661</v>
      </c>
      <c r="C23" s="13">
        <v>8</v>
      </c>
      <c r="D23" s="13">
        <v>2</v>
      </c>
      <c r="E23" s="13">
        <v>2</v>
      </c>
      <c r="F23" s="10" t="s">
        <v>4662</v>
      </c>
      <c r="G23" s="10" t="s">
        <v>4663</v>
      </c>
    </row>
    <row r="24" spans="1:7">
      <c r="A24" s="11" t="s">
        <v>825</v>
      </c>
      <c r="B24" s="10" t="s">
        <v>4664</v>
      </c>
      <c r="C24" s="13">
        <v>42</v>
      </c>
      <c r="D24" s="13">
        <v>16</v>
      </c>
      <c r="E24" s="13">
        <v>9</v>
      </c>
      <c r="F24" s="10" t="s">
        <v>4665</v>
      </c>
      <c r="G24" s="10" t="s">
        <v>4666</v>
      </c>
    </row>
    <row r="25" spans="1:7">
      <c r="A25" s="11" t="s">
        <v>3868</v>
      </c>
      <c r="B25" s="10" t="s">
        <v>4667</v>
      </c>
      <c r="C25" s="13">
        <v>15</v>
      </c>
      <c r="D25" s="13">
        <v>2</v>
      </c>
      <c r="E25" s="13">
        <v>0</v>
      </c>
      <c r="F25" s="10" t="s">
        <v>4668</v>
      </c>
      <c r="G25" s="10" t="s">
        <v>4669</v>
      </c>
    </row>
    <row r="26" spans="1:7">
      <c r="A26" s="11" t="s">
        <v>2809</v>
      </c>
      <c r="B26" s="10" t="s">
        <v>4670</v>
      </c>
      <c r="C26" s="13">
        <v>12</v>
      </c>
      <c r="D26" s="13">
        <v>2</v>
      </c>
      <c r="E26" s="13">
        <v>2</v>
      </c>
      <c r="F26" s="10" t="s">
        <v>4671</v>
      </c>
      <c r="G26" s="10" t="s">
        <v>4672</v>
      </c>
    </row>
    <row r="27" spans="1:7">
      <c r="A27" s="11" t="s">
        <v>559</v>
      </c>
      <c r="B27" s="10" t="s">
        <v>4673</v>
      </c>
      <c r="C27" s="13">
        <v>14</v>
      </c>
      <c r="D27" s="13">
        <v>9</v>
      </c>
      <c r="E27" s="13">
        <v>5</v>
      </c>
      <c r="F27" s="10" t="s">
        <v>4674</v>
      </c>
      <c r="G27" s="10" t="s">
        <v>4675</v>
      </c>
    </row>
    <row r="28" spans="1:7">
      <c r="A28" s="11" t="s">
        <v>2694</v>
      </c>
      <c r="B28" s="10" t="s">
        <v>4676</v>
      </c>
      <c r="C28" s="13">
        <v>16</v>
      </c>
      <c r="D28" s="13">
        <v>4</v>
      </c>
      <c r="E28" s="13">
        <v>3</v>
      </c>
      <c r="F28" s="10" t="s">
        <v>4677</v>
      </c>
      <c r="G28" s="10" t="s">
        <v>4678</v>
      </c>
    </row>
    <row r="29" spans="1:7">
      <c r="A29" s="11" t="s">
        <v>2203</v>
      </c>
      <c r="B29" s="10" t="s">
        <v>4679</v>
      </c>
      <c r="C29" s="13">
        <v>32</v>
      </c>
      <c r="D29" s="13">
        <v>20</v>
      </c>
      <c r="E29" s="13">
        <v>22</v>
      </c>
      <c r="F29" s="10" t="s">
        <v>4680</v>
      </c>
      <c r="G29" s="10" t="s">
        <v>4681</v>
      </c>
    </row>
    <row r="30" spans="1:7">
      <c r="A30" s="11" t="s">
        <v>3232</v>
      </c>
      <c r="B30" s="10" t="s">
        <v>4682</v>
      </c>
      <c r="C30" s="13">
        <v>20</v>
      </c>
      <c r="D30" s="13">
        <v>6</v>
      </c>
      <c r="E30" s="13">
        <v>6</v>
      </c>
      <c r="F30" s="10" t="s">
        <v>4683</v>
      </c>
      <c r="G30" s="10" t="s">
        <v>4684</v>
      </c>
    </row>
    <row r="31" spans="1:7">
      <c r="A31" s="11" t="s">
        <v>2609</v>
      </c>
      <c r="B31" s="10" t="s">
        <v>4685</v>
      </c>
      <c r="C31" s="13">
        <v>12</v>
      </c>
      <c r="D31" s="13">
        <v>4</v>
      </c>
      <c r="E31" s="13">
        <v>2</v>
      </c>
      <c r="F31" s="10" t="s">
        <v>4686</v>
      </c>
      <c r="G31" s="10" t="s">
        <v>4687</v>
      </c>
    </row>
    <row r="32" spans="1:7">
      <c r="A32" s="11" t="s">
        <v>2891</v>
      </c>
      <c r="B32" s="10" t="s">
        <v>4688</v>
      </c>
      <c r="C32" s="13">
        <v>15</v>
      </c>
      <c r="D32" s="13">
        <v>4</v>
      </c>
      <c r="E32" s="13">
        <v>3</v>
      </c>
      <c r="F32" s="10" t="s">
        <v>4689</v>
      </c>
      <c r="G32" s="10" t="s">
        <v>4690</v>
      </c>
    </row>
    <row r="33" spans="1:7">
      <c r="A33" s="11" t="s">
        <v>1472</v>
      </c>
      <c r="B33" s="10" t="s">
        <v>4691</v>
      </c>
      <c r="C33" s="13">
        <v>24</v>
      </c>
      <c r="D33" s="13">
        <v>13</v>
      </c>
      <c r="E33" s="13">
        <v>8</v>
      </c>
      <c r="F33" s="10" t="s">
        <v>4692</v>
      </c>
      <c r="G33" s="10" t="s">
        <v>4693</v>
      </c>
    </row>
    <row r="34" spans="1:7">
      <c r="A34" s="11" t="s">
        <v>2479</v>
      </c>
      <c r="B34" s="10" t="s">
        <v>4694</v>
      </c>
      <c r="C34" s="13">
        <v>18</v>
      </c>
      <c r="D34" s="13">
        <v>13</v>
      </c>
      <c r="E34" s="13">
        <v>12</v>
      </c>
      <c r="F34" s="10" t="s">
        <v>4695</v>
      </c>
      <c r="G34" s="10" t="s">
        <v>4696</v>
      </c>
    </row>
    <row r="35" spans="1:7">
      <c r="A35" s="30" t="s">
        <v>4591</v>
      </c>
      <c r="B35" s="30"/>
      <c r="C35" s="31" t="str">
        <f>SUM(C2:C34)</f>
        <v>0</v>
      </c>
      <c r="D35" s="31" t="str">
        <f>SUM(D2:D34)</f>
        <v>0</v>
      </c>
      <c r="E35" s="31" t="str">
        <f>SUM(E2:E34)</f>
        <v>0</v>
      </c>
      <c r="F35" s="30"/>
      <c r="G35" s="30"/>
    </row>
  </sheetData>
  <autoFilter ref="A1:G34"/>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Q300"/>
  <sheetViews>
    <sheetView tabSelected="0" workbookViewId="0" showGridLines="true" showRowColHeaders="1">
      <pane xSplit="3" ySplit="1" topLeftCell="D2" activePane="bottomRight" state="frozen"/>
      <selection pane="topRight"/>
      <selection pane="bottomLeft"/>
      <selection pane="bottomRight" activeCell="L2" sqref="L2:L300"/>
    </sheetView>
  </sheetViews>
  <sheetFormatPr defaultRowHeight="14.4" outlineLevelRow="0" outlineLevelCol="0"/>
  <cols>
    <col min="1" max="1" width="12" customWidth="true" style="0"/>
    <col min="2" max="2" width="14" customWidth="true" style="0"/>
    <col min="3" max="3" width="22" customWidth="true" style="0"/>
    <col min="4" max="4" width="42" customWidth="true" style="0"/>
    <col min="5" max="5" width="48" customWidth="true" style="0"/>
    <col min="6" max="6" width="34" customWidth="true" style="0"/>
    <col min="7" max="7" width="34" customWidth="true" style="0"/>
    <col min="8" max="8" width="12" customWidth="true" style="0"/>
    <col min="9" max="9" width="11" customWidth="true" style="0"/>
    <col min="10" max="10" width="24" customWidth="true" style="0"/>
    <col min="11" max="11" width="15" customWidth="true" style="0"/>
    <col min="12" max="12" width="14" customWidth="true" style="0"/>
    <col min="13" max="13" width="15" customWidth="true" style="0"/>
    <col min="14" max="14" width="14" customWidth="true" style="0"/>
    <col min="15" max="15" width="15" customWidth="true" style="0"/>
    <col min="16" max="16" width="15" customWidth="true" style="0"/>
    <col min="17" max="17" width="30" customWidth="true" style="0"/>
  </cols>
  <sheetData>
    <row r="1" spans="1:17" customHeight="1" ht="32">
      <c r="A1" s="9" t="s">
        <v>4697</v>
      </c>
      <c r="B1" s="9" t="s">
        <v>35</v>
      </c>
      <c r="C1" s="9" t="s">
        <v>36</v>
      </c>
      <c r="D1" s="9" t="s">
        <v>4698</v>
      </c>
      <c r="E1" s="9" t="s">
        <v>4699</v>
      </c>
      <c r="F1" s="9" t="s">
        <v>4700</v>
      </c>
      <c r="G1" s="9" t="s">
        <v>4701</v>
      </c>
      <c r="H1" s="9" t="s">
        <v>21</v>
      </c>
      <c r="I1" s="9" t="s">
        <v>19</v>
      </c>
      <c r="J1" s="9" t="s">
        <v>44</v>
      </c>
      <c r="K1" s="9" t="s">
        <v>4702</v>
      </c>
      <c r="L1" s="9" t="s">
        <v>4703</v>
      </c>
      <c r="M1" s="9" t="s">
        <v>4704</v>
      </c>
      <c r="N1" s="9" t="s">
        <v>45</v>
      </c>
      <c r="O1" s="9" t="s">
        <v>4705</v>
      </c>
      <c r="P1" s="9" t="s">
        <v>4706</v>
      </c>
      <c r="Q1" s="9" t="s">
        <v>46</v>
      </c>
    </row>
    <row r="2" spans="1:17">
      <c r="A2" s="32" t="s">
        <v>4707</v>
      </c>
      <c r="B2" s="32"/>
      <c r="C2" s="32"/>
      <c r="D2" s="32" t="s">
        <v>4708</v>
      </c>
      <c r="E2" s="32"/>
      <c r="F2" s="32"/>
      <c r="G2" s="32"/>
      <c r="H2" s="32"/>
      <c r="I2" s="32"/>
      <c r="J2" s="32"/>
      <c r="K2" s="32"/>
      <c r="L2" s="34"/>
      <c r="M2" s="32"/>
      <c r="N2" s="32"/>
      <c r="O2" s="32"/>
      <c r="P2" s="32"/>
      <c r="Q2" s="32"/>
    </row>
    <row r="3" spans="1:17">
      <c r="A3" s="33"/>
      <c r="B3" s="33"/>
      <c r="C3" s="33"/>
      <c r="D3" s="33"/>
      <c r="E3" s="33"/>
      <c r="F3" s="33"/>
      <c r="G3" s="33"/>
      <c r="H3" s="33"/>
      <c r="I3" s="33"/>
      <c r="J3" s="33"/>
      <c r="K3" s="33"/>
      <c r="L3" s="35"/>
      <c r="M3" s="33"/>
      <c r="N3" s="33"/>
      <c r="O3" s="33"/>
      <c r="P3" s="33"/>
      <c r="Q3" s="33"/>
    </row>
    <row r="4" spans="1:17">
      <c r="A4" s="33"/>
      <c r="B4" s="33"/>
      <c r="C4" s="33"/>
      <c r="D4" s="33"/>
      <c r="E4" s="33"/>
      <c r="F4" s="33"/>
      <c r="G4" s="33"/>
      <c r="H4" s="33"/>
      <c r="I4" s="33"/>
      <c r="J4" s="33"/>
      <c r="K4" s="33"/>
      <c r="L4" s="35"/>
      <c r="M4" s="33"/>
      <c r="N4" s="33"/>
      <c r="O4" s="33"/>
      <c r="P4" s="33"/>
      <c r="Q4" s="33"/>
    </row>
    <row r="5" spans="1:17">
      <c r="A5" s="33"/>
      <c r="B5" s="33"/>
      <c r="C5" s="33"/>
      <c r="D5" s="33"/>
      <c r="E5" s="33"/>
      <c r="F5" s="33"/>
      <c r="G5" s="33"/>
      <c r="H5" s="33"/>
      <c r="I5" s="33"/>
      <c r="J5" s="33"/>
      <c r="K5" s="33"/>
      <c r="L5" s="35"/>
      <c r="M5" s="33"/>
      <c r="N5" s="33"/>
      <c r="O5" s="33"/>
      <c r="P5" s="33"/>
      <c r="Q5" s="33"/>
    </row>
    <row r="6" spans="1:17">
      <c r="A6" s="33"/>
      <c r="B6" s="33"/>
      <c r="C6" s="33"/>
      <c r="D6" s="33"/>
      <c r="E6" s="33"/>
      <c r="F6" s="33"/>
      <c r="G6" s="33"/>
      <c r="H6" s="33"/>
      <c r="I6" s="33"/>
      <c r="J6" s="33"/>
      <c r="K6" s="33"/>
      <c r="L6" s="35"/>
      <c r="M6" s="33"/>
      <c r="N6" s="33"/>
      <c r="O6" s="33"/>
      <c r="P6" s="33"/>
      <c r="Q6" s="33"/>
    </row>
    <row r="7" spans="1:17">
      <c r="A7" s="33"/>
      <c r="B7" s="33"/>
      <c r="C7" s="33"/>
      <c r="D7" s="33"/>
      <c r="E7" s="33"/>
      <c r="F7" s="33"/>
      <c r="G7" s="33"/>
      <c r="H7" s="33"/>
      <c r="I7" s="33"/>
      <c r="J7" s="33"/>
      <c r="K7" s="33"/>
      <c r="L7" s="35"/>
      <c r="M7" s="33"/>
      <c r="N7" s="33"/>
      <c r="O7" s="33"/>
      <c r="P7" s="33"/>
      <c r="Q7" s="33"/>
    </row>
    <row r="8" spans="1:17">
      <c r="A8" s="33"/>
      <c r="B8" s="33"/>
      <c r="C8" s="33"/>
      <c r="D8" s="33"/>
      <c r="E8" s="33"/>
      <c r="F8" s="33"/>
      <c r="G8" s="33"/>
      <c r="H8" s="33"/>
      <c r="I8" s="33"/>
      <c r="J8" s="33"/>
      <c r="K8" s="33"/>
      <c r="L8" s="35"/>
      <c r="M8" s="33"/>
      <c r="N8" s="33"/>
      <c r="O8" s="33"/>
      <c r="P8" s="33"/>
      <c r="Q8" s="33"/>
    </row>
    <row r="9" spans="1:17">
      <c r="A9" s="33"/>
      <c r="B9" s="33"/>
      <c r="C9" s="33"/>
      <c r="D9" s="33"/>
      <c r="E9" s="33"/>
      <c r="F9" s="33"/>
      <c r="G9" s="33"/>
      <c r="H9" s="33"/>
      <c r="I9" s="33"/>
      <c r="J9" s="33"/>
      <c r="K9" s="33"/>
      <c r="L9" s="35"/>
      <c r="M9" s="33"/>
      <c r="N9" s="33"/>
      <c r="O9" s="33"/>
      <c r="P9" s="33"/>
      <c r="Q9" s="33"/>
    </row>
    <row r="10" spans="1:17">
      <c r="A10" s="33"/>
      <c r="B10" s="33"/>
      <c r="C10" s="33"/>
      <c r="D10" s="33"/>
      <c r="E10" s="33"/>
      <c r="F10" s="33"/>
      <c r="G10" s="33"/>
      <c r="H10" s="33"/>
      <c r="I10" s="33"/>
      <c r="J10" s="33"/>
      <c r="K10" s="33"/>
      <c r="L10" s="35"/>
      <c r="M10" s="33"/>
      <c r="N10" s="33"/>
      <c r="O10" s="33"/>
      <c r="P10" s="33"/>
      <c r="Q10" s="33"/>
    </row>
    <row r="11" spans="1:17">
      <c r="A11" s="33"/>
      <c r="B11" s="33"/>
      <c r="C11" s="33"/>
      <c r="D11" s="33"/>
      <c r="E11" s="33"/>
      <c r="F11" s="33"/>
      <c r="G11" s="33"/>
      <c r="H11" s="33"/>
      <c r="I11" s="33"/>
      <c r="J11" s="33"/>
      <c r="K11" s="33"/>
      <c r="L11" s="35"/>
      <c r="M11" s="33"/>
      <c r="N11" s="33"/>
      <c r="O11" s="33"/>
      <c r="P11" s="33"/>
      <c r="Q11" s="33"/>
    </row>
    <row r="12" spans="1:17">
      <c r="A12" s="33"/>
      <c r="B12" s="33"/>
      <c r="C12" s="33"/>
      <c r="D12" s="33"/>
      <c r="E12" s="33"/>
      <c r="F12" s="33"/>
      <c r="G12" s="33"/>
      <c r="H12" s="33"/>
      <c r="I12" s="33"/>
      <c r="J12" s="33"/>
      <c r="K12" s="33"/>
      <c r="L12" s="35"/>
      <c r="M12" s="33"/>
      <c r="N12" s="33"/>
      <c r="O12" s="33"/>
      <c r="P12" s="33"/>
      <c r="Q12" s="33"/>
    </row>
    <row r="13" spans="1:17">
      <c r="A13" s="33"/>
      <c r="B13" s="33"/>
      <c r="C13" s="33"/>
      <c r="D13" s="33"/>
      <c r="E13" s="33"/>
      <c r="F13" s="33"/>
      <c r="G13" s="33"/>
      <c r="H13" s="33"/>
      <c r="I13" s="33"/>
      <c r="J13" s="33"/>
      <c r="K13" s="33"/>
      <c r="L13" s="35"/>
      <c r="M13" s="33"/>
      <c r="N13" s="33"/>
      <c r="O13" s="33"/>
      <c r="P13" s="33"/>
      <c r="Q13" s="33"/>
    </row>
    <row r="14" spans="1:17">
      <c r="A14" s="33"/>
      <c r="B14" s="33"/>
      <c r="C14" s="33"/>
      <c r="D14" s="33"/>
      <c r="E14" s="33"/>
      <c r="F14" s="33"/>
      <c r="G14" s="33"/>
      <c r="H14" s="33"/>
      <c r="I14" s="33"/>
      <c r="J14" s="33"/>
      <c r="K14" s="33"/>
      <c r="L14" s="35"/>
      <c r="M14" s="33"/>
      <c r="N14" s="33"/>
      <c r="O14" s="33"/>
      <c r="P14" s="33"/>
      <c r="Q14" s="33"/>
    </row>
    <row r="15" spans="1:17">
      <c r="A15" s="33"/>
      <c r="B15" s="33"/>
      <c r="C15" s="33"/>
      <c r="D15" s="33"/>
      <c r="E15" s="33"/>
      <c r="F15" s="33"/>
      <c r="G15" s="33"/>
      <c r="H15" s="33"/>
      <c r="I15" s="33"/>
      <c r="J15" s="33"/>
      <c r="K15" s="33"/>
      <c r="L15" s="35"/>
      <c r="M15" s="33"/>
      <c r="N15" s="33"/>
      <c r="O15" s="33"/>
      <c r="P15" s="33"/>
      <c r="Q15" s="33"/>
    </row>
    <row r="16" spans="1:17">
      <c r="A16" s="33"/>
      <c r="B16" s="33"/>
      <c r="C16" s="33"/>
      <c r="D16" s="33"/>
      <c r="E16" s="33"/>
      <c r="F16" s="33"/>
      <c r="G16" s="33"/>
      <c r="H16" s="33"/>
      <c r="I16" s="33"/>
      <c r="J16" s="33"/>
      <c r="K16" s="33"/>
      <c r="L16" s="35"/>
      <c r="M16" s="33"/>
      <c r="N16" s="33"/>
      <c r="O16" s="33"/>
      <c r="P16" s="33"/>
      <c r="Q16" s="33"/>
    </row>
    <row r="17" spans="1:17">
      <c r="A17" s="33"/>
      <c r="B17" s="33"/>
      <c r="C17" s="33"/>
      <c r="D17" s="33"/>
      <c r="E17" s="33"/>
      <c r="F17" s="33"/>
      <c r="G17" s="33"/>
      <c r="H17" s="33"/>
      <c r="I17" s="33"/>
      <c r="J17" s="33"/>
      <c r="K17" s="33"/>
      <c r="L17" s="35"/>
      <c r="M17" s="33"/>
      <c r="N17" s="33"/>
      <c r="O17" s="33"/>
      <c r="P17" s="33"/>
      <c r="Q17" s="33"/>
    </row>
    <row r="18" spans="1:17">
      <c r="A18" s="33"/>
      <c r="B18" s="33"/>
      <c r="C18" s="33"/>
      <c r="D18" s="33"/>
      <c r="E18" s="33"/>
      <c r="F18" s="33"/>
      <c r="G18" s="33"/>
      <c r="H18" s="33"/>
      <c r="I18" s="33"/>
      <c r="J18" s="33"/>
      <c r="K18" s="33"/>
      <c r="L18" s="35"/>
      <c r="M18" s="33"/>
      <c r="N18" s="33"/>
      <c r="O18" s="33"/>
      <c r="P18" s="33"/>
      <c r="Q18" s="33"/>
    </row>
    <row r="19" spans="1:17">
      <c r="A19" s="33"/>
      <c r="B19" s="33"/>
      <c r="C19" s="33"/>
      <c r="D19" s="33"/>
      <c r="E19" s="33"/>
      <c r="F19" s="33"/>
      <c r="G19" s="33"/>
      <c r="H19" s="33"/>
      <c r="I19" s="33"/>
      <c r="J19" s="33"/>
      <c r="K19" s="33"/>
      <c r="L19" s="35"/>
      <c r="M19" s="33"/>
      <c r="N19" s="33"/>
      <c r="O19" s="33"/>
      <c r="P19" s="33"/>
      <c r="Q19" s="33"/>
    </row>
    <row r="20" spans="1:17">
      <c r="A20" s="33"/>
      <c r="B20" s="33"/>
      <c r="C20" s="33"/>
      <c r="D20" s="33"/>
      <c r="E20" s="33"/>
      <c r="F20" s="33"/>
      <c r="G20" s="33"/>
      <c r="H20" s="33"/>
      <c r="I20" s="33"/>
      <c r="J20" s="33"/>
      <c r="K20" s="33"/>
      <c r="L20" s="35"/>
      <c r="M20" s="33"/>
      <c r="N20" s="33"/>
      <c r="O20" s="33"/>
      <c r="P20" s="33"/>
      <c r="Q20" s="33"/>
    </row>
    <row r="21" spans="1:17">
      <c r="A21" s="33"/>
      <c r="B21" s="33"/>
      <c r="C21" s="33"/>
      <c r="D21" s="33"/>
      <c r="E21" s="33"/>
      <c r="F21" s="33"/>
      <c r="G21" s="33"/>
      <c r="H21" s="33"/>
      <c r="I21" s="33"/>
      <c r="J21" s="33"/>
      <c r="K21" s="33"/>
      <c r="L21" s="35"/>
      <c r="M21" s="33"/>
      <c r="N21" s="33"/>
      <c r="O21" s="33"/>
      <c r="P21" s="33"/>
      <c r="Q21" s="33"/>
    </row>
    <row r="22" spans="1:17">
      <c r="A22" s="33"/>
      <c r="B22" s="33"/>
      <c r="C22" s="33"/>
      <c r="D22" s="33"/>
      <c r="E22" s="33"/>
      <c r="F22" s="33"/>
      <c r="G22" s="33"/>
      <c r="H22" s="33"/>
      <c r="I22" s="33"/>
      <c r="J22" s="33"/>
      <c r="K22" s="33"/>
      <c r="L22" s="35"/>
      <c r="M22" s="33"/>
      <c r="N22" s="33"/>
      <c r="O22" s="33"/>
      <c r="P22" s="33"/>
      <c r="Q22" s="33"/>
    </row>
    <row r="23" spans="1:17">
      <c r="A23" s="33"/>
      <c r="B23" s="33"/>
      <c r="C23" s="33"/>
      <c r="D23" s="33"/>
      <c r="E23" s="33"/>
      <c r="F23" s="33"/>
      <c r="G23" s="33"/>
      <c r="H23" s="33"/>
      <c r="I23" s="33"/>
      <c r="J23" s="33"/>
      <c r="K23" s="33"/>
      <c r="L23" s="35"/>
      <c r="M23" s="33"/>
      <c r="N23" s="33"/>
      <c r="O23" s="33"/>
      <c r="P23" s="33"/>
      <c r="Q23" s="33"/>
    </row>
    <row r="24" spans="1:17">
      <c r="A24" s="33"/>
      <c r="B24" s="33"/>
      <c r="C24" s="33"/>
      <c r="D24" s="33"/>
      <c r="E24" s="33"/>
      <c r="F24" s="33"/>
      <c r="G24" s="33"/>
      <c r="H24" s="33"/>
      <c r="I24" s="33"/>
      <c r="J24" s="33"/>
      <c r="K24" s="33"/>
      <c r="L24" s="35"/>
      <c r="M24" s="33"/>
      <c r="N24" s="33"/>
      <c r="O24" s="33"/>
      <c r="P24" s="33"/>
      <c r="Q24" s="33"/>
    </row>
    <row r="25" spans="1:17">
      <c r="A25" s="33"/>
      <c r="B25" s="33"/>
      <c r="C25" s="33"/>
      <c r="D25" s="33"/>
      <c r="E25" s="33"/>
      <c r="F25" s="33"/>
      <c r="G25" s="33"/>
      <c r="H25" s="33"/>
      <c r="I25" s="33"/>
      <c r="J25" s="33"/>
      <c r="K25" s="33"/>
      <c r="L25" s="35"/>
      <c r="M25" s="33"/>
      <c r="N25" s="33"/>
      <c r="O25" s="33"/>
      <c r="P25" s="33"/>
      <c r="Q25" s="33"/>
    </row>
    <row r="26" spans="1:17">
      <c r="A26" s="33"/>
      <c r="B26" s="33"/>
      <c r="C26" s="33"/>
      <c r="D26" s="33"/>
      <c r="E26" s="33"/>
      <c r="F26" s="33"/>
      <c r="G26" s="33"/>
      <c r="H26" s="33"/>
      <c r="I26" s="33"/>
      <c r="J26" s="33"/>
      <c r="K26" s="33"/>
      <c r="L26" s="35"/>
      <c r="M26" s="33"/>
      <c r="N26" s="33"/>
      <c r="O26" s="33"/>
      <c r="P26" s="33"/>
      <c r="Q26" s="33"/>
    </row>
    <row r="27" spans="1:17">
      <c r="A27" s="33"/>
      <c r="B27" s="33"/>
      <c r="C27" s="33"/>
      <c r="D27" s="33"/>
      <c r="E27" s="33"/>
      <c r="F27" s="33"/>
      <c r="G27" s="33"/>
      <c r="H27" s="33"/>
      <c r="I27" s="33"/>
      <c r="J27" s="33"/>
      <c r="K27" s="33"/>
      <c r="L27" s="35"/>
      <c r="M27" s="33"/>
      <c r="N27" s="33"/>
      <c r="O27" s="33"/>
      <c r="P27" s="33"/>
      <c r="Q27" s="33"/>
    </row>
    <row r="28" spans="1:17">
      <c r="A28" s="33"/>
      <c r="B28" s="33"/>
      <c r="C28" s="33"/>
      <c r="D28" s="33"/>
      <c r="E28" s="33"/>
      <c r="F28" s="33"/>
      <c r="G28" s="33"/>
      <c r="H28" s="33"/>
      <c r="I28" s="33"/>
      <c r="J28" s="33"/>
      <c r="K28" s="33"/>
      <c r="L28" s="35"/>
      <c r="M28" s="33"/>
      <c r="N28" s="33"/>
      <c r="O28" s="33"/>
      <c r="P28" s="33"/>
      <c r="Q28" s="33"/>
    </row>
    <row r="29" spans="1:17">
      <c r="A29" s="33"/>
      <c r="B29" s="33"/>
      <c r="C29" s="33"/>
      <c r="D29" s="33"/>
      <c r="E29" s="33"/>
      <c r="F29" s="33"/>
      <c r="G29" s="33"/>
      <c r="H29" s="33"/>
      <c r="I29" s="33"/>
      <c r="J29" s="33"/>
      <c r="K29" s="33"/>
      <c r="L29" s="35"/>
      <c r="M29" s="33"/>
      <c r="N29" s="33"/>
      <c r="O29" s="33"/>
      <c r="P29" s="33"/>
      <c r="Q29" s="33"/>
    </row>
    <row r="30" spans="1:17">
      <c r="A30" s="33"/>
      <c r="B30" s="33"/>
      <c r="C30" s="33"/>
      <c r="D30" s="33"/>
      <c r="E30" s="33"/>
      <c r="F30" s="33"/>
      <c r="G30" s="33"/>
      <c r="H30" s="33"/>
      <c r="I30" s="33"/>
      <c r="J30" s="33"/>
      <c r="K30" s="33"/>
      <c r="L30" s="35"/>
      <c r="M30" s="33"/>
      <c r="N30" s="33"/>
      <c r="O30" s="33"/>
      <c r="P30" s="33"/>
      <c r="Q30" s="33"/>
    </row>
    <row r="31" spans="1:17">
      <c r="A31" s="33"/>
      <c r="B31" s="33"/>
      <c r="C31" s="33"/>
      <c r="D31" s="33"/>
      <c r="E31" s="33"/>
      <c r="F31" s="33"/>
      <c r="G31" s="33"/>
      <c r="H31" s="33"/>
      <c r="I31" s="33"/>
      <c r="J31" s="33"/>
      <c r="K31" s="33"/>
      <c r="L31" s="35"/>
      <c r="M31" s="33"/>
      <c r="N31" s="33"/>
      <c r="O31" s="33"/>
      <c r="P31" s="33"/>
      <c r="Q31" s="33"/>
    </row>
    <row r="32" spans="1:17">
      <c r="A32" s="33"/>
      <c r="B32" s="33"/>
      <c r="C32" s="33"/>
      <c r="D32" s="33"/>
      <c r="E32" s="33"/>
      <c r="F32" s="33"/>
      <c r="G32" s="33"/>
      <c r="H32" s="33"/>
      <c r="I32" s="33"/>
      <c r="J32" s="33"/>
      <c r="K32" s="33"/>
      <c r="L32" s="35"/>
      <c r="M32" s="33"/>
      <c r="N32" s="33"/>
      <c r="O32" s="33"/>
      <c r="P32" s="33"/>
      <c r="Q32" s="33"/>
    </row>
    <row r="33" spans="1:17">
      <c r="A33" s="33"/>
      <c r="B33" s="33"/>
      <c r="C33" s="33"/>
      <c r="D33" s="33"/>
      <c r="E33" s="33"/>
      <c r="F33" s="33"/>
      <c r="G33" s="33"/>
      <c r="H33" s="33"/>
      <c r="I33" s="33"/>
      <c r="J33" s="33"/>
      <c r="K33" s="33"/>
      <c r="L33" s="35"/>
      <c r="M33" s="33"/>
      <c r="N33" s="33"/>
      <c r="O33" s="33"/>
      <c r="P33" s="33"/>
      <c r="Q33" s="33"/>
    </row>
    <row r="34" spans="1:17">
      <c r="A34" s="33"/>
      <c r="B34" s="33"/>
      <c r="C34" s="33"/>
      <c r="D34" s="33"/>
      <c r="E34" s="33"/>
      <c r="F34" s="33"/>
      <c r="G34" s="33"/>
      <c r="H34" s="33"/>
      <c r="I34" s="33"/>
      <c r="J34" s="33"/>
      <c r="K34" s="33"/>
      <c r="L34" s="35"/>
      <c r="M34" s="33"/>
      <c r="N34" s="33"/>
      <c r="O34" s="33"/>
      <c r="P34" s="33"/>
      <c r="Q34" s="33"/>
    </row>
    <row r="35" spans="1:17">
      <c r="A35" s="33"/>
      <c r="B35" s="33"/>
      <c r="C35" s="33"/>
      <c r="D35" s="33"/>
      <c r="E35" s="33"/>
      <c r="F35" s="33"/>
      <c r="G35" s="33"/>
      <c r="H35" s="33"/>
      <c r="I35" s="33"/>
      <c r="J35" s="33"/>
      <c r="K35" s="33"/>
      <c r="L35" s="35"/>
      <c r="M35" s="33"/>
      <c r="N35" s="33"/>
      <c r="O35" s="33"/>
      <c r="P35" s="33"/>
      <c r="Q35" s="33"/>
    </row>
    <row r="36" spans="1:17">
      <c r="A36" s="33"/>
      <c r="B36" s="33"/>
      <c r="C36" s="33"/>
      <c r="D36" s="33"/>
      <c r="E36" s="33"/>
      <c r="F36" s="33"/>
      <c r="G36" s="33"/>
      <c r="H36" s="33"/>
      <c r="I36" s="33"/>
      <c r="J36" s="33"/>
      <c r="K36" s="33"/>
      <c r="L36" s="35"/>
      <c r="M36" s="33"/>
      <c r="N36" s="33"/>
      <c r="O36" s="33"/>
      <c r="P36" s="33"/>
      <c r="Q36" s="33"/>
    </row>
    <row r="37" spans="1:17">
      <c r="A37" s="33"/>
      <c r="B37" s="33"/>
      <c r="C37" s="33"/>
      <c r="D37" s="33"/>
      <c r="E37" s="33"/>
      <c r="F37" s="33"/>
      <c r="G37" s="33"/>
      <c r="H37" s="33"/>
      <c r="I37" s="33"/>
      <c r="J37" s="33"/>
      <c r="K37" s="33"/>
      <c r="L37" s="35"/>
      <c r="M37" s="33"/>
      <c r="N37" s="33"/>
      <c r="O37" s="33"/>
      <c r="P37" s="33"/>
      <c r="Q37" s="33"/>
    </row>
    <row r="38" spans="1:17">
      <c r="A38" s="33"/>
      <c r="B38" s="33"/>
      <c r="C38" s="33"/>
      <c r="D38" s="33"/>
      <c r="E38" s="33"/>
      <c r="F38" s="33"/>
      <c r="G38" s="33"/>
      <c r="H38" s="33"/>
      <c r="I38" s="33"/>
      <c r="J38" s="33"/>
      <c r="K38" s="33"/>
      <c r="L38" s="35"/>
      <c r="M38" s="33"/>
      <c r="N38" s="33"/>
      <c r="O38" s="33"/>
      <c r="P38" s="33"/>
      <c r="Q38" s="33"/>
    </row>
    <row r="39" spans="1:17">
      <c r="A39" s="33"/>
      <c r="B39" s="33"/>
      <c r="C39" s="33"/>
      <c r="D39" s="33"/>
      <c r="E39" s="33"/>
      <c r="F39" s="33"/>
      <c r="G39" s="33"/>
      <c r="H39" s="33"/>
      <c r="I39" s="33"/>
      <c r="J39" s="33"/>
      <c r="K39" s="33"/>
      <c r="L39" s="35"/>
      <c r="M39" s="33"/>
      <c r="N39" s="33"/>
      <c r="O39" s="33"/>
      <c r="P39" s="33"/>
      <c r="Q39" s="33"/>
    </row>
    <row r="40" spans="1:17">
      <c r="A40" s="33"/>
      <c r="B40" s="33"/>
      <c r="C40" s="33"/>
      <c r="D40" s="33"/>
      <c r="E40" s="33"/>
      <c r="F40" s="33"/>
      <c r="G40" s="33"/>
      <c r="H40" s="33"/>
      <c r="I40" s="33"/>
      <c r="J40" s="33"/>
      <c r="K40" s="33"/>
      <c r="L40" s="35"/>
      <c r="M40" s="33"/>
      <c r="N40" s="33"/>
      <c r="O40" s="33"/>
      <c r="P40" s="33"/>
      <c r="Q40" s="33"/>
    </row>
    <row r="41" spans="1:17">
      <c r="A41" s="33"/>
      <c r="B41" s="33"/>
      <c r="C41" s="33"/>
      <c r="D41" s="33"/>
      <c r="E41" s="33"/>
      <c r="F41" s="33"/>
      <c r="G41" s="33"/>
      <c r="H41" s="33"/>
      <c r="I41" s="33"/>
      <c r="J41" s="33"/>
      <c r="K41" s="33"/>
      <c r="L41" s="35"/>
      <c r="M41" s="33"/>
      <c r="N41" s="33"/>
      <c r="O41" s="33"/>
      <c r="P41" s="33"/>
      <c r="Q41" s="33"/>
    </row>
    <row r="42" spans="1:17">
      <c r="A42" s="33"/>
      <c r="B42" s="33"/>
      <c r="C42" s="33"/>
      <c r="D42" s="33"/>
      <c r="E42" s="33"/>
      <c r="F42" s="33"/>
      <c r="G42" s="33"/>
      <c r="H42" s="33"/>
      <c r="I42" s="33"/>
      <c r="J42" s="33"/>
      <c r="K42" s="33"/>
      <c r="L42" s="35"/>
      <c r="M42" s="33"/>
      <c r="N42" s="33"/>
      <c r="O42" s="33"/>
      <c r="P42" s="33"/>
      <c r="Q42" s="33"/>
    </row>
    <row r="43" spans="1:17">
      <c r="A43" s="33"/>
      <c r="B43" s="33"/>
      <c r="C43" s="33"/>
      <c r="D43" s="33"/>
      <c r="E43" s="33"/>
      <c r="F43" s="33"/>
      <c r="G43" s="33"/>
      <c r="H43" s="33"/>
      <c r="I43" s="33"/>
      <c r="J43" s="33"/>
      <c r="K43" s="33"/>
      <c r="L43" s="35"/>
      <c r="M43" s="33"/>
      <c r="N43" s="33"/>
      <c r="O43" s="33"/>
      <c r="P43" s="33"/>
      <c r="Q43" s="33"/>
    </row>
    <row r="44" spans="1:17">
      <c r="A44" s="33"/>
      <c r="B44" s="33"/>
      <c r="C44" s="33"/>
      <c r="D44" s="33"/>
      <c r="E44" s="33"/>
      <c r="F44" s="33"/>
      <c r="G44" s="33"/>
      <c r="H44" s="33"/>
      <c r="I44" s="33"/>
      <c r="J44" s="33"/>
      <c r="K44" s="33"/>
      <c r="L44" s="35"/>
      <c r="M44" s="33"/>
      <c r="N44" s="33"/>
      <c r="O44" s="33"/>
      <c r="P44" s="33"/>
      <c r="Q44" s="33"/>
    </row>
    <row r="45" spans="1:17">
      <c r="A45" s="33"/>
      <c r="B45" s="33"/>
      <c r="C45" s="33"/>
      <c r="D45" s="33"/>
      <c r="E45" s="33"/>
      <c r="F45" s="33"/>
      <c r="G45" s="33"/>
      <c r="H45" s="33"/>
      <c r="I45" s="33"/>
      <c r="J45" s="33"/>
      <c r="K45" s="33"/>
      <c r="L45" s="35"/>
      <c r="M45" s="33"/>
      <c r="N45" s="33"/>
      <c r="O45" s="33"/>
      <c r="P45" s="33"/>
      <c r="Q45" s="33"/>
    </row>
    <row r="46" spans="1:17">
      <c r="A46" s="33"/>
      <c r="B46" s="33"/>
      <c r="C46" s="33"/>
      <c r="D46" s="33"/>
      <c r="E46" s="33"/>
      <c r="F46" s="33"/>
      <c r="G46" s="33"/>
      <c r="H46" s="33"/>
      <c r="I46" s="33"/>
      <c r="J46" s="33"/>
      <c r="K46" s="33"/>
      <c r="L46" s="35"/>
      <c r="M46" s="33"/>
      <c r="N46" s="33"/>
      <c r="O46" s="33"/>
      <c r="P46" s="33"/>
      <c r="Q46" s="33"/>
    </row>
    <row r="47" spans="1:17">
      <c r="A47" s="33"/>
      <c r="B47" s="33"/>
      <c r="C47" s="33"/>
      <c r="D47" s="33"/>
      <c r="E47" s="33"/>
      <c r="F47" s="33"/>
      <c r="G47" s="33"/>
      <c r="H47" s="33"/>
      <c r="I47" s="33"/>
      <c r="J47" s="33"/>
      <c r="K47" s="33"/>
      <c r="L47" s="35"/>
      <c r="M47" s="33"/>
      <c r="N47" s="33"/>
      <c r="O47" s="33"/>
      <c r="P47" s="33"/>
      <c r="Q47" s="33"/>
    </row>
    <row r="48" spans="1:17">
      <c r="A48" s="33"/>
      <c r="B48" s="33"/>
      <c r="C48" s="33"/>
      <c r="D48" s="33"/>
      <c r="E48" s="33"/>
      <c r="F48" s="33"/>
      <c r="G48" s="33"/>
      <c r="H48" s="33"/>
      <c r="I48" s="33"/>
      <c r="J48" s="33"/>
      <c r="K48" s="33"/>
      <c r="L48" s="35"/>
      <c r="M48" s="33"/>
      <c r="N48" s="33"/>
      <c r="O48" s="33"/>
      <c r="P48" s="33"/>
      <c r="Q48" s="33"/>
    </row>
    <row r="49" spans="1:17">
      <c r="A49" s="33"/>
      <c r="B49" s="33"/>
      <c r="C49" s="33"/>
      <c r="D49" s="33"/>
      <c r="E49" s="33"/>
      <c r="F49" s="33"/>
      <c r="G49" s="33"/>
      <c r="H49" s="33"/>
      <c r="I49" s="33"/>
      <c r="J49" s="33"/>
      <c r="K49" s="33"/>
      <c r="L49" s="35"/>
      <c r="M49" s="33"/>
      <c r="N49" s="33"/>
      <c r="O49" s="33"/>
      <c r="P49" s="33"/>
      <c r="Q49" s="33"/>
    </row>
    <row r="50" spans="1:17">
      <c r="A50" s="33"/>
      <c r="B50" s="33"/>
      <c r="C50" s="33"/>
      <c r="D50" s="33"/>
      <c r="E50" s="33"/>
      <c r="F50" s="33"/>
      <c r="G50" s="33"/>
      <c r="H50" s="33"/>
      <c r="I50" s="33"/>
      <c r="J50" s="33"/>
      <c r="K50" s="33"/>
      <c r="L50" s="35"/>
      <c r="M50" s="33"/>
      <c r="N50" s="33"/>
      <c r="O50" s="33"/>
      <c r="P50" s="33"/>
      <c r="Q50" s="33"/>
    </row>
    <row r="51" spans="1:17">
      <c r="A51" s="33"/>
      <c r="B51" s="33"/>
      <c r="C51" s="33"/>
      <c r="D51" s="33"/>
      <c r="E51" s="33"/>
      <c r="F51" s="33"/>
      <c r="G51" s="33"/>
      <c r="H51" s="33"/>
      <c r="I51" s="33"/>
      <c r="J51" s="33"/>
      <c r="K51" s="33"/>
      <c r="L51" s="35"/>
      <c r="M51" s="33"/>
      <c r="N51" s="33"/>
      <c r="O51" s="33"/>
      <c r="P51" s="33"/>
      <c r="Q51" s="33"/>
    </row>
    <row r="52" spans="1:17">
      <c r="A52" s="33"/>
      <c r="B52" s="33"/>
      <c r="C52" s="33"/>
      <c r="D52" s="33"/>
      <c r="E52" s="33"/>
      <c r="F52" s="33"/>
      <c r="G52" s="33"/>
      <c r="H52" s="33"/>
      <c r="I52" s="33"/>
      <c r="J52" s="33"/>
      <c r="K52" s="33"/>
      <c r="L52" s="35"/>
      <c r="M52" s="33"/>
      <c r="N52" s="33"/>
      <c r="O52" s="33"/>
      <c r="P52" s="33"/>
      <c r="Q52" s="33"/>
    </row>
    <row r="53" spans="1:17">
      <c r="A53" s="33"/>
      <c r="B53" s="33"/>
      <c r="C53" s="33"/>
      <c r="D53" s="33"/>
      <c r="E53" s="33"/>
      <c r="F53" s="33"/>
      <c r="G53" s="33"/>
      <c r="H53" s="33"/>
      <c r="I53" s="33"/>
      <c r="J53" s="33"/>
      <c r="K53" s="33"/>
      <c r="L53" s="35"/>
      <c r="M53" s="33"/>
      <c r="N53" s="33"/>
      <c r="O53" s="33"/>
      <c r="P53" s="33"/>
      <c r="Q53" s="33"/>
    </row>
    <row r="54" spans="1:17">
      <c r="A54" s="33"/>
      <c r="B54" s="33"/>
      <c r="C54" s="33"/>
      <c r="D54" s="33"/>
      <c r="E54" s="33"/>
      <c r="F54" s="33"/>
      <c r="G54" s="33"/>
      <c r="H54" s="33"/>
      <c r="I54" s="33"/>
      <c r="J54" s="33"/>
      <c r="K54" s="33"/>
      <c r="L54" s="35"/>
      <c r="M54" s="33"/>
      <c r="N54" s="33"/>
      <c r="O54" s="33"/>
      <c r="P54" s="33"/>
      <c r="Q54" s="33"/>
    </row>
    <row r="55" spans="1:17">
      <c r="A55" s="33"/>
      <c r="B55" s="33"/>
      <c r="C55" s="33"/>
      <c r="D55" s="33"/>
      <c r="E55" s="33"/>
      <c r="F55" s="33"/>
      <c r="G55" s="33"/>
      <c r="H55" s="33"/>
      <c r="I55" s="33"/>
      <c r="J55" s="33"/>
      <c r="K55" s="33"/>
      <c r="L55" s="35"/>
      <c r="M55" s="33"/>
      <c r="N55" s="33"/>
      <c r="O55" s="33"/>
      <c r="P55" s="33"/>
      <c r="Q55" s="33"/>
    </row>
    <row r="56" spans="1:17">
      <c r="A56" s="33"/>
      <c r="B56" s="33"/>
      <c r="C56" s="33"/>
      <c r="D56" s="33"/>
      <c r="E56" s="33"/>
      <c r="F56" s="33"/>
      <c r="G56" s="33"/>
      <c r="H56" s="33"/>
      <c r="I56" s="33"/>
      <c r="J56" s="33"/>
      <c r="K56" s="33"/>
      <c r="L56" s="35"/>
      <c r="M56" s="33"/>
      <c r="N56" s="33"/>
      <c r="O56" s="33"/>
      <c r="P56" s="33"/>
      <c r="Q56" s="33"/>
    </row>
    <row r="57" spans="1:17">
      <c r="A57" s="33"/>
      <c r="B57" s="33"/>
      <c r="C57" s="33"/>
      <c r="D57" s="33"/>
      <c r="E57" s="33"/>
      <c r="F57" s="33"/>
      <c r="G57" s="33"/>
      <c r="H57" s="33"/>
      <c r="I57" s="33"/>
      <c r="J57" s="33"/>
      <c r="K57" s="33"/>
      <c r="L57" s="35"/>
      <c r="M57" s="33"/>
      <c r="N57" s="33"/>
      <c r="O57" s="33"/>
      <c r="P57" s="33"/>
      <c r="Q57" s="33"/>
    </row>
    <row r="58" spans="1:17">
      <c r="A58" s="33"/>
      <c r="B58" s="33"/>
      <c r="C58" s="33"/>
      <c r="D58" s="33"/>
      <c r="E58" s="33"/>
      <c r="F58" s="33"/>
      <c r="G58" s="33"/>
      <c r="H58" s="33"/>
      <c r="I58" s="33"/>
      <c r="J58" s="33"/>
      <c r="K58" s="33"/>
      <c r="L58" s="35"/>
      <c r="M58" s="33"/>
      <c r="N58" s="33"/>
      <c r="O58" s="33"/>
      <c r="P58" s="33"/>
      <c r="Q58" s="33"/>
    </row>
    <row r="59" spans="1:17">
      <c r="A59" s="33"/>
      <c r="B59" s="33"/>
      <c r="C59" s="33"/>
      <c r="D59" s="33"/>
      <c r="E59" s="33"/>
      <c r="F59" s="33"/>
      <c r="G59" s="33"/>
      <c r="H59" s="33"/>
      <c r="I59" s="33"/>
      <c r="J59" s="33"/>
      <c r="K59" s="33"/>
      <c r="L59" s="35"/>
      <c r="M59" s="33"/>
      <c r="N59" s="33"/>
      <c r="O59" s="33"/>
      <c r="P59" s="33"/>
      <c r="Q59" s="33"/>
    </row>
    <row r="60" spans="1:17">
      <c r="A60" s="33"/>
      <c r="B60" s="33"/>
      <c r="C60" s="33"/>
      <c r="D60" s="33"/>
      <c r="E60" s="33"/>
      <c r="F60" s="33"/>
      <c r="G60" s="33"/>
      <c r="H60" s="33"/>
      <c r="I60" s="33"/>
      <c r="J60" s="33"/>
      <c r="K60" s="33"/>
      <c r="L60" s="35"/>
      <c r="M60" s="33"/>
      <c r="N60" s="33"/>
      <c r="O60" s="33"/>
      <c r="P60" s="33"/>
      <c r="Q60" s="33"/>
    </row>
    <row r="61" spans="1:17">
      <c r="A61" s="33"/>
      <c r="B61" s="33"/>
      <c r="C61" s="33"/>
      <c r="D61" s="33"/>
      <c r="E61" s="33"/>
      <c r="F61" s="33"/>
      <c r="G61" s="33"/>
      <c r="H61" s="33"/>
      <c r="I61" s="33"/>
      <c r="J61" s="33"/>
      <c r="K61" s="33"/>
      <c r="L61" s="35"/>
      <c r="M61" s="33"/>
      <c r="N61" s="33"/>
      <c r="O61" s="33"/>
      <c r="P61" s="33"/>
      <c r="Q61" s="33"/>
    </row>
    <row r="62" spans="1:17">
      <c r="A62" s="33"/>
      <c r="B62" s="33"/>
      <c r="C62" s="33"/>
      <c r="D62" s="33"/>
      <c r="E62" s="33"/>
      <c r="F62" s="33"/>
      <c r="G62" s="33"/>
      <c r="H62" s="33"/>
      <c r="I62" s="33"/>
      <c r="J62" s="33"/>
      <c r="K62" s="33"/>
      <c r="L62" s="35"/>
      <c r="M62" s="33"/>
      <c r="N62" s="33"/>
      <c r="O62" s="33"/>
      <c r="P62" s="33"/>
      <c r="Q62" s="33"/>
    </row>
    <row r="63" spans="1:17">
      <c r="A63" s="33"/>
      <c r="B63" s="33"/>
      <c r="C63" s="33"/>
      <c r="D63" s="33"/>
      <c r="E63" s="33"/>
      <c r="F63" s="33"/>
      <c r="G63" s="33"/>
      <c r="H63" s="33"/>
      <c r="I63" s="33"/>
      <c r="J63" s="33"/>
      <c r="K63" s="33"/>
      <c r="L63" s="35"/>
      <c r="M63" s="33"/>
      <c r="N63" s="33"/>
      <c r="O63" s="33"/>
      <c r="P63" s="33"/>
      <c r="Q63" s="33"/>
    </row>
    <row r="64" spans="1:17">
      <c r="A64" s="33"/>
      <c r="B64" s="33"/>
      <c r="C64" s="33"/>
      <c r="D64" s="33"/>
      <c r="E64" s="33"/>
      <c r="F64" s="33"/>
      <c r="G64" s="33"/>
      <c r="H64" s="33"/>
      <c r="I64" s="33"/>
      <c r="J64" s="33"/>
      <c r="K64" s="33"/>
      <c r="L64" s="35"/>
      <c r="M64" s="33"/>
      <c r="N64" s="33"/>
      <c r="O64" s="33"/>
      <c r="P64" s="33"/>
      <c r="Q64" s="33"/>
    </row>
    <row r="65" spans="1:17">
      <c r="A65" s="33"/>
      <c r="B65" s="33"/>
      <c r="C65" s="33"/>
      <c r="D65" s="33"/>
      <c r="E65" s="33"/>
      <c r="F65" s="33"/>
      <c r="G65" s="33"/>
      <c r="H65" s="33"/>
      <c r="I65" s="33"/>
      <c r="J65" s="33"/>
      <c r="K65" s="33"/>
      <c r="L65" s="35"/>
      <c r="M65" s="33"/>
      <c r="N65" s="33"/>
      <c r="O65" s="33"/>
      <c r="P65" s="33"/>
      <c r="Q65" s="33"/>
    </row>
    <row r="66" spans="1:17">
      <c r="A66" s="33"/>
      <c r="B66" s="33"/>
      <c r="C66" s="33"/>
      <c r="D66" s="33"/>
      <c r="E66" s="33"/>
      <c r="F66" s="33"/>
      <c r="G66" s="33"/>
      <c r="H66" s="33"/>
      <c r="I66" s="33"/>
      <c r="J66" s="33"/>
      <c r="K66" s="33"/>
      <c r="L66" s="35"/>
      <c r="M66" s="33"/>
      <c r="N66" s="33"/>
      <c r="O66" s="33"/>
      <c r="P66" s="33"/>
      <c r="Q66" s="33"/>
    </row>
    <row r="67" spans="1:17">
      <c r="A67" s="33"/>
      <c r="B67" s="33"/>
      <c r="C67" s="33"/>
      <c r="D67" s="33"/>
      <c r="E67" s="33"/>
      <c r="F67" s="33"/>
      <c r="G67" s="33"/>
      <c r="H67" s="33"/>
      <c r="I67" s="33"/>
      <c r="J67" s="33"/>
      <c r="K67" s="33"/>
      <c r="L67" s="35"/>
      <c r="M67" s="33"/>
      <c r="N67" s="33"/>
      <c r="O67" s="33"/>
      <c r="P67" s="33"/>
      <c r="Q67" s="33"/>
    </row>
    <row r="68" spans="1:17">
      <c r="A68" s="33"/>
      <c r="B68" s="33"/>
      <c r="C68" s="33"/>
      <c r="D68" s="33"/>
      <c r="E68" s="33"/>
      <c r="F68" s="33"/>
      <c r="G68" s="33"/>
      <c r="H68" s="33"/>
      <c r="I68" s="33"/>
      <c r="J68" s="33"/>
      <c r="K68" s="33"/>
      <c r="L68" s="35"/>
      <c r="M68" s="33"/>
      <c r="N68" s="33"/>
      <c r="O68" s="33"/>
      <c r="P68" s="33"/>
      <c r="Q68" s="33"/>
    </row>
    <row r="69" spans="1:17">
      <c r="A69" s="33"/>
      <c r="B69" s="33"/>
      <c r="C69" s="33"/>
      <c r="D69" s="33"/>
      <c r="E69" s="33"/>
      <c r="F69" s="33"/>
      <c r="G69" s="33"/>
      <c r="H69" s="33"/>
      <c r="I69" s="33"/>
      <c r="J69" s="33"/>
      <c r="K69" s="33"/>
      <c r="L69" s="35"/>
      <c r="M69" s="33"/>
      <c r="N69" s="33"/>
      <c r="O69" s="33"/>
      <c r="P69" s="33"/>
      <c r="Q69" s="33"/>
    </row>
    <row r="70" spans="1:17">
      <c r="A70" s="33"/>
      <c r="B70" s="33"/>
      <c r="C70" s="33"/>
      <c r="D70" s="33"/>
      <c r="E70" s="33"/>
      <c r="F70" s="33"/>
      <c r="G70" s="33"/>
      <c r="H70" s="33"/>
      <c r="I70" s="33"/>
      <c r="J70" s="33"/>
      <c r="K70" s="33"/>
      <c r="L70" s="35"/>
      <c r="M70" s="33"/>
      <c r="N70" s="33"/>
      <c r="O70" s="33"/>
      <c r="P70" s="33"/>
      <c r="Q70" s="33"/>
    </row>
    <row r="71" spans="1:17">
      <c r="A71" s="33"/>
      <c r="B71" s="33"/>
      <c r="C71" s="33"/>
      <c r="D71" s="33"/>
      <c r="E71" s="33"/>
      <c r="F71" s="33"/>
      <c r="G71" s="33"/>
      <c r="H71" s="33"/>
      <c r="I71" s="33"/>
      <c r="J71" s="33"/>
      <c r="K71" s="33"/>
      <c r="L71" s="35"/>
      <c r="M71" s="33"/>
      <c r="N71" s="33"/>
      <c r="O71" s="33"/>
      <c r="P71" s="33"/>
      <c r="Q71" s="33"/>
    </row>
    <row r="72" spans="1:17">
      <c r="A72" s="33"/>
      <c r="B72" s="33"/>
      <c r="C72" s="33"/>
      <c r="D72" s="33"/>
      <c r="E72" s="33"/>
      <c r="F72" s="33"/>
      <c r="G72" s="33"/>
      <c r="H72" s="33"/>
      <c r="I72" s="33"/>
      <c r="J72" s="33"/>
      <c r="K72" s="33"/>
      <c r="L72" s="35"/>
      <c r="M72" s="33"/>
      <c r="N72" s="33"/>
      <c r="O72" s="33"/>
      <c r="P72" s="33"/>
      <c r="Q72" s="33"/>
    </row>
    <row r="73" spans="1:17">
      <c r="A73" s="33"/>
      <c r="B73" s="33"/>
      <c r="C73" s="33"/>
      <c r="D73" s="33"/>
      <c r="E73" s="33"/>
      <c r="F73" s="33"/>
      <c r="G73" s="33"/>
      <c r="H73" s="33"/>
      <c r="I73" s="33"/>
      <c r="J73" s="33"/>
      <c r="K73" s="33"/>
      <c r="L73" s="35"/>
      <c r="M73" s="33"/>
      <c r="N73" s="33"/>
      <c r="O73" s="33"/>
      <c r="P73" s="33"/>
      <c r="Q73" s="33"/>
    </row>
    <row r="74" spans="1:17">
      <c r="A74" s="33"/>
      <c r="B74" s="33"/>
      <c r="C74" s="33"/>
      <c r="D74" s="33"/>
      <c r="E74" s="33"/>
      <c r="F74" s="33"/>
      <c r="G74" s="33"/>
      <c r="H74" s="33"/>
      <c r="I74" s="33"/>
      <c r="J74" s="33"/>
      <c r="K74" s="33"/>
      <c r="L74" s="35"/>
      <c r="M74" s="33"/>
      <c r="N74" s="33"/>
      <c r="O74" s="33"/>
      <c r="P74" s="33"/>
      <c r="Q74" s="33"/>
    </row>
    <row r="75" spans="1:17">
      <c r="A75" s="33"/>
      <c r="B75" s="33"/>
      <c r="C75" s="33"/>
      <c r="D75" s="33"/>
      <c r="E75" s="33"/>
      <c r="F75" s="33"/>
      <c r="G75" s="33"/>
      <c r="H75" s="33"/>
      <c r="I75" s="33"/>
      <c r="J75" s="33"/>
      <c r="K75" s="33"/>
      <c r="L75" s="35"/>
      <c r="M75" s="33"/>
      <c r="N75" s="33"/>
      <c r="O75" s="33"/>
      <c r="P75" s="33"/>
      <c r="Q75" s="33"/>
    </row>
    <row r="76" spans="1:17">
      <c r="A76" s="33"/>
      <c r="B76" s="33"/>
      <c r="C76" s="33"/>
      <c r="D76" s="33"/>
      <c r="E76" s="33"/>
      <c r="F76" s="33"/>
      <c r="G76" s="33"/>
      <c r="H76" s="33"/>
      <c r="I76" s="33"/>
      <c r="J76" s="33"/>
      <c r="K76" s="33"/>
      <c r="L76" s="35"/>
      <c r="M76" s="33"/>
      <c r="N76" s="33"/>
      <c r="O76" s="33"/>
      <c r="P76" s="33"/>
      <c r="Q76" s="33"/>
    </row>
    <row r="77" spans="1:17">
      <c r="A77" s="33"/>
      <c r="B77" s="33"/>
      <c r="C77" s="33"/>
      <c r="D77" s="33"/>
      <c r="E77" s="33"/>
      <c r="F77" s="33"/>
      <c r="G77" s="33"/>
      <c r="H77" s="33"/>
      <c r="I77" s="33"/>
      <c r="J77" s="33"/>
      <c r="K77" s="33"/>
      <c r="L77" s="35"/>
      <c r="M77" s="33"/>
      <c r="N77" s="33"/>
      <c r="O77" s="33"/>
      <c r="P77" s="33"/>
      <c r="Q77" s="33"/>
    </row>
    <row r="78" spans="1:17">
      <c r="A78" s="33"/>
      <c r="B78" s="33"/>
      <c r="C78" s="33"/>
      <c r="D78" s="33"/>
      <c r="E78" s="33"/>
      <c r="F78" s="33"/>
      <c r="G78" s="33"/>
      <c r="H78" s="33"/>
      <c r="I78" s="33"/>
      <c r="J78" s="33"/>
      <c r="K78" s="33"/>
      <c r="L78" s="35"/>
      <c r="M78" s="33"/>
      <c r="N78" s="33"/>
      <c r="O78" s="33"/>
      <c r="P78" s="33"/>
      <c r="Q78" s="33"/>
    </row>
    <row r="79" spans="1:17">
      <c r="A79" s="33"/>
      <c r="B79" s="33"/>
      <c r="C79" s="33"/>
      <c r="D79" s="33"/>
      <c r="E79" s="33"/>
      <c r="F79" s="33"/>
      <c r="G79" s="33"/>
      <c r="H79" s="33"/>
      <c r="I79" s="33"/>
      <c r="J79" s="33"/>
      <c r="K79" s="33"/>
      <c r="L79" s="35"/>
      <c r="M79" s="33"/>
      <c r="N79" s="33"/>
      <c r="O79" s="33"/>
      <c r="P79" s="33"/>
      <c r="Q79" s="33"/>
    </row>
    <row r="80" spans="1:17">
      <c r="A80" s="33"/>
      <c r="B80" s="33"/>
      <c r="C80" s="33"/>
      <c r="D80" s="33"/>
      <c r="E80" s="33"/>
      <c r="F80" s="33"/>
      <c r="G80" s="33"/>
      <c r="H80" s="33"/>
      <c r="I80" s="33"/>
      <c r="J80" s="33"/>
      <c r="K80" s="33"/>
      <c r="L80" s="35"/>
      <c r="M80" s="33"/>
      <c r="N80" s="33"/>
      <c r="O80" s="33"/>
      <c r="P80" s="33"/>
      <c r="Q80" s="33"/>
    </row>
    <row r="81" spans="1:17">
      <c r="A81" s="33"/>
      <c r="B81" s="33"/>
      <c r="C81" s="33"/>
      <c r="D81" s="33"/>
      <c r="E81" s="33"/>
      <c r="F81" s="33"/>
      <c r="G81" s="33"/>
      <c r="H81" s="33"/>
      <c r="I81" s="33"/>
      <c r="J81" s="33"/>
      <c r="K81" s="33"/>
      <c r="L81" s="35"/>
      <c r="M81" s="33"/>
      <c r="N81" s="33"/>
      <c r="O81" s="33"/>
      <c r="P81" s="33"/>
      <c r="Q81" s="33"/>
    </row>
    <row r="82" spans="1:17">
      <c r="A82" s="33"/>
      <c r="B82" s="33"/>
      <c r="C82" s="33"/>
      <c r="D82" s="33"/>
      <c r="E82" s="33"/>
      <c r="F82" s="33"/>
      <c r="G82" s="33"/>
      <c r="H82" s="33"/>
      <c r="I82" s="33"/>
      <c r="J82" s="33"/>
      <c r="K82" s="33"/>
      <c r="L82" s="35"/>
      <c r="M82" s="33"/>
      <c r="N82" s="33"/>
      <c r="O82" s="33"/>
      <c r="P82" s="33"/>
      <c r="Q82" s="33"/>
    </row>
    <row r="83" spans="1:17">
      <c r="A83" s="33"/>
      <c r="B83" s="33"/>
      <c r="C83" s="33"/>
      <c r="D83" s="33"/>
      <c r="E83" s="33"/>
      <c r="F83" s="33"/>
      <c r="G83" s="33"/>
      <c r="H83" s="33"/>
      <c r="I83" s="33"/>
      <c r="J83" s="33"/>
      <c r="K83" s="33"/>
      <c r="L83" s="35"/>
      <c r="M83" s="33"/>
      <c r="N83" s="33"/>
      <c r="O83" s="33"/>
      <c r="P83" s="33"/>
      <c r="Q83" s="33"/>
    </row>
    <row r="84" spans="1:17">
      <c r="A84" s="33"/>
      <c r="B84" s="33"/>
      <c r="C84" s="33"/>
      <c r="D84" s="33"/>
      <c r="E84" s="33"/>
      <c r="F84" s="33"/>
      <c r="G84" s="33"/>
      <c r="H84" s="33"/>
      <c r="I84" s="33"/>
      <c r="J84" s="33"/>
      <c r="K84" s="33"/>
      <c r="L84" s="35"/>
      <c r="M84" s="33"/>
      <c r="N84" s="33"/>
      <c r="O84" s="33"/>
      <c r="P84" s="33"/>
      <c r="Q84" s="33"/>
    </row>
    <row r="85" spans="1:17">
      <c r="A85" s="33"/>
      <c r="B85" s="33"/>
      <c r="C85" s="33"/>
      <c r="D85" s="33"/>
      <c r="E85" s="33"/>
      <c r="F85" s="33"/>
      <c r="G85" s="33"/>
      <c r="H85" s="33"/>
      <c r="I85" s="33"/>
      <c r="J85" s="33"/>
      <c r="K85" s="33"/>
      <c r="L85" s="35"/>
      <c r="M85" s="33"/>
      <c r="N85" s="33"/>
      <c r="O85" s="33"/>
      <c r="P85" s="33"/>
      <c r="Q85" s="33"/>
    </row>
    <row r="86" spans="1:17">
      <c r="A86" s="33"/>
      <c r="B86" s="33"/>
      <c r="C86" s="33"/>
      <c r="D86" s="33"/>
      <c r="E86" s="33"/>
      <c r="F86" s="33"/>
      <c r="G86" s="33"/>
      <c r="H86" s="33"/>
      <c r="I86" s="33"/>
      <c r="J86" s="33"/>
      <c r="K86" s="33"/>
      <c r="L86" s="35"/>
      <c r="M86" s="33"/>
      <c r="N86" s="33"/>
      <c r="O86" s="33"/>
      <c r="P86" s="33"/>
      <c r="Q86" s="33"/>
    </row>
    <row r="87" spans="1:17">
      <c r="A87" s="33"/>
      <c r="B87" s="33"/>
      <c r="C87" s="33"/>
      <c r="D87" s="33"/>
      <c r="E87" s="33"/>
      <c r="F87" s="33"/>
      <c r="G87" s="33"/>
      <c r="H87" s="33"/>
      <c r="I87" s="33"/>
      <c r="J87" s="33"/>
      <c r="K87" s="33"/>
      <c r="L87" s="35"/>
      <c r="M87" s="33"/>
      <c r="N87" s="33"/>
      <c r="O87" s="33"/>
      <c r="P87" s="33"/>
      <c r="Q87" s="33"/>
    </row>
    <row r="88" spans="1:17">
      <c r="A88" s="33"/>
      <c r="B88" s="33"/>
      <c r="C88" s="33"/>
      <c r="D88" s="33"/>
      <c r="E88" s="33"/>
      <c r="F88" s="33"/>
      <c r="G88" s="33"/>
      <c r="H88" s="33"/>
      <c r="I88" s="33"/>
      <c r="J88" s="33"/>
      <c r="K88" s="33"/>
      <c r="L88" s="35"/>
      <c r="M88" s="33"/>
      <c r="N88" s="33"/>
      <c r="O88" s="33"/>
      <c r="P88" s="33"/>
      <c r="Q88" s="33"/>
    </row>
    <row r="89" spans="1:17">
      <c r="A89" s="33"/>
      <c r="B89" s="33"/>
      <c r="C89" s="33"/>
      <c r="D89" s="33"/>
      <c r="E89" s="33"/>
      <c r="F89" s="33"/>
      <c r="G89" s="33"/>
      <c r="H89" s="33"/>
      <c r="I89" s="33"/>
      <c r="J89" s="33"/>
      <c r="K89" s="33"/>
      <c r="L89" s="35"/>
      <c r="M89" s="33"/>
      <c r="N89" s="33"/>
      <c r="O89" s="33"/>
      <c r="P89" s="33"/>
      <c r="Q89" s="33"/>
    </row>
    <row r="90" spans="1:17">
      <c r="A90" s="33"/>
      <c r="B90" s="33"/>
      <c r="C90" s="33"/>
      <c r="D90" s="33"/>
      <c r="E90" s="33"/>
      <c r="F90" s="33"/>
      <c r="G90" s="33"/>
      <c r="H90" s="33"/>
      <c r="I90" s="33"/>
      <c r="J90" s="33"/>
      <c r="K90" s="33"/>
      <c r="L90" s="35"/>
      <c r="M90" s="33"/>
      <c r="N90" s="33"/>
      <c r="O90" s="33"/>
      <c r="P90" s="33"/>
      <c r="Q90" s="33"/>
    </row>
    <row r="91" spans="1:17">
      <c r="A91" s="33"/>
      <c r="B91" s="33"/>
      <c r="C91" s="33"/>
      <c r="D91" s="33"/>
      <c r="E91" s="33"/>
      <c r="F91" s="33"/>
      <c r="G91" s="33"/>
      <c r="H91" s="33"/>
      <c r="I91" s="33"/>
      <c r="J91" s="33"/>
      <c r="K91" s="33"/>
      <c r="L91" s="35"/>
      <c r="M91" s="33"/>
      <c r="N91" s="33"/>
      <c r="O91" s="33"/>
      <c r="P91" s="33"/>
      <c r="Q91" s="33"/>
    </row>
    <row r="92" spans="1:17">
      <c r="A92" s="33"/>
      <c r="B92" s="33"/>
      <c r="C92" s="33"/>
      <c r="D92" s="33"/>
      <c r="E92" s="33"/>
      <c r="F92" s="33"/>
      <c r="G92" s="33"/>
      <c r="H92" s="33"/>
      <c r="I92" s="33"/>
      <c r="J92" s="33"/>
      <c r="K92" s="33"/>
      <c r="L92" s="35"/>
      <c r="M92" s="33"/>
      <c r="N92" s="33"/>
      <c r="O92" s="33"/>
      <c r="P92" s="33"/>
      <c r="Q92" s="33"/>
    </row>
    <row r="93" spans="1:17">
      <c r="A93" s="33"/>
      <c r="B93" s="33"/>
      <c r="C93" s="33"/>
      <c r="D93" s="33"/>
      <c r="E93" s="33"/>
      <c r="F93" s="33"/>
      <c r="G93" s="33"/>
      <c r="H93" s="33"/>
      <c r="I93" s="33"/>
      <c r="J93" s="33"/>
      <c r="K93" s="33"/>
      <c r="L93" s="35"/>
      <c r="M93" s="33"/>
      <c r="N93" s="33"/>
      <c r="O93" s="33"/>
      <c r="P93" s="33"/>
      <c r="Q93" s="33"/>
    </row>
    <row r="94" spans="1:17">
      <c r="A94" s="33"/>
      <c r="B94" s="33"/>
      <c r="C94" s="33"/>
      <c r="D94" s="33"/>
      <c r="E94" s="33"/>
      <c r="F94" s="33"/>
      <c r="G94" s="33"/>
      <c r="H94" s="33"/>
      <c r="I94" s="33"/>
      <c r="J94" s="33"/>
      <c r="K94" s="33"/>
      <c r="L94" s="35"/>
      <c r="M94" s="33"/>
      <c r="N94" s="33"/>
      <c r="O94" s="33"/>
      <c r="P94" s="33"/>
      <c r="Q94" s="33"/>
    </row>
    <row r="95" spans="1:17">
      <c r="A95" s="33"/>
      <c r="B95" s="33"/>
      <c r="C95" s="33"/>
      <c r="D95" s="33"/>
      <c r="E95" s="33"/>
      <c r="F95" s="33"/>
      <c r="G95" s="33"/>
      <c r="H95" s="33"/>
      <c r="I95" s="33"/>
      <c r="J95" s="33"/>
      <c r="K95" s="33"/>
      <c r="L95" s="35"/>
      <c r="M95" s="33"/>
      <c r="N95" s="33"/>
      <c r="O95" s="33"/>
      <c r="P95" s="33"/>
      <c r="Q95" s="33"/>
    </row>
    <row r="96" spans="1:17">
      <c r="A96" s="33"/>
      <c r="B96" s="33"/>
      <c r="C96" s="33"/>
      <c r="D96" s="33"/>
      <c r="E96" s="33"/>
      <c r="F96" s="33"/>
      <c r="G96" s="33"/>
      <c r="H96" s="33"/>
      <c r="I96" s="33"/>
      <c r="J96" s="33"/>
      <c r="K96" s="33"/>
      <c r="L96" s="35"/>
      <c r="M96" s="33"/>
      <c r="N96" s="33"/>
      <c r="O96" s="33"/>
      <c r="P96" s="33"/>
      <c r="Q96" s="33"/>
    </row>
    <row r="97" spans="1:17">
      <c r="A97" s="33"/>
      <c r="B97" s="33"/>
      <c r="C97" s="33"/>
      <c r="D97" s="33"/>
      <c r="E97" s="33"/>
      <c r="F97" s="33"/>
      <c r="G97" s="33"/>
      <c r="H97" s="33"/>
      <c r="I97" s="33"/>
      <c r="J97" s="33"/>
      <c r="K97" s="33"/>
      <c r="L97" s="35"/>
      <c r="M97" s="33"/>
      <c r="N97" s="33"/>
      <c r="O97" s="33"/>
      <c r="P97" s="33"/>
      <c r="Q97" s="33"/>
    </row>
    <row r="98" spans="1:17">
      <c r="A98" s="33"/>
      <c r="B98" s="33"/>
      <c r="C98" s="33"/>
      <c r="D98" s="33"/>
      <c r="E98" s="33"/>
      <c r="F98" s="33"/>
      <c r="G98" s="33"/>
      <c r="H98" s="33"/>
      <c r="I98" s="33"/>
      <c r="J98" s="33"/>
      <c r="K98" s="33"/>
      <c r="L98" s="35"/>
      <c r="M98" s="33"/>
      <c r="N98" s="33"/>
      <c r="O98" s="33"/>
      <c r="P98" s="33"/>
      <c r="Q98" s="33"/>
    </row>
    <row r="99" spans="1:17">
      <c r="A99" s="33"/>
      <c r="B99" s="33"/>
      <c r="C99" s="33"/>
      <c r="D99" s="33"/>
      <c r="E99" s="33"/>
      <c r="F99" s="33"/>
      <c r="G99" s="33"/>
      <c r="H99" s="33"/>
      <c r="I99" s="33"/>
      <c r="J99" s="33"/>
      <c r="K99" s="33"/>
      <c r="L99" s="35"/>
      <c r="M99" s="33"/>
      <c r="N99" s="33"/>
      <c r="O99" s="33"/>
      <c r="P99" s="33"/>
      <c r="Q99" s="33"/>
    </row>
    <row r="100" spans="1:17">
      <c r="A100" s="33"/>
      <c r="B100" s="33"/>
      <c r="C100" s="33"/>
      <c r="D100" s="33"/>
      <c r="E100" s="33"/>
      <c r="F100" s="33"/>
      <c r="G100" s="33"/>
      <c r="H100" s="33"/>
      <c r="I100" s="33"/>
      <c r="J100" s="33"/>
      <c r="K100" s="33"/>
      <c r="L100" s="35"/>
      <c r="M100" s="33"/>
      <c r="N100" s="33"/>
      <c r="O100" s="33"/>
      <c r="P100" s="33"/>
      <c r="Q100" s="33"/>
    </row>
    <row r="101" spans="1:17">
      <c r="A101" s="33"/>
      <c r="B101" s="33"/>
      <c r="C101" s="33"/>
      <c r="D101" s="33"/>
      <c r="E101" s="33"/>
      <c r="F101" s="33"/>
      <c r="G101" s="33"/>
      <c r="H101" s="33"/>
      <c r="I101" s="33"/>
      <c r="J101" s="33"/>
      <c r="K101" s="33"/>
      <c r="L101" s="35"/>
      <c r="M101" s="33"/>
      <c r="N101" s="33"/>
      <c r="O101" s="33"/>
      <c r="P101" s="33"/>
      <c r="Q101" s="33"/>
    </row>
    <row r="102" spans="1:17">
      <c r="A102" s="33"/>
      <c r="B102" s="33"/>
      <c r="C102" s="33"/>
      <c r="D102" s="33"/>
      <c r="E102" s="33"/>
      <c r="F102" s="33"/>
      <c r="G102" s="33"/>
      <c r="H102" s="33"/>
      <c r="I102" s="33"/>
      <c r="J102" s="33"/>
      <c r="K102" s="33"/>
      <c r="L102" s="35"/>
      <c r="M102" s="33"/>
      <c r="N102" s="33"/>
      <c r="O102" s="33"/>
      <c r="P102" s="33"/>
      <c r="Q102" s="33"/>
    </row>
    <row r="103" spans="1:17">
      <c r="A103" s="33"/>
      <c r="B103" s="33"/>
      <c r="C103" s="33"/>
      <c r="D103" s="33"/>
      <c r="E103" s="33"/>
      <c r="F103" s="33"/>
      <c r="G103" s="33"/>
      <c r="H103" s="33"/>
      <c r="I103" s="33"/>
      <c r="J103" s="33"/>
      <c r="K103" s="33"/>
      <c r="L103" s="35"/>
      <c r="M103" s="33"/>
      <c r="N103" s="33"/>
      <c r="O103" s="33"/>
      <c r="P103" s="33"/>
      <c r="Q103" s="33"/>
    </row>
    <row r="104" spans="1:17">
      <c r="A104" s="33"/>
      <c r="B104" s="33"/>
      <c r="C104" s="33"/>
      <c r="D104" s="33"/>
      <c r="E104" s="33"/>
      <c r="F104" s="33"/>
      <c r="G104" s="33"/>
      <c r="H104" s="33"/>
      <c r="I104" s="33"/>
      <c r="J104" s="33"/>
      <c r="K104" s="33"/>
      <c r="L104" s="35"/>
      <c r="M104" s="33"/>
      <c r="N104" s="33"/>
      <c r="O104" s="33"/>
      <c r="P104" s="33"/>
      <c r="Q104" s="33"/>
    </row>
    <row r="105" spans="1:17">
      <c r="A105" s="33"/>
      <c r="B105" s="33"/>
      <c r="C105" s="33"/>
      <c r="D105" s="33"/>
      <c r="E105" s="33"/>
      <c r="F105" s="33"/>
      <c r="G105" s="33"/>
      <c r="H105" s="33"/>
      <c r="I105" s="33"/>
      <c r="J105" s="33"/>
      <c r="K105" s="33"/>
      <c r="L105" s="35"/>
      <c r="M105" s="33"/>
      <c r="N105" s="33"/>
      <c r="O105" s="33"/>
      <c r="P105" s="33"/>
      <c r="Q105" s="33"/>
    </row>
    <row r="106" spans="1:17">
      <c r="A106" s="33"/>
      <c r="B106" s="33"/>
      <c r="C106" s="33"/>
      <c r="D106" s="33"/>
      <c r="E106" s="33"/>
      <c r="F106" s="33"/>
      <c r="G106" s="33"/>
      <c r="H106" s="33"/>
      <c r="I106" s="33"/>
      <c r="J106" s="33"/>
      <c r="K106" s="33"/>
      <c r="L106" s="35"/>
      <c r="M106" s="33"/>
      <c r="N106" s="33"/>
      <c r="O106" s="33"/>
      <c r="P106" s="33"/>
      <c r="Q106" s="33"/>
    </row>
    <row r="107" spans="1:17">
      <c r="A107" s="33"/>
      <c r="B107" s="33"/>
      <c r="C107" s="33"/>
      <c r="D107" s="33"/>
      <c r="E107" s="33"/>
      <c r="F107" s="33"/>
      <c r="G107" s="33"/>
      <c r="H107" s="33"/>
      <c r="I107" s="33"/>
      <c r="J107" s="33"/>
      <c r="K107" s="33"/>
      <c r="L107" s="35"/>
      <c r="M107" s="33"/>
      <c r="N107" s="33"/>
      <c r="O107" s="33"/>
      <c r="P107" s="33"/>
      <c r="Q107" s="33"/>
    </row>
    <row r="108" spans="1:17">
      <c r="A108" s="33"/>
      <c r="B108" s="33"/>
      <c r="C108" s="33"/>
      <c r="D108" s="33"/>
      <c r="E108" s="33"/>
      <c r="F108" s="33"/>
      <c r="G108" s="33"/>
      <c r="H108" s="33"/>
      <c r="I108" s="33"/>
      <c r="J108" s="33"/>
      <c r="K108" s="33"/>
      <c r="L108" s="35"/>
      <c r="M108" s="33"/>
      <c r="N108" s="33"/>
      <c r="O108" s="33"/>
      <c r="P108" s="33"/>
      <c r="Q108" s="33"/>
    </row>
    <row r="109" spans="1:17">
      <c r="A109" s="33"/>
      <c r="B109" s="33"/>
      <c r="C109" s="33"/>
      <c r="D109" s="33"/>
      <c r="E109" s="33"/>
      <c r="F109" s="33"/>
      <c r="G109" s="33"/>
      <c r="H109" s="33"/>
      <c r="I109" s="33"/>
      <c r="J109" s="33"/>
      <c r="K109" s="33"/>
      <c r="L109" s="35"/>
      <c r="M109" s="33"/>
      <c r="N109" s="33"/>
      <c r="O109" s="33"/>
      <c r="P109" s="33"/>
      <c r="Q109" s="33"/>
    </row>
    <row r="110" spans="1:17">
      <c r="A110" s="33"/>
      <c r="B110" s="33"/>
      <c r="C110" s="33"/>
      <c r="D110" s="33"/>
      <c r="E110" s="33"/>
      <c r="F110" s="33"/>
      <c r="G110" s="33"/>
      <c r="H110" s="33"/>
      <c r="I110" s="33"/>
      <c r="J110" s="33"/>
      <c r="K110" s="33"/>
      <c r="L110" s="35"/>
      <c r="M110" s="33"/>
      <c r="N110" s="33"/>
      <c r="O110" s="33"/>
      <c r="P110" s="33"/>
      <c r="Q110" s="33"/>
    </row>
    <row r="111" spans="1:17">
      <c r="A111" s="33"/>
      <c r="B111" s="33"/>
      <c r="C111" s="33"/>
      <c r="D111" s="33"/>
      <c r="E111" s="33"/>
      <c r="F111" s="33"/>
      <c r="G111" s="33"/>
      <c r="H111" s="33"/>
      <c r="I111" s="33"/>
      <c r="J111" s="33"/>
      <c r="K111" s="33"/>
      <c r="L111" s="35"/>
      <c r="M111" s="33"/>
      <c r="N111" s="33"/>
      <c r="O111" s="33"/>
      <c r="P111" s="33"/>
      <c r="Q111" s="33"/>
    </row>
    <row r="112" spans="1:17">
      <c r="A112" s="33"/>
      <c r="B112" s="33"/>
      <c r="C112" s="33"/>
      <c r="D112" s="33"/>
      <c r="E112" s="33"/>
      <c r="F112" s="33"/>
      <c r="G112" s="33"/>
      <c r="H112" s="33"/>
      <c r="I112" s="33"/>
      <c r="J112" s="33"/>
      <c r="K112" s="33"/>
      <c r="L112" s="35"/>
      <c r="M112" s="33"/>
      <c r="N112" s="33"/>
      <c r="O112" s="33"/>
      <c r="P112" s="33"/>
      <c r="Q112" s="33"/>
    </row>
    <row r="113" spans="1:17">
      <c r="A113" s="33"/>
      <c r="B113" s="33"/>
      <c r="C113" s="33"/>
      <c r="D113" s="33"/>
      <c r="E113" s="33"/>
      <c r="F113" s="33"/>
      <c r="G113" s="33"/>
      <c r="H113" s="33"/>
      <c r="I113" s="33"/>
      <c r="J113" s="33"/>
      <c r="K113" s="33"/>
      <c r="L113" s="35"/>
      <c r="M113" s="33"/>
      <c r="N113" s="33"/>
      <c r="O113" s="33"/>
      <c r="P113" s="33"/>
      <c r="Q113" s="33"/>
    </row>
    <row r="114" spans="1:17">
      <c r="A114" s="33"/>
      <c r="B114" s="33"/>
      <c r="C114" s="33"/>
      <c r="D114" s="33"/>
      <c r="E114" s="33"/>
      <c r="F114" s="33"/>
      <c r="G114" s="33"/>
      <c r="H114" s="33"/>
      <c r="I114" s="33"/>
      <c r="J114" s="33"/>
      <c r="K114" s="33"/>
      <c r="L114" s="35"/>
      <c r="M114" s="33"/>
      <c r="N114" s="33"/>
      <c r="O114" s="33"/>
      <c r="P114" s="33"/>
      <c r="Q114" s="33"/>
    </row>
    <row r="115" spans="1:17">
      <c r="A115" s="33"/>
      <c r="B115" s="33"/>
      <c r="C115" s="33"/>
      <c r="D115" s="33"/>
      <c r="E115" s="33"/>
      <c r="F115" s="33"/>
      <c r="G115" s="33"/>
      <c r="H115" s="33"/>
      <c r="I115" s="33"/>
      <c r="J115" s="33"/>
      <c r="K115" s="33"/>
      <c r="L115" s="35"/>
      <c r="M115" s="33"/>
      <c r="N115" s="33"/>
      <c r="O115" s="33"/>
      <c r="P115" s="33"/>
      <c r="Q115" s="33"/>
    </row>
    <row r="116" spans="1:17">
      <c r="A116" s="33"/>
      <c r="B116" s="33"/>
      <c r="C116" s="33"/>
      <c r="D116" s="33"/>
      <c r="E116" s="33"/>
      <c r="F116" s="33"/>
      <c r="G116" s="33"/>
      <c r="H116" s="33"/>
      <c r="I116" s="33"/>
      <c r="J116" s="33"/>
      <c r="K116" s="33"/>
      <c r="L116" s="35"/>
      <c r="M116" s="33"/>
      <c r="N116" s="33"/>
      <c r="O116" s="33"/>
      <c r="P116" s="33"/>
      <c r="Q116" s="33"/>
    </row>
    <row r="117" spans="1:17">
      <c r="A117" s="33"/>
      <c r="B117" s="33"/>
      <c r="C117" s="33"/>
      <c r="D117" s="33"/>
      <c r="E117" s="33"/>
      <c r="F117" s="33"/>
      <c r="G117" s="33"/>
      <c r="H117" s="33"/>
      <c r="I117" s="33"/>
      <c r="J117" s="33"/>
      <c r="K117" s="33"/>
      <c r="L117" s="35"/>
      <c r="M117" s="33"/>
      <c r="N117" s="33"/>
      <c r="O117" s="33"/>
      <c r="P117" s="33"/>
      <c r="Q117" s="33"/>
    </row>
    <row r="118" spans="1:17">
      <c r="A118" s="33"/>
      <c r="B118" s="33"/>
      <c r="C118" s="33"/>
      <c r="D118" s="33"/>
      <c r="E118" s="33"/>
      <c r="F118" s="33"/>
      <c r="G118" s="33"/>
      <c r="H118" s="33"/>
      <c r="I118" s="33"/>
      <c r="J118" s="33"/>
      <c r="K118" s="33"/>
      <c r="L118" s="35"/>
      <c r="M118" s="33"/>
      <c r="N118" s="33"/>
      <c r="O118" s="33"/>
      <c r="P118" s="33"/>
      <c r="Q118" s="33"/>
    </row>
    <row r="119" spans="1:17">
      <c r="A119" s="33"/>
      <c r="B119" s="33"/>
      <c r="C119" s="33"/>
      <c r="D119" s="33"/>
      <c r="E119" s="33"/>
      <c r="F119" s="33"/>
      <c r="G119" s="33"/>
      <c r="H119" s="33"/>
      <c r="I119" s="33"/>
      <c r="J119" s="33"/>
      <c r="K119" s="33"/>
      <c r="L119" s="35"/>
      <c r="M119" s="33"/>
      <c r="N119" s="33"/>
      <c r="O119" s="33"/>
      <c r="P119" s="33"/>
      <c r="Q119" s="33"/>
    </row>
    <row r="120" spans="1:17">
      <c r="A120" s="33"/>
      <c r="B120" s="33"/>
      <c r="C120" s="33"/>
      <c r="D120" s="33"/>
      <c r="E120" s="33"/>
      <c r="F120" s="33"/>
      <c r="G120" s="33"/>
      <c r="H120" s="33"/>
      <c r="I120" s="33"/>
      <c r="J120" s="33"/>
      <c r="K120" s="33"/>
      <c r="L120" s="35"/>
      <c r="M120" s="33"/>
      <c r="N120" s="33"/>
      <c r="O120" s="33"/>
      <c r="P120" s="33"/>
      <c r="Q120" s="33"/>
    </row>
    <row r="121" spans="1:17">
      <c r="A121" s="33"/>
      <c r="B121" s="33"/>
      <c r="C121" s="33"/>
      <c r="D121" s="33"/>
      <c r="E121" s="33"/>
      <c r="F121" s="33"/>
      <c r="G121" s="33"/>
      <c r="H121" s="33"/>
      <c r="I121" s="33"/>
      <c r="J121" s="33"/>
      <c r="K121" s="33"/>
      <c r="L121" s="35"/>
      <c r="M121" s="33"/>
      <c r="N121" s="33"/>
      <c r="O121" s="33"/>
      <c r="P121" s="33"/>
      <c r="Q121" s="33"/>
    </row>
    <row r="122" spans="1:17">
      <c r="A122" s="33"/>
      <c r="B122" s="33"/>
      <c r="C122" s="33"/>
      <c r="D122" s="33"/>
      <c r="E122" s="33"/>
      <c r="F122" s="33"/>
      <c r="G122" s="33"/>
      <c r="H122" s="33"/>
      <c r="I122" s="33"/>
      <c r="J122" s="33"/>
      <c r="K122" s="33"/>
      <c r="L122" s="35"/>
      <c r="M122" s="33"/>
      <c r="N122" s="33"/>
      <c r="O122" s="33"/>
      <c r="P122" s="33"/>
      <c r="Q122" s="33"/>
    </row>
    <row r="123" spans="1:17">
      <c r="A123" s="33"/>
      <c r="B123" s="33"/>
      <c r="C123" s="33"/>
      <c r="D123" s="33"/>
      <c r="E123" s="33"/>
      <c r="F123" s="33"/>
      <c r="G123" s="33"/>
      <c r="H123" s="33"/>
      <c r="I123" s="33"/>
      <c r="J123" s="33"/>
      <c r="K123" s="33"/>
      <c r="L123" s="35"/>
      <c r="M123" s="33"/>
      <c r="N123" s="33"/>
      <c r="O123" s="33"/>
      <c r="P123" s="33"/>
      <c r="Q123" s="33"/>
    </row>
    <row r="124" spans="1:17">
      <c r="A124" s="33"/>
      <c r="B124" s="33"/>
      <c r="C124" s="33"/>
      <c r="D124" s="33"/>
      <c r="E124" s="33"/>
      <c r="F124" s="33"/>
      <c r="G124" s="33"/>
      <c r="H124" s="33"/>
      <c r="I124" s="33"/>
      <c r="J124" s="33"/>
      <c r="K124" s="33"/>
      <c r="L124" s="35"/>
      <c r="M124" s="33"/>
      <c r="N124" s="33"/>
      <c r="O124" s="33"/>
      <c r="P124" s="33"/>
      <c r="Q124" s="33"/>
    </row>
    <row r="125" spans="1:17">
      <c r="A125" s="33"/>
      <c r="B125" s="33"/>
      <c r="C125" s="33"/>
      <c r="D125" s="33"/>
      <c r="E125" s="33"/>
      <c r="F125" s="33"/>
      <c r="G125" s="33"/>
      <c r="H125" s="33"/>
      <c r="I125" s="33"/>
      <c r="J125" s="33"/>
      <c r="K125" s="33"/>
      <c r="L125" s="35"/>
      <c r="M125" s="33"/>
      <c r="N125" s="33"/>
      <c r="O125" s="33"/>
      <c r="P125" s="33"/>
      <c r="Q125" s="33"/>
    </row>
    <row r="126" spans="1:17">
      <c r="A126" s="33"/>
      <c r="B126" s="33"/>
      <c r="C126" s="33"/>
      <c r="D126" s="33"/>
      <c r="E126" s="33"/>
      <c r="F126" s="33"/>
      <c r="G126" s="33"/>
      <c r="H126" s="33"/>
      <c r="I126" s="33"/>
      <c r="J126" s="33"/>
      <c r="K126" s="33"/>
      <c r="L126" s="35"/>
      <c r="M126" s="33"/>
      <c r="N126" s="33"/>
      <c r="O126" s="33"/>
      <c r="P126" s="33"/>
      <c r="Q126" s="33"/>
    </row>
    <row r="127" spans="1:17">
      <c r="A127" s="33"/>
      <c r="B127" s="33"/>
      <c r="C127" s="33"/>
      <c r="D127" s="33"/>
      <c r="E127" s="33"/>
      <c r="F127" s="33"/>
      <c r="G127" s="33"/>
      <c r="H127" s="33"/>
      <c r="I127" s="33"/>
      <c r="J127" s="33"/>
      <c r="K127" s="33"/>
      <c r="L127" s="35"/>
      <c r="M127" s="33"/>
      <c r="N127" s="33"/>
      <c r="O127" s="33"/>
      <c r="P127" s="33"/>
      <c r="Q127" s="33"/>
    </row>
    <row r="128" spans="1:17">
      <c r="A128" s="33"/>
      <c r="B128" s="33"/>
      <c r="C128" s="33"/>
      <c r="D128" s="33"/>
      <c r="E128" s="33"/>
      <c r="F128" s="33"/>
      <c r="G128" s="33"/>
      <c r="H128" s="33"/>
      <c r="I128" s="33"/>
      <c r="J128" s="33"/>
      <c r="K128" s="33"/>
      <c r="L128" s="35"/>
      <c r="M128" s="33"/>
      <c r="N128" s="33"/>
      <c r="O128" s="33"/>
      <c r="P128" s="33"/>
      <c r="Q128" s="33"/>
    </row>
    <row r="129" spans="1:17">
      <c r="A129" s="33"/>
      <c r="B129" s="33"/>
      <c r="C129" s="33"/>
      <c r="D129" s="33"/>
      <c r="E129" s="33"/>
      <c r="F129" s="33"/>
      <c r="G129" s="33"/>
      <c r="H129" s="33"/>
      <c r="I129" s="33"/>
      <c r="J129" s="33"/>
      <c r="K129" s="33"/>
      <c r="L129" s="35"/>
      <c r="M129" s="33"/>
      <c r="N129" s="33"/>
      <c r="O129" s="33"/>
      <c r="P129" s="33"/>
      <c r="Q129" s="33"/>
    </row>
    <row r="130" spans="1:17">
      <c r="A130" s="33"/>
      <c r="B130" s="33"/>
      <c r="C130" s="33"/>
      <c r="D130" s="33"/>
      <c r="E130" s="33"/>
      <c r="F130" s="33"/>
      <c r="G130" s="33"/>
      <c r="H130" s="33"/>
      <c r="I130" s="33"/>
      <c r="J130" s="33"/>
      <c r="K130" s="33"/>
      <c r="L130" s="35"/>
      <c r="M130" s="33"/>
      <c r="N130" s="33"/>
      <c r="O130" s="33"/>
      <c r="P130" s="33"/>
      <c r="Q130" s="33"/>
    </row>
    <row r="131" spans="1:17">
      <c r="A131" s="33"/>
      <c r="B131" s="33"/>
      <c r="C131" s="33"/>
      <c r="D131" s="33"/>
      <c r="E131" s="33"/>
      <c r="F131" s="33"/>
      <c r="G131" s="33"/>
      <c r="H131" s="33"/>
      <c r="I131" s="33"/>
      <c r="J131" s="33"/>
      <c r="K131" s="33"/>
      <c r="L131" s="35"/>
      <c r="M131" s="33"/>
      <c r="N131" s="33"/>
      <c r="O131" s="33"/>
      <c r="P131" s="33"/>
      <c r="Q131" s="33"/>
    </row>
    <row r="132" spans="1:17">
      <c r="A132" s="33"/>
      <c r="B132" s="33"/>
      <c r="C132" s="33"/>
      <c r="D132" s="33"/>
      <c r="E132" s="33"/>
      <c r="F132" s="33"/>
      <c r="G132" s="33"/>
      <c r="H132" s="33"/>
      <c r="I132" s="33"/>
      <c r="J132" s="33"/>
      <c r="K132" s="33"/>
      <c r="L132" s="35"/>
      <c r="M132" s="33"/>
      <c r="N132" s="33"/>
      <c r="O132" s="33"/>
      <c r="P132" s="33"/>
      <c r="Q132" s="33"/>
    </row>
    <row r="133" spans="1:17">
      <c r="A133" s="33"/>
      <c r="B133" s="33"/>
      <c r="C133" s="33"/>
      <c r="D133" s="33"/>
      <c r="E133" s="33"/>
      <c r="F133" s="33"/>
      <c r="G133" s="33"/>
      <c r="H133" s="33"/>
      <c r="I133" s="33"/>
      <c r="J133" s="33"/>
      <c r="K133" s="33"/>
      <c r="L133" s="35"/>
      <c r="M133" s="33"/>
      <c r="N133" s="33"/>
      <c r="O133" s="33"/>
      <c r="P133" s="33"/>
      <c r="Q133" s="33"/>
    </row>
    <row r="134" spans="1:17">
      <c r="A134" s="33"/>
      <c r="B134" s="33"/>
      <c r="C134" s="33"/>
      <c r="D134" s="33"/>
      <c r="E134" s="33"/>
      <c r="F134" s="33"/>
      <c r="G134" s="33"/>
      <c r="H134" s="33"/>
      <c r="I134" s="33"/>
      <c r="J134" s="33"/>
      <c r="K134" s="33"/>
      <c r="L134" s="35"/>
      <c r="M134" s="33"/>
      <c r="N134" s="33"/>
      <c r="O134" s="33"/>
      <c r="P134" s="33"/>
      <c r="Q134" s="33"/>
    </row>
    <row r="135" spans="1:17">
      <c r="A135" s="33"/>
      <c r="B135" s="33"/>
      <c r="C135" s="33"/>
      <c r="D135" s="33"/>
      <c r="E135" s="33"/>
      <c r="F135" s="33"/>
      <c r="G135" s="33"/>
      <c r="H135" s="33"/>
      <c r="I135" s="33"/>
      <c r="J135" s="33"/>
      <c r="K135" s="33"/>
      <c r="L135" s="35"/>
      <c r="M135" s="33"/>
      <c r="N135" s="33"/>
      <c r="O135" s="33"/>
      <c r="P135" s="33"/>
      <c r="Q135" s="33"/>
    </row>
    <row r="136" spans="1:17">
      <c r="A136" s="33"/>
      <c r="B136" s="33"/>
      <c r="C136" s="33"/>
      <c r="D136" s="33"/>
      <c r="E136" s="33"/>
      <c r="F136" s="33"/>
      <c r="G136" s="33"/>
      <c r="H136" s="33"/>
      <c r="I136" s="33"/>
      <c r="J136" s="33"/>
      <c r="K136" s="33"/>
      <c r="L136" s="35"/>
      <c r="M136" s="33"/>
      <c r="N136" s="33"/>
      <c r="O136" s="33"/>
      <c r="P136" s="33"/>
      <c r="Q136" s="33"/>
    </row>
    <row r="137" spans="1:17">
      <c r="A137" s="33"/>
      <c r="B137" s="33"/>
      <c r="C137" s="33"/>
      <c r="D137" s="33"/>
      <c r="E137" s="33"/>
      <c r="F137" s="33"/>
      <c r="G137" s="33"/>
      <c r="H137" s="33"/>
      <c r="I137" s="33"/>
      <c r="J137" s="33"/>
      <c r="K137" s="33"/>
      <c r="L137" s="35"/>
      <c r="M137" s="33"/>
      <c r="N137" s="33"/>
      <c r="O137" s="33"/>
      <c r="P137" s="33"/>
      <c r="Q137" s="33"/>
    </row>
    <row r="138" spans="1:17">
      <c r="A138" s="33"/>
      <c r="B138" s="33"/>
      <c r="C138" s="33"/>
      <c r="D138" s="33"/>
      <c r="E138" s="33"/>
      <c r="F138" s="33"/>
      <c r="G138" s="33"/>
      <c r="H138" s="33"/>
      <c r="I138" s="33"/>
      <c r="J138" s="33"/>
      <c r="K138" s="33"/>
      <c r="L138" s="35"/>
      <c r="M138" s="33"/>
      <c r="N138" s="33"/>
      <c r="O138" s="33"/>
      <c r="P138" s="33"/>
      <c r="Q138" s="33"/>
    </row>
    <row r="139" spans="1:17">
      <c r="A139" s="33"/>
      <c r="B139" s="33"/>
      <c r="C139" s="33"/>
      <c r="D139" s="33"/>
      <c r="E139" s="33"/>
      <c r="F139" s="33"/>
      <c r="G139" s="33"/>
      <c r="H139" s="33"/>
      <c r="I139" s="33"/>
      <c r="J139" s="33"/>
      <c r="K139" s="33"/>
      <c r="L139" s="35"/>
      <c r="M139" s="33"/>
      <c r="N139" s="33"/>
      <c r="O139" s="33"/>
      <c r="P139" s="33"/>
      <c r="Q139" s="33"/>
    </row>
    <row r="140" spans="1:17">
      <c r="A140" s="33"/>
      <c r="B140" s="33"/>
      <c r="C140" s="33"/>
      <c r="D140" s="33"/>
      <c r="E140" s="33"/>
      <c r="F140" s="33"/>
      <c r="G140" s="33"/>
      <c r="H140" s="33"/>
      <c r="I140" s="33"/>
      <c r="J140" s="33"/>
      <c r="K140" s="33"/>
      <c r="L140" s="35"/>
      <c r="M140" s="33"/>
      <c r="N140" s="33"/>
      <c r="O140" s="33"/>
      <c r="P140" s="33"/>
      <c r="Q140" s="33"/>
    </row>
    <row r="141" spans="1:17">
      <c r="A141" s="33"/>
      <c r="B141" s="33"/>
      <c r="C141" s="33"/>
      <c r="D141" s="33"/>
      <c r="E141" s="33"/>
      <c r="F141" s="33"/>
      <c r="G141" s="33"/>
      <c r="H141" s="33"/>
      <c r="I141" s="33"/>
      <c r="J141" s="33"/>
      <c r="K141" s="33"/>
      <c r="L141" s="35"/>
      <c r="M141" s="33"/>
      <c r="N141" s="33"/>
      <c r="O141" s="33"/>
      <c r="P141" s="33"/>
      <c r="Q141" s="33"/>
    </row>
    <row r="142" spans="1:17">
      <c r="A142" s="33"/>
      <c r="B142" s="33"/>
      <c r="C142" s="33"/>
      <c r="D142" s="33"/>
      <c r="E142" s="33"/>
      <c r="F142" s="33"/>
      <c r="G142" s="33"/>
      <c r="H142" s="33"/>
      <c r="I142" s="33"/>
      <c r="J142" s="33"/>
      <c r="K142" s="33"/>
      <c r="L142" s="35"/>
      <c r="M142" s="33"/>
      <c r="N142" s="33"/>
      <c r="O142" s="33"/>
      <c r="P142" s="33"/>
      <c r="Q142" s="33"/>
    </row>
    <row r="143" spans="1:17">
      <c r="A143" s="33"/>
      <c r="B143" s="33"/>
      <c r="C143" s="33"/>
      <c r="D143" s="33"/>
      <c r="E143" s="33"/>
      <c r="F143" s="33"/>
      <c r="G143" s="33"/>
      <c r="H143" s="33"/>
      <c r="I143" s="33"/>
      <c r="J143" s="33"/>
      <c r="K143" s="33"/>
      <c r="L143" s="35"/>
      <c r="M143" s="33"/>
      <c r="N143" s="33"/>
      <c r="O143" s="33"/>
      <c r="P143" s="33"/>
      <c r="Q143" s="33"/>
    </row>
    <row r="144" spans="1:17">
      <c r="A144" s="33"/>
      <c r="B144" s="33"/>
      <c r="C144" s="33"/>
      <c r="D144" s="33"/>
      <c r="E144" s="33"/>
      <c r="F144" s="33"/>
      <c r="G144" s="33"/>
      <c r="H144" s="33"/>
      <c r="I144" s="33"/>
      <c r="J144" s="33"/>
      <c r="K144" s="33"/>
      <c r="L144" s="35"/>
      <c r="M144" s="33"/>
      <c r="N144" s="33"/>
      <c r="O144" s="33"/>
      <c r="P144" s="33"/>
      <c r="Q144" s="33"/>
    </row>
    <row r="145" spans="1:17">
      <c r="A145" s="33"/>
      <c r="B145" s="33"/>
      <c r="C145" s="33"/>
      <c r="D145" s="33"/>
      <c r="E145" s="33"/>
      <c r="F145" s="33"/>
      <c r="G145" s="33"/>
      <c r="H145" s="33"/>
      <c r="I145" s="33"/>
      <c r="J145" s="33"/>
      <c r="K145" s="33"/>
      <c r="L145" s="35"/>
      <c r="M145" s="33"/>
      <c r="N145" s="33"/>
      <c r="O145" s="33"/>
      <c r="P145" s="33"/>
      <c r="Q145" s="33"/>
    </row>
    <row r="146" spans="1:17">
      <c r="A146" s="33"/>
      <c r="B146" s="33"/>
      <c r="C146" s="33"/>
      <c r="D146" s="33"/>
      <c r="E146" s="33"/>
      <c r="F146" s="33"/>
      <c r="G146" s="33"/>
      <c r="H146" s="33"/>
      <c r="I146" s="33"/>
      <c r="J146" s="33"/>
      <c r="K146" s="33"/>
      <c r="L146" s="35"/>
      <c r="M146" s="33"/>
      <c r="N146" s="33"/>
      <c r="O146" s="33"/>
      <c r="P146" s="33"/>
      <c r="Q146" s="33"/>
    </row>
    <row r="147" spans="1:17">
      <c r="A147" s="33"/>
      <c r="B147" s="33"/>
      <c r="C147" s="33"/>
      <c r="D147" s="33"/>
      <c r="E147" s="33"/>
      <c r="F147" s="33"/>
      <c r="G147" s="33"/>
      <c r="H147" s="33"/>
      <c r="I147" s="33"/>
      <c r="J147" s="33"/>
      <c r="K147" s="33"/>
      <c r="L147" s="35"/>
      <c r="M147" s="33"/>
      <c r="N147" s="33"/>
      <c r="O147" s="33"/>
      <c r="P147" s="33"/>
      <c r="Q147" s="33"/>
    </row>
    <row r="148" spans="1:17">
      <c r="A148" s="33"/>
      <c r="B148" s="33"/>
      <c r="C148" s="33"/>
      <c r="D148" s="33"/>
      <c r="E148" s="33"/>
      <c r="F148" s="33"/>
      <c r="G148" s="33"/>
      <c r="H148" s="33"/>
      <c r="I148" s="33"/>
      <c r="J148" s="33"/>
      <c r="K148" s="33"/>
      <c r="L148" s="35"/>
      <c r="M148" s="33"/>
      <c r="N148" s="33"/>
      <c r="O148" s="33"/>
      <c r="P148" s="33"/>
      <c r="Q148" s="33"/>
    </row>
    <row r="149" spans="1:17">
      <c r="A149" s="33"/>
      <c r="B149" s="33"/>
      <c r="C149" s="33"/>
      <c r="D149" s="33"/>
      <c r="E149" s="33"/>
      <c r="F149" s="33"/>
      <c r="G149" s="33"/>
      <c r="H149" s="33"/>
      <c r="I149" s="33"/>
      <c r="J149" s="33"/>
      <c r="K149" s="33"/>
      <c r="L149" s="35"/>
      <c r="M149" s="33"/>
      <c r="N149" s="33"/>
      <c r="O149" s="33"/>
      <c r="P149" s="33"/>
      <c r="Q149" s="33"/>
    </row>
    <row r="150" spans="1:17">
      <c r="A150" s="33"/>
      <c r="B150" s="33"/>
      <c r="C150" s="33"/>
      <c r="D150" s="33"/>
      <c r="E150" s="33"/>
      <c r="F150" s="33"/>
      <c r="G150" s="33"/>
      <c r="H150" s="33"/>
      <c r="I150" s="33"/>
      <c r="J150" s="33"/>
      <c r="K150" s="33"/>
      <c r="L150" s="35"/>
      <c r="M150" s="33"/>
      <c r="N150" s="33"/>
      <c r="O150" s="33"/>
      <c r="P150" s="33"/>
      <c r="Q150" s="33"/>
    </row>
    <row r="151" spans="1:17">
      <c r="A151" s="33"/>
      <c r="B151" s="33"/>
      <c r="C151" s="33"/>
      <c r="D151" s="33"/>
      <c r="E151" s="33"/>
      <c r="F151" s="33"/>
      <c r="G151" s="33"/>
      <c r="H151" s="33"/>
      <c r="I151" s="33"/>
      <c r="J151" s="33"/>
      <c r="K151" s="33"/>
      <c r="L151" s="35"/>
      <c r="M151" s="33"/>
      <c r="N151" s="33"/>
      <c r="O151" s="33"/>
      <c r="P151" s="33"/>
      <c r="Q151" s="33"/>
    </row>
    <row r="152" spans="1:17">
      <c r="A152" s="33"/>
      <c r="B152" s="33"/>
      <c r="C152" s="33"/>
      <c r="D152" s="33"/>
      <c r="E152" s="33"/>
      <c r="F152" s="33"/>
      <c r="G152" s="33"/>
      <c r="H152" s="33"/>
      <c r="I152" s="33"/>
      <c r="J152" s="33"/>
      <c r="K152" s="33"/>
      <c r="L152" s="35"/>
      <c r="M152" s="33"/>
      <c r="N152" s="33"/>
      <c r="O152" s="33"/>
      <c r="P152" s="33"/>
      <c r="Q152" s="33"/>
    </row>
    <row r="153" spans="1:17">
      <c r="A153" s="33"/>
      <c r="B153" s="33"/>
      <c r="C153" s="33"/>
      <c r="D153" s="33"/>
      <c r="E153" s="33"/>
      <c r="F153" s="33"/>
      <c r="G153" s="33"/>
      <c r="H153" s="33"/>
      <c r="I153" s="33"/>
      <c r="J153" s="33"/>
      <c r="K153" s="33"/>
      <c r="L153" s="35"/>
      <c r="M153" s="33"/>
      <c r="N153" s="33"/>
      <c r="O153" s="33"/>
      <c r="P153" s="33"/>
      <c r="Q153" s="33"/>
    </row>
    <row r="154" spans="1:17">
      <c r="A154" s="33"/>
      <c r="B154" s="33"/>
      <c r="C154" s="33"/>
      <c r="D154" s="33"/>
      <c r="E154" s="33"/>
      <c r="F154" s="33"/>
      <c r="G154" s="33"/>
      <c r="H154" s="33"/>
      <c r="I154" s="33"/>
      <c r="J154" s="33"/>
      <c r="K154" s="33"/>
      <c r="L154" s="35"/>
      <c r="M154" s="33"/>
      <c r="N154" s="33"/>
      <c r="O154" s="33"/>
      <c r="P154" s="33"/>
      <c r="Q154" s="33"/>
    </row>
    <row r="155" spans="1:17">
      <c r="A155" s="33"/>
      <c r="B155" s="33"/>
      <c r="C155" s="33"/>
      <c r="D155" s="33"/>
      <c r="E155" s="33"/>
      <c r="F155" s="33"/>
      <c r="G155" s="33"/>
      <c r="H155" s="33"/>
      <c r="I155" s="33"/>
      <c r="J155" s="33"/>
      <c r="K155" s="33"/>
      <c r="L155" s="35"/>
      <c r="M155" s="33"/>
      <c r="N155" s="33"/>
      <c r="O155" s="33"/>
      <c r="P155" s="33"/>
      <c r="Q155" s="33"/>
    </row>
    <row r="156" spans="1:17">
      <c r="A156" s="33"/>
      <c r="B156" s="33"/>
      <c r="C156" s="33"/>
      <c r="D156" s="33"/>
      <c r="E156" s="33"/>
      <c r="F156" s="33"/>
      <c r="G156" s="33"/>
      <c r="H156" s="33"/>
      <c r="I156" s="33"/>
      <c r="J156" s="33"/>
      <c r="K156" s="33"/>
      <c r="L156" s="35"/>
      <c r="M156" s="33"/>
      <c r="N156" s="33"/>
      <c r="O156" s="33"/>
      <c r="P156" s="33"/>
      <c r="Q156" s="33"/>
    </row>
    <row r="157" spans="1:17">
      <c r="A157" s="33"/>
      <c r="B157" s="33"/>
      <c r="C157" s="33"/>
      <c r="D157" s="33"/>
      <c r="E157" s="33"/>
      <c r="F157" s="33"/>
      <c r="G157" s="33"/>
      <c r="H157" s="33"/>
      <c r="I157" s="33"/>
      <c r="J157" s="33"/>
      <c r="K157" s="33"/>
      <c r="L157" s="35"/>
      <c r="M157" s="33"/>
      <c r="N157" s="33"/>
      <c r="O157" s="33"/>
      <c r="P157" s="33"/>
      <c r="Q157" s="33"/>
    </row>
    <row r="158" spans="1:17">
      <c r="A158" s="33"/>
      <c r="B158" s="33"/>
      <c r="C158" s="33"/>
      <c r="D158" s="33"/>
      <c r="E158" s="33"/>
      <c r="F158" s="33"/>
      <c r="G158" s="33"/>
      <c r="H158" s="33"/>
      <c r="I158" s="33"/>
      <c r="J158" s="33"/>
      <c r="K158" s="33"/>
      <c r="L158" s="35"/>
      <c r="M158" s="33"/>
      <c r="N158" s="33"/>
      <c r="O158" s="33"/>
      <c r="P158" s="33"/>
      <c r="Q158" s="33"/>
    </row>
    <row r="159" spans="1:17">
      <c r="A159" s="33"/>
      <c r="B159" s="33"/>
      <c r="C159" s="33"/>
      <c r="D159" s="33"/>
      <c r="E159" s="33"/>
      <c r="F159" s="33"/>
      <c r="G159" s="33"/>
      <c r="H159" s="33"/>
      <c r="I159" s="33"/>
      <c r="J159" s="33"/>
      <c r="K159" s="33"/>
      <c r="L159" s="35"/>
      <c r="M159" s="33"/>
      <c r="N159" s="33"/>
      <c r="O159" s="33"/>
      <c r="P159" s="33"/>
      <c r="Q159" s="33"/>
    </row>
    <row r="160" spans="1:17">
      <c r="A160" s="33"/>
      <c r="B160" s="33"/>
      <c r="C160" s="33"/>
      <c r="D160" s="33"/>
      <c r="E160" s="33"/>
      <c r="F160" s="33"/>
      <c r="G160" s="33"/>
      <c r="H160" s="33"/>
      <c r="I160" s="33"/>
      <c r="J160" s="33"/>
      <c r="K160" s="33"/>
      <c r="L160" s="35"/>
      <c r="M160" s="33"/>
      <c r="N160" s="33"/>
      <c r="O160" s="33"/>
      <c r="P160" s="33"/>
      <c r="Q160" s="33"/>
    </row>
    <row r="161" spans="1:17">
      <c r="A161" s="33"/>
      <c r="B161" s="33"/>
      <c r="C161" s="33"/>
      <c r="D161" s="33"/>
      <c r="E161" s="33"/>
      <c r="F161" s="33"/>
      <c r="G161" s="33"/>
      <c r="H161" s="33"/>
      <c r="I161" s="33"/>
      <c r="J161" s="33"/>
      <c r="K161" s="33"/>
      <c r="L161" s="35"/>
      <c r="M161" s="33"/>
      <c r="N161" s="33"/>
      <c r="O161" s="33"/>
      <c r="P161" s="33"/>
      <c r="Q161" s="33"/>
    </row>
    <row r="162" spans="1:17">
      <c r="A162" s="33"/>
      <c r="B162" s="33"/>
      <c r="C162" s="33"/>
      <c r="D162" s="33"/>
      <c r="E162" s="33"/>
      <c r="F162" s="33"/>
      <c r="G162" s="33"/>
      <c r="H162" s="33"/>
      <c r="I162" s="33"/>
      <c r="J162" s="33"/>
      <c r="K162" s="33"/>
      <c r="L162" s="35"/>
      <c r="M162" s="33"/>
      <c r="N162" s="33"/>
      <c r="O162" s="33"/>
      <c r="P162" s="33"/>
      <c r="Q162" s="33"/>
    </row>
    <row r="163" spans="1:17">
      <c r="A163" s="33"/>
      <c r="B163" s="33"/>
      <c r="C163" s="33"/>
      <c r="D163" s="33"/>
      <c r="E163" s="33"/>
      <c r="F163" s="33"/>
      <c r="G163" s="33"/>
      <c r="H163" s="33"/>
      <c r="I163" s="33"/>
      <c r="J163" s="33"/>
      <c r="K163" s="33"/>
      <c r="L163" s="35"/>
      <c r="M163" s="33"/>
      <c r="N163" s="33"/>
      <c r="O163" s="33"/>
      <c r="P163" s="33"/>
      <c r="Q163" s="33"/>
    </row>
    <row r="164" spans="1:17">
      <c r="A164" s="33"/>
      <c r="B164" s="33"/>
      <c r="C164" s="33"/>
      <c r="D164" s="33"/>
      <c r="E164" s="33"/>
      <c r="F164" s="33"/>
      <c r="G164" s="33"/>
      <c r="H164" s="33"/>
      <c r="I164" s="33"/>
      <c r="J164" s="33"/>
      <c r="K164" s="33"/>
      <c r="L164" s="35"/>
      <c r="M164" s="33"/>
      <c r="N164" s="33"/>
      <c r="O164" s="33"/>
      <c r="P164" s="33"/>
      <c r="Q164" s="33"/>
    </row>
    <row r="165" spans="1:17">
      <c r="A165" s="33"/>
      <c r="B165" s="33"/>
      <c r="C165" s="33"/>
      <c r="D165" s="33"/>
      <c r="E165" s="33"/>
      <c r="F165" s="33"/>
      <c r="G165" s="33"/>
      <c r="H165" s="33"/>
      <c r="I165" s="33"/>
      <c r="J165" s="33"/>
      <c r="K165" s="33"/>
      <c r="L165" s="35"/>
      <c r="M165" s="33"/>
      <c r="N165" s="33"/>
      <c r="O165" s="33"/>
      <c r="P165" s="33"/>
      <c r="Q165" s="33"/>
    </row>
    <row r="166" spans="1:17">
      <c r="A166" s="33"/>
      <c r="B166" s="33"/>
      <c r="C166" s="33"/>
      <c r="D166" s="33"/>
      <c r="E166" s="33"/>
      <c r="F166" s="33"/>
      <c r="G166" s="33"/>
      <c r="H166" s="33"/>
      <c r="I166" s="33"/>
      <c r="J166" s="33"/>
      <c r="K166" s="33"/>
      <c r="L166" s="35"/>
      <c r="M166" s="33"/>
      <c r="N166" s="33"/>
      <c r="O166" s="33"/>
      <c r="P166" s="33"/>
      <c r="Q166" s="33"/>
    </row>
    <row r="167" spans="1:17">
      <c r="A167" s="33"/>
      <c r="B167" s="33"/>
      <c r="C167" s="33"/>
      <c r="D167" s="33"/>
      <c r="E167" s="33"/>
      <c r="F167" s="33"/>
      <c r="G167" s="33"/>
      <c r="H167" s="33"/>
      <c r="I167" s="33"/>
      <c r="J167" s="33"/>
      <c r="K167" s="33"/>
      <c r="L167" s="35"/>
      <c r="M167" s="33"/>
      <c r="N167" s="33"/>
      <c r="O167" s="33"/>
      <c r="P167" s="33"/>
      <c r="Q167" s="33"/>
    </row>
    <row r="168" spans="1:17">
      <c r="A168" s="33"/>
      <c r="B168" s="33"/>
      <c r="C168" s="33"/>
      <c r="D168" s="33"/>
      <c r="E168" s="33"/>
      <c r="F168" s="33"/>
      <c r="G168" s="33"/>
      <c r="H168" s="33"/>
      <c r="I168" s="33"/>
      <c r="J168" s="33"/>
      <c r="K168" s="33"/>
      <c r="L168" s="35"/>
      <c r="M168" s="33"/>
      <c r="N168" s="33"/>
      <c r="O168" s="33"/>
      <c r="P168" s="33"/>
      <c r="Q168" s="33"/>
    </row>
    <row r="169" spans="1:17">
      <c r="A169" s="33"/>
      <c r="B169" s="33"/>
      <c r="C169" s="33"/>
      <c r="D169" s="33"/>
      <c r="E169" s="33"/>
      <c r="F169" s="33"/>
      <c r="G169" s="33"/>
      <c r="H169" s="33"/>
      <c r="I169" s="33"/>
      <c r="J169" s="33"/>
      <c r="K169" s="33"/>
      <c r="L169" s="35"/>
      <c r="M169" s="33"/>
      <c r="N169" s="33"/>
      <c r="O169" s="33"/>
      <c r="P169" s="33"/>
      <c r="Q169" s="33"/>
    </row>
    <row r="170" spans="1:17">
      <c r="A170" s="33"/>
      <c r="B170" s="33"/>
      <c r="C170" s="33"/>
      <c r="D170" s="33"/>
      <c r="E170" s="33"/>
      <c r="F170" s="33"/>
      <c r="G170" s="33"/>
      <c r="H170" s="33"/>
      <c r="I170" s="33"/>
      <c r="J170" s="33"/>
      <c r="K170" s="33"/>
      <c r="L170" s="35"/>
      <c r="M170" s="33"/>
      <c r="N170" s="33"/>
      <c r="O170" s="33"/>
      <c r="P170" s="33"/>
      <c r="Q170" s="33"/>
    </row>
    <row r="171" spans="1:17">
      <c r="A171" s="33"/>
      <c r="B171" s="33"/>
      <c r="C171" s="33"/>
      <c r="D171" s="33"/>
      <c r="E171" s="33"/>
      <c r="F171" s="33"/>
      <c r="G171" s="33"/>
      <c r="H171" s="33"/>
      <c r="I171" s="33"/>
      <c r="J171" s="33"/>
      <c r="K171" s="33"/>
      <c r="L171" s="35"/>
      <c r="M171" s="33"/>
      <c r="N171" s="33"/>
      <c r="O171" s="33"/>
      <c r="P171" s="33"/>
      <c r="Q171" s="33"/>
    </row>
    <row r="172" spans="1:17">
      <c r="A172" s="33"/>
      <c r="B172" s="33"/>
      <c r="C172" s="33"/>
      <c r="D172" s="33"/>
      <c r="E172" s="33"/>
      <c r="F172" s="33"/>
      <c r="G172" s="33"/>
      <c r="H172" s="33"/>
      <c r="I172" s="33"/>
      <c r="J172" s="33"/>
      <c r="K172" s="33"/>
      <c r="L172" s="35"/>
      <c r="M172" s="33"/>
      <c r="N172" s="33"/>
      <c r="O172" s="33"/>
      <c r="P172" s="33"/>
      <c r="Q172" s="33"/>
    </row>
    <row r="173" spans="1:17">
      <c r="A173" s="33"/>
      <c r="B173" s="33"/>
      <c r="C173" s="33"/>
      <c r="D173" s="33"/>
      <c r="E173" s="33"/>
      <c r="F173" s="33"/>
      <c r="G173" s="33"/>
      <c r="H173" s="33"/>
      <c r="I173" s="33"/>
      <c r="J173" s="33"/>
      <c r="K173" s="33"/>
      <c r="L173" s="35"/>
      <c r="M173" s="33"/>
      <c r="N173" s="33"/>
      <c r="O173" s="33"/>
      <c r="P173" s="33"/>
      <c r="Q173" s="33"/>
    </row>
    <row r="174" spans="1:17">
      <c r="A174" s="33"/>
      <c r="B174" s="33"/>
      <c r="C174" s="33"/>
      <c r="D174" s="33"/>
      <c r="E174" s="33"/>
      <c r="F174" s="33"/>
      <c r="G174" s="33"/>
      <c r="H174" s="33"/>
      <c r="I174" s="33"/>
      <c r="J174" s="33"/>
      <c r="K174" s="33"/>
      <c r="L174" s="35"/>
      <c r="M174" s="33"/>
      <c r="N174" s="33"/>
      <c r="O174" s="33"/>
      <c r="P174" s="33"/>
      <c r="Q174" s="33"/>
    </row>
    <row r="175" spans="1:17">
      <c r="A175" s="33"/>
      <c r="B175" s="33"/>
      <c r="C175" s="33"/>
      <c r="D175" s="33"/>
      <c r="E175" s="33"/>
      <c r="F175" s="33"/>
      <c r="G175" s="33"/>
      <c r="H175" s="33"/>
      <c r="I175" s="33"/>
      <c r="J175" s="33"/>
      <c r="K175" s="33"/>
      <c r="L175" s="35"/>
      <c r="M175" s="33"/>
      <c r="N175" s="33"/>
      <c r="O175" s="33"/>
      <c r="P175" s="33"/>
      <c r="Q175" s="33"/>
    </row>
    <row r="176" spans="1:17">
      <c r="A176" s="33"/>
      <c r="B176" s="33"/>
      <c r="C176" s="33"/>
      <c r="D176" s="33"/>
      <c r="E176" s="33"/>
      <c r="F176" s="33"/>
      <c r="G176" s="33"/>
      <c r="H176" s="33"/>
      <c r="I176" s="33"/>
      <c r="J176" s="33"/>
      <c r="K176" s="33"/>
      <c r="L176" s="35"/>
      <c r="M176" s="33"/>
      <c r="N176" s="33"/>
      <c r="O176" s="33"/>
      <c r="P176" s="33"/>
      <c r="Q176" s="33"/>
    </row>
    <row r="177" spans="1:17">
      <c r="A177" s="33"/>
      <c r="B177" s="33"/>
      <c r="C177" s="33"/>
      <c r="D177" s="33"/>
      <c r="E177" s="33"/>
      <c r="F177" s="33"/>
      <c r="G177" s="33"/>
      <c r="H177" s="33"/>
      <c r="I177" s="33"/>
      <c r="J177" s="33"/>
      <c r="K177" s="33"/>
      <c r="L177" s="35"/>
      <c r="M177" s="33"/>
      <c r="N177" s="33"/>
      <c r="O177" s="33"/>
      <c r="P177" s="33"/>
      <c r="Q177" s="33"/>
    </row>
    <row r="178" spans="1:17">
      <c r="A178" s="33"/>
      <c r="B178" s="33"/>
      <c r="C178" s="33"/>
      <c r="D178" s="33"/>
      <c r="E178" s="33"/>
      <c r="F178" s="33"/>
      <c r="G178" s="33"/>
      <c r="H178" s="33"/>
      <c r="I178" s="33"/>
      <c r="J178" s="33"/>
      <c r="K178" s="33"/>
      <c r="L178" s="35"/>
      <c r="M178" s="33"/>
      <c r="N178" s="33"/>
      <c r="O178" s="33"/>
      <c r="P178" s="33"/>
      <c r="Q178" s="33"/>
    </row>
    <row r="179" spans="1:17">
      <c r="A179" s="33"/>
      <c r="B179" s="33"/>
      <c r="C179" s="33"/>
      <c r="D179" s="33"/>
      <c r="E179" s="33"/>
      <c r="F179" s="33"/>
      <c r="G179" s="33"/>
      <c r="H179" s="33"/>
      <c r="I179" s="33"/>
      <c r="J179" s="33"/>
      <c r="K179" s="33"/>
      <c r="L179" s="35"/>
      <c r="M179" s="33"/>
      <c r="N179" s="33"/>
      <c r="O179" s="33"/>
      <c r="P179" s="33"/>
      <c r="Q179" s="33"/>
    </row>
    <row r="180" spans="1:17">
      <c r="A180" s="33"/>
      <c r="B180" s="33"/>
      <c r="C180" s="33"/>
      <c r="D180" s="33"/>
      <c r="E180" s="33"/>
      <c r="F180" s="33"/>
      <c r="G180" s="33"/>
      <c r="H180" s="33"/>
      <c r="I180" s="33"/>
      <c r="J180" s="33"/>
      <c r="K180" s="33"/>
      <c r="L180" s="35"/>
      <c r="M180" s="33"/>
      <c r="N180" s="33"/>
      <c r="O180" s="33"/>
      <c r="P180" s="33"/>
      <c r="Q180" s="33"/>
    </row>
    <row r="181" spans="1:17">
      <c r="A181" s="33"/>
      <c r="B181" s="33"/>
      <c r="C181" s="33"/>
      <c r="D181" s="33"/>
      <c r="E181" s="33"/>
      <c r="F181" s="33"/>
      <c r="G181" s="33"/>
      <c r="H181" s="33"/>
      <c r="I181" s="33"/>
      <c r="J181" s="33"/>
      <c r="K181" s="33"/>
      <c r="L181" s="35"/>
      <c r="M181" s="33"/>
      <c r="N181" s="33"/>
      <c r="O181" s="33"/>
      <c r="P181" s="33"/>
      <c r="Q181" s="33"/>
    </row>
    <row r="182" spans="1:17">
      <c r="A182" s="33"/>
      <c r="B182" s="33"/>
      <c r="C182" s="33"/>
      <c r="D182" s="33"/>
      <c r="E182" s="33"/>
      <c r="F182" s="33"/>
      <c r="G182" s="33"/>
      <c r="H182" s="33"/>
      <c r="I182" s="33"/>
      <c r="J182" s="33"/>
      <c r="K182" s="33"/>
      <c r="L182" s="35"/>
      <c r="M182" s="33"/>
      <c r="N182" s="33"/>
      <c r="O182" s="33"/>
      <c r="P182" s="33"/>
      <c r="Q182" s="33"/>
    </row>
    <row r="183" spans="1:17">
      <c r="A183" s="33"/>
      <c r="B183" s="33"/>
      <c r="C183" s="33"/>
      <c r="D183" s="33"/>
      <c r="E183" s="33"/>
      <c r="F183" s="33"/>
      <c r="G183" s="33"/>
      <c r="H183" s="33"/>
      <c r="I183" s="33"/>
      <c r="J183" s="33"/>
      <c r="K183" s="33"/>
      <c r="L183" s="35"/>
      <c r="M183" s="33"/>
      <c r="N183" s="33"/>
      <c r="O183" s="33"/>
      <c r="P183" s="33"/>
      <c r="Q183" s="33"/>
    </row>
    <row r="184" spans="1:17">
      <c r="A184" s="33"/>
      <c r="B184" s="33"/>
      <c r="C184" s="33"/>
      <c r="D184" s="33"/>
      <c r="E184" s="33"/>
      <c r="F184" s="33"/>
      <c r="G184" s="33"/>
      <c r="H184" s="33"/>
      <c r="I184" s="33"/>
      <c r="J184" s="33"/>
      <c r="K184" s="33"/>
      <c r="L184" s="35"/>
      <c r="M184" s="33"/>
      <c r="N184" s="33"/>
      <c r="O184" s="33"/>
      <c r="P184" s="33"/>
      <c r="Q184" s="33"/>
    </row>
    <row r="185" spans="1:17">
      <c r="A185" s="33"/>
      <c r="B185" s="33"/>
      <c r="C185" s="33"/>
      <c r="D185" s="33"/>
      <c r="E185" s="33"/>
      <c r="F185" s="33"/>
      <c r="G185" s="33"/>
      <c r="H185" s="33"/>
      <c r="I185" s="33"/>
      <c r="J185" s="33"/>
      <c r="K185" s="33"/>
      <c r="L185" s="35"/>
      <c r="M185" s="33"/>
      <c r="N185" s="33"/>
      <c r="O185" s="33"/>
      <c r="P185" s="33"/>
      <c r="Q185" s="33"/>
    </row>
    <row r="186" spans="1:17">
      <c r="A186" s="33"/>
      <c r="B186" s="33"/>
      <c r="C186" s="33"/>
      <c r="D186" s="33"/>
      <c r="E186" s="33"/>
      <c r="F186" s="33"/>
      <c r="G186" s="33"/>
      <c r="H186" s="33"/>
      <c r="I186" s="33"/>
      <c r="J186" s="33"/>
      <c r="K186" s="33"/>
      <c r="L186" s="35"/>
      <c r="M186" s="33"/>
      <c r="N186" s="33"/>
      <c r="O186" s="33"/>
      <c r="P186" s="33"/>
      <c r="Q186" s="33"/>
    </row>
    <row r="187" spans="1:17">
      <c r="A187" s="33"/>
      <c r="B187" s="33"/>
      <c r="C187" s="33"/>
      <c r="D187" s="33"/>
      <c r="E187" s="33"/>
      <c r="F187" s="33"/>
      <c r="G187" s="33"/>
      <c r="H187" s="33"/>
      <c r="I187" s="33"/>
      <c r="J187" s="33"/>
      <c r="K187" s="33"/>
      <c r="L187" s="35"/>
      <c r="M187" s="33"/>
      <c r="N187" s="33"/>
      <c r="O187" s="33"/>
      <c r="P187" s="33"/>
      <c r="Q187" s="33"/>
    </row>
    <row r="188" spans="1:17">
      <c r="A188" s="33"/>
      <c r="B188" s="33"/>
      <c r="C188" s="33"/>
      <c r="D188" s="33"/>
      <c r="E188" s="33"/>
      <c r="F188" s="33"/>
      <c r="G188" s="33"/>
      <c r="H188" s="33"/>
      <c r="I188" s="33"/>
      <c r="J188" s="33"/>
      <c r="K188" s="33"/>
      <c r="L188" s="35"/>
      <c r="M188" s="33"/>
      <c r="N188" s="33"/>
      <c r="O188" s="33"/>
      <c r="P188" s="33"/>
      <c r="Q188" s="33"/>
    </row>
    <row r="189" spans="1:17">
      <c r="A189" s="33"/>
      <c r="B189" s="33"/>
      <c r="C189" s="33"/>
      <c r="D189" s="33"/>
      <c r="E189" s="33"/>
      <c r="F189" s="33"/>
      <c r="G189" s="33"/>
      <c r="H189" s="33"/>
      <c r="I189" s="33"/>
      <c r="J189" s="33"/>
      <c r="K189" s="33"/>
      <c r="L189" s="35"/>
      <c r="M189" s="33"/>
      <c r="N189" s="33"/>
      <c r="O189" s="33"/>
      <c r="P189" s="33"/>
      <c r="Q189" s="33"/>
    </row>
    <row r="190" spans="1:17">
      <c r="A190" s="33"/>
      <c r="B190" s="33"/>
      <c r="C190" s="33"/>
      <c r="D190" s="33"/>
      <c r="E190" s="33"/>
      <c r="F190" s="33"/>
      <c r="G190" s="33"/>
      <c r="H190" s="33"/>
      <c r="I190" s="33"/>
      <c r="J190" s="33"/>
      <c r="K190" s="33"/>
      <c r="L190" s="35"/>
      <c r="M190" s="33"/>
      <c r="N190" s="33"/>
      <c r="O190" s="33"/>
      <c r="P190" s="33"/>
      <c r="Q190" s="33"/>
    </row>
    <row r="191" spans="1:17">
      <c r="A191" s="33"/>
      <c r="B191" s="33"/>
      <c r="C191" s="33"/>
      <c r="D191" s="33"/>
      <c r="E191" s="33"/>
      <c r="F191" s="33"/>
      <c r="G191" s="33"/>
      <c r="H191" s="33"/>
      <c r="I191" s="33"/>
      <c r="J191" s="33"/>
      <c r="K191" s="33"/>
      <c r="L191" s="35"/>
      <c r="M191" s="33"/>
      <c r="N191" s="33"/>
      <c r="O191" s="33"/>
      <c r="P191" s="33"/>
      <c r="Q191" s="33"/>
    </row>
    <row r="192" spans="1:17">
      <c r="A192" s="33"/>
      <c r="B192" s="33"/>
      <c r="C192" s="33"/>
      <c r="D192" s="33"/>
      <c r="E192" s="33"/>
      <c r="F192" s="33"/>
      <c r="G192" s="33"/>
      <c r="H192" s="33"/>
      <c r="I192" s="33"/>
      <c r="J192" s="33"/>
      <c r="K192" s="33"/>
      <c r="L192" s="35"/>
      <c r="M192" s="33"/>
      <c r="N192" s="33"/>
      <c r="O192" s="33"/>
      <c r="P192" s="33"/>
      <c r="Q192" s="33"/>
    </row>
    <row r="193" spans="1:17">
      <c r="A193" s="33"/>
      <c r="B193" s="33"/>
      <c r="C193" s="33"/>
      <c r="D193" s="33"/>
      <c r="E193" s="33"/>
      <c r="F193" s="33"/>
      <c r="G193" s="33"/>
      <c r="H193" s="33"/>
      <c r="I193" s="33"/>
      <c r="J193" s="33"/>
      <c r="K193" s="33"/>
      <c r="L193" s="35"/>
      <c r="M193" s="33"/>
      <c r="N193" s="33"/>
      <c r="O193" s="33"/>
      <c r="P193" s="33"/>
      <c r="Q193" s="33"/>
    </row>
    <row r="194" spans="1:17">
      <c r="A194" s="33"/>
      <c r="B194" s="33"/>
      <c r="C194" s="33"/>
      <c r="D194" s="33"/>
      <c r="E194" s="33"/>
      <c r="F194" s="33"/>
      <c r="G194" s="33"/>
      <c r="H194" s="33"/>
      <c r="I194" s="33"/>
      <c r="J194" s="33"/>
      <c r="K194" s="33"/>
      <c r="L194" s="35"/>
      <c r="M194" s="33"/>
      <c r="N194" s="33"/>
      <c r="O194" s="33"/>
      <c r="P194" s="33"/>
      <c r="Q194" s="33"/>
    </row>
    <row r="195" spans="1:17">
      <c r="A195" s="33"/>
      <c r="B195" s="33"/>
      <c r="C195" s="33"/>
      <c r="D195" s="33"/>
      <c r="E195" s="33"/>
      <c r="F195" s="33"/>
      <c r="G195" s="33"/>
      <c r="H195" s="33"/>
      <c r="I195" s="33"/>
      <c r="J195" s="33"/>
      <c r="K195" s="33"/>
      <c r="L195" s="35"/>
      <c r="M195" s="33"/>
      <c r="N195" s="33"/>
      <c r="O195" s="33"/>
      <c r="P195" s="33"/>
      <c r="Q195" s="33"/>
    </row>
    <row r="196" spans="1:17">
      <c r="A196" s="33"/>
      <c r="B196" s="33"/>
      <c r="C196" s="33"/>
      <c r="D196" s="33"/>
      <c r="E196" s="33"/>
      <c r="F196" s="33"/>
      <c r="G196" s="33"/>
      <c r="H196" s="33"/>
      <c r="I196" s="33"/>
      <c r="J196" s="33"/>
      <c r="K196" s="33"/>
      <c r="L196" s="35"/>
      <c r="M196" s="33"/>
      <c r="N196" s="33"/>
      <c r="O196" s="33"/>
      <c r="P196" s="33"/>
      <c r="Q196" s="33"/>
    </row>
    <row r="197" spans="1:17">
      <c r="A197" s="33"/>
      <c r="B197" s="33"/>
      <c r="C197" s="33"/>
      <c r="D197" s="33"/>
      <c r="E197" s="33"/>
      <c r="F197" s="33"/>
      <c r="G197" s="33"/>
      <c r="H197" s="33"/>
      <c r="I197" s="33"/>
      <c r="J197" s="33"/>
      <c r="K197" s="33"/>
      <c r="L197" s="35"/>
      <c r="M197" s="33"/>
      <c r="N197" s="33"/>
      <c r="O197" s="33"/>
      <c r="P197" s="33"/>
      <c r="Q197" s="33"/>
    </row>
    <row r="198" spans="1:17">
      <c r="A198" s="33"/>
      <c r="B198" s="33"/>
      <c r="C198" s="33"/>
      <c r="D198" s="33"/>
      <c r="E198" s="33"/>
      <c r="F198" s="33"/>
      <c r="G198" s="33"/>
      <c r="H198" s="33"/>
      <c r="I198" s="33"/>
      <c r="J198" s="33"/>
      <c r="K198" s="33"/>
      <c r="L198" s="35"/>
      <c r="M198" s="33"/>
      <c r="N198" s="33"/>
      <c r="O198" s="33"/>
      <c r="P198" s="33"/>
      <c r="Q198" s="33"/>
    </row>
    <row r="199" spans="1:17">
      <c r="A199" s="33"/>
      <c r="B199" s="33"/>
      <c r="C199" s="33"/>
      <c r="D199" s="33"/>
      <c r="E199" s="33"/>
      <c r="F199" s="33"/>
      <c r="G199" s="33"/>
      <c r="H199" s="33"/>
      <c r="I199" s="33"/>
      <c r="J199" s="33"/>
      <c r="K199" s="33"/>
      <c r="L199" s="35"/>
      <c r="M199" s="33"/>
      <c r="N199" s="33"/>
      <c r="O199" s="33"/>
      <c r="P199" s="33"/>
      <c r="Q199" s="33"/>
    </row>
    <row r="200" spans="1:17">
      <c r="A200" s="33"/>
      <c r="B200" s="33"/>
      <c r="C200" s="33"/>
      <c r="D200" s="33"/>
      <c r="E200" s="33"/>
      <c r="F200" s="33"/>
      <c r="G200" s="33"/>
      <c r="H200" s="33"/>
      <c r="I200" s="33"/>
      <c r="J200" s="33"/>
      <c r="K200" s="33"/>
      <c r="L200" s="35"/>
      <c r="M200" s="33"/>
      <c r="N200" s="33"/>
      <c r="O200" s="33"/>
      <c r="P200" s="33"/>
      <c r="Q200" s="33"/>
    </row>
    <row r="201" spans="1:17">
      <c r="A201" s="33"/>
      <c r="B201" s="33"/>
      <c r="C201" s="33"/>
      <c r="D201" s="33"/>
      <c r="E201" s="33"/>
      <c r="F201" s="33"/>
      <c r="G201" s="33"/>
      <c r="H201" s="33"/>
      <c r="I201" s="33"/>
      <c r="J201" s="33"/>
      <c r="K201" s="33"/>
      <c r="L201" s="35"/>
      <c r="M201" s="33"/>
      <c r="N201" s="33"/>
      <c r="O201" s="33"/>
      <c r="P201" s="33"/>
      <c r="Q201" s="33"/>
    </row>
    <row r="202" spans="1:17">
      <c r="A202" s="33"/>
      <c r="B202" s="33"/>
      <c r="C202" s="33"/>
      <c r="D202" s="33"/>
      <c r="E202" s="33"/>
      <c r="F202" s="33"/>
      <c r="G202" s="33"/>
      <c r="H202" s="33"/>
      <c r="I202" s="33"/>
      <c r="J202" s="33"/>
      <c r="K202" s="33"/>
      <c r="L202" s="35"/>
      <c r="M202" s="33"/>
      <c r="N202" s="33"/>
      <c r="O202" s="33"/>
      <c r="P202" s="33"/>
      <c r="Q202" s="33"/>
    </row>
    <row r="203" spans="1:17">
      <c r="A203" s="33"/>
      <c r="B203" s="33"/>
      <c r="C203" s="33"/>
      <c r="D203" s="33"/>
      <c r="E203" s="33"/>
      <c r="F203" s="33"/>
      <c r="G203" s="33"/>
      <c r="H203" s="33"/>
      <c r="I203" s="33"/>
      <c r="J203" s="33"/>
      <c r="K203" s="33"/>
      <c r="L203" s="35"/>
      <c r="M203" s="33"/>
      <c r="N203" s="33"/>
      <c r="O203" s="33"/>
      <c r="P203" s="33"/>
      <c r="Q203" s="33"/>
    </row>
    <row r="204" spans="1:17">
      <c r="A204" s="33"/>
      <c r="B204" s="33"/>
      <c r="C204" s="33"/>
      <c r="D204" s="33"/>
      <c r="E204" s="33"/>
      <c r="F204" s="33"/>
      <c r="G204" s="33"/>
      <c r="H204" s="33"/>
      <c r="I204" s="33"/>
      <c r="J204" s="33"/>
      <c r="K204" s="33"/>
      <c r="L204" s="35"/>
      <c r="M204" s="33"/>
      <c r="N204" s="33"/>
      <c r="O204" s="33"/>
      <c r="P204" s="33"/>
      <c r="Q204" s="33"/>
    </row>
    <row r="205" spans="1:17">
      <c r="A205" s="33"/>
      <c r="B205" s="33"/>
      <c r="C205" s="33"/>
      <c r="D205" s="33"/>
      <c r="E205" s="33"/>
      <c r="F205" s="33"/>
      <c r="G205" s="33"/>
      <c r="H205" s="33"/>
      <c r="I205" s="33"/>
      <c r="J205" s="33"/>
      <c r="K205" s="33"/>
      <c r="L205" s="35"/>
      <c r="M205" s="33"/>
      <c r="N205" s="33"/>
      <c r="O205" s="33"/>
      <c r="P205" s="33"/>
      <c r="Q205" s="33"/>
    </row>
    <row r="206" spans="1:17">
      <c r="A206" s="33"/>
      <c r="B206" s="33"/>
      <c r="C206" s="33"/>
      <c r="D206" s="33"/>
      <c r="E206" s="33"/>
      <c r="F206" s="33"/>
      <c r="G206" s="33"/>
      <c r="H206" s="33"/>
      <c r="I206" s="33"/>
      <c r="J206" s="33"/>
      <c r="K206" s="33"/>
      <c r="L206" s="35"/>
      <c r="M206" s="33"/>
      <c r="N206" s="33"/>
      <c r="O206" s="33"/>
      <c r="P206" s="33"/>
      <c r="Q206" s="33"/>
    </row>
    <row r="207" spans="1:17">
      <c r="A207" s="33"/>
      <c r="B207" s="33"/>
      <c r="C207" s="33"/>
      <c r="D207" s="33"/>
      <c r="E207" s="33"/>
      <c r="F207" s="33"/>
      <c r="G207" s="33"/>
      <c r="H207" s="33"/>
      <c r="I207" s="33"/>
      <c r="J207" s="33"/>
      <c r="K207" s="33"/>
      <c r="L207" s="35"/>
      <c r="M207" s="33"/>
      <c r="N207" s="33"/>
      <c r="O207" s="33"/>
      <c r="P207" s="33"/>
      <c r="Q207" s="33"/>
    </row>
    <row r="208" spans="1:17">
      <c r="A208" s="33"/>
      <c r="B208" s="33"/>
      <c r="C208" s="33"/>
      <c r="D208" s="33"/>
      <c r="E208" s="33"/>
      <c r="F208" s="33"/>
      <c r="G208" s="33"/>
      <c r="H208" s="33"/>
      <c r="I208" s="33"/>
      <c r="J208" s="33"/>
      <c r="K208" s="33"/>
      <c r="L208" s="35"/>
      <c r="M208" s="33"/>
      <c r="N208" s="33"/>
      <c r="O208" s="33"/>
      <c r="P208" s="33"/>
      <c r="Q208" s="33"/>
    </row>
    <row r="209" spans="1:17">
      <c r="A209" s="33"/>
      <c r="B209" s="33"/>
      <c r="C209" s="33"/>
      <c r="D209" s="33"/>
      <c r="E209" s="33"/>
      <c r="F209" s="33"/>
      <c r="G209" s="33"/>
      <c r="H209" s="33"/>
      <c r="I209" s="33"/>
      <c r="J209" s="33"/>
      <c r="K209" s="33"/>
      <c r="L209" s="35"/>
      <c r="M209" s="33"/>
      <c r="N209" s="33"/>
      <c r="O209" s="33"/>
      <c r="P209" s="33"/>
      <c r="Q209" s="33"/>
    </row>
    <row r="210" spans="1:17">
      <c r="A210" s="33"/>
      <c r="B210" s="33"/>
      <c r="C210" s="33"/>
      <c r="D210" s="33"/>
      <c r="E210" s="33"/>
      <c r="F210" s="33"/>
      <c r="G210" s="33"/>
      <c r="H210" s="33"/>
      <c r="I210" s="33"/>
      <c r="J210" s="33"/>
      <c r="K210" s="33"/>
      <c r="L210" s="35"/>
      <c r="M210" s="33"/>
      <c r="N210" s="33"/>
      <c r="O210" s="33"/>
      <c r="P210" s="33"/>
      <c r="Q210" s="33"/>
    </row>
    <row r="211" spans="1:17">
      <c r="A211" s="33"/>
      <c r="B211" s="33"/>
      <c r="C211" s="33"/>
      <c r="D211" s="33"/>
      <c r="E211" s="33"/>
      <c r="F211" s="33"/>
      <c r="G211" s="33"/>
      <c r="H211" s="33"/>
      <c r="I211" s="33"/>
      <c r="J211" s="33"/>
      <c r="K211" s="33"/>
      <c r="L211" s="35"/>
      <c r="M211" s="33"/>
      <c r="N211" s="33"/>
      <c r="O211" s="33"/>
      <c r="P211" s="33"/>
      <c r="Q211" s="33"/>
    </row>
    <row r="212" spans="1:17">
      <c r="A212" s="33"/>
      <c r="B212" s="33"/>
      <c r="C212" s="33"/>
      <c r="D212" s="33"/>
      <c r="E212" s="33"/>
      <c r="F212" s="33"/>
      <c r="G212" s="33"/>
      <c r="H212" s="33"/>
      <c r="I212" s="33"/>
      <c r="J212" s="33"/>
      <c r="K212" s="33"/>
      <c r="L212" s="35"/>
      <c r="M212" s="33"/>
      <c r="N212" s="33"/>
      <c r="O212" s="33"/>
      <c r="P212" s="33"/>
      <c r="Q212" s="33"/>
    </row>
    <row r="213" spans="1:17">
      <c r="A213" s="33"/>
      <c r="B213" s="33"/>
      <c r="C213" s="33"/>
      <c r="D213" s="33"/>
      <c r="E213" s="33"/>
      <c r="F213" s="33"/>
      <c r="G213" s="33"/>
      <c r="H213" s="33"/>
      <c r="I213" s="33"/>
      <c r="J213" s="33"/>
      <c r="K213" s="33"/>
      <c r="L213" s="35"/>
      <c r="M213" s="33"/>
      <c r="N213" s="33"/>
      <c r="O213" s="33"/>
      <c r="P213" s="33"/>
      <c r="Q213" s="33"/>
    </row>
    <row r="214" spans="1:17">
      <c r="A214" s="33"/>
      <c r="B214" s="33"/>
      <c r="C214" s="33"/>
      <c r="D214" s="33"/>
      <c r="E214" s="33"/>
      <c r="F214" s="33"/>
      <c r="G214" s="33"/>
      <c r="H214" s="33"/>
      <c r="I214" s="33"/>
      <c r="J214" s="33"/>
      <c r="K214" s="33"/>
      <c r="L214" s="35"/>
      <c r="M214" s="33"/>
      <c r="N214" s="33"/>
      <c r="O214" s="33"/>
      <c r="P214" s="33"/>
      <c r="Q214" s="33"/>
    </row>
    <row r="215" spans="1:17">
      <c r="A215" s="33"/>
      <c r="B215" s="33"/>
      <c r="C215" s="33"/>
      <c r="D215" s="33"/>
      <c r="E215" s="33"/>
      <c r="F215" s="33"/>
      <c r="G215" s="33"/>
      <c r="H215" s="33"/>
      <c r="I215" s="33"/>
      <c r="J215" s="33"/>
      <c r="K215" s="33"/>
      <c r="L215" s="35"/>
      <c r="M215" s="33"/>
      <c r="N215" s="33"/>
      <c r="O215" s="33"/>
      <c r="P215" s="33"/>
      <c r="Q215" s="33"/>
    </row>
    <row r="216" spans="1:17">
      <c r="A216" s="33"/>
      <c r="B216" s="33"/>
      <c r="C216" s="33"/>
      <c r="D216" s="33"/>
      <c r="E216" s="33"/>
      <c r="F216" s="33"/>
      <c r="G216" s="33"/>
      <c r="H216" s="33"/>
      <c r="I216" s="33"/>
      <c r="J216" s="33"/>
      <c r="K216" s="33"/>
      <c r="L216" s="35"/>
      <c r="M216" s="33"/>
      <c r="N216" s="33"/>
      <c r="O216" s="33"/>
      <c r="P216" s="33"/>
      <c r="Q216" s="33"/>
    </row>
    <row r="217" spans="1:17">
      <c r="A217" s="33"/>
      <c r="B217" s="33"/>
      <c r="C217" s="33"/>
      <c r="D217" s="33"/>
      <c r="E217" s="33"/>
      <c r="F217" s="33"/>
      <c r="G217" s="33"/>
      <c r="H217" s="33"/>
      <c r="I217" s="33"/>
      <c r="J217" s="33"/>
      <c r="K217" s="33"/>
      <c r="L217" s="35"/>
      <c r="M217" s="33"/>
      <c r="N217" s="33"/>
      <c r="O217" s="33"/>
      <c r="P217" s="33"/>
      <c r="Q217" s="33"/>
    </row>
    <row r="218" spans="1:17">
      <c r="A218" s="33"/>
      <c r="B218" s="33"/>
      <c r="C218" s="33"/>
      <c r="D218" s="33"/>
      <c r="E218" s="33"/>
      <c r="F218" s="33"/>
      <c r="G218" s="33"/>
      <c r="H218" s="33"/>
      <c r="I218" s="33"/>
      <c r="J218" s="33"/>
      <c r="K218" s="33"/>
      <c r="L218" s="35"/>
      <c r="M218" s="33"/>
      <c r="N218" s="33"/>
      <c r="O218" s="33"/>
      <c r="P218" s="33"/>
      <c r="Q218" s="33"/>
    </row>
    <row r="219" spans="1:17">
      <c r="A219" s="33"/>
      <c r="B219" s="33"/>
      <c r="C219" s="33"/>
      <c r="D219" s="33"/>
      <c r="E219" s="33"/>
      <c r="F219" s="33"/>
      <c r="G219" s="33"/>
      <c r="H219" s="33"/>
      <c r="I219" s="33"/>
      <c r="J219" s="33"/>
      <c r="K219" s="33"/>
      <c r="L219" s="35"/>
      <c r="M219" s="33"/>
      <c r="N219" s="33"/>
      <c r="O219" s="33"/>
      <c r="P219" s="33"/>
      <c r="Q219" s="33"/>
    </row>
    <row r="220" spans="1:17">
      <c r="A220" s="33"/>
      <c r="B220" s="33"/>
      <c r="C220" s="33"/>
      <c r="D220" s="33"/>
      <c r="E220" s="33"/>
      <c r="F220" s="33"/>
      <c r="G220" s="33"/>
      <c r="H220" s="33"/>
      <c r="I220" s="33"/>
      <c r="J220" s="33"/>
      <c r="K220" s="33"/>
      <c r="L220" s="35"/>
      <c r="M220" s="33"/>
      <c r="N220" s="33"/>
      <c r="O220" s="33"/>
      <c r="P220" s="33"/>
      <c r="Q220" s="33"/>
    </row>
    <row r="221" spans="1:17">
      <c r="A221" s="33"/>
      <c r="B221" s="33"/>
      <c r="C221" s="33"/>
      <c r="D221" s="33"/>
      <c r="E221" s="33"/>
      <c r="F221" s="33"/>
      <c r="G221" s="33"/>
      <c r="H221" s="33"/>
      <c r="I221" s="33"/>
      <c r="J221" s="33"/>
      <c r="K221" s="33"/>
      <c r="L221" s="35"/>
      <c r="M221" s="33"/>
      <c r="N221" s="33"/>
      <c r="O221" s="33"/>
      <c r="P221" s="33"/>
      <c r="Q221" s="33"/>
    </row>
    <row r="222" spans="1:17">
      <c r="A222" s="33"/>
      <c r="B222" s="33"/>
      <c r="C222" s="33"/>
      <c r="D222" s="33"/>
      <c r="E222" s="33"/>
      <c r="F222" s="33"/>
      <c r="G222" s="33"/>
      <c r="H222" s="33"/>
      <c r="I222" s="33"/>
      <c r="J222" s="33"/>
      <c r="K222" s="33"/>
      <c r="L222" s="35"/>
      <c r="M222" s="33"/>
      <c r="N222" s="33"/>
      <c r="O222" s="33"/>
      <c r="P222" s="33"/>
      <c r="Q222" s="33"/>
    </row>
    <row r="223" spans="1:17">
      <c r="A223" s="33"/>
      <c r="B223" s="33"/>
      <c r="C223" s="33"/>
      <c r="D223" s="33"/>
      <c r="E223" s="33"/>
      <c r="F223" s="33"/>
      <c r="G223" s="33"/>
      <c r="H223" s="33"/>
      <c r="I223" s="33"/>
      <c r="J223" s="33"/>
      <c r="K223" s="33"/>
      <c r="L223" s="35"/>
      <c r="M223" s="33"/>
      <c r="N223" s="33"/>
      <c r="O223" s="33"/>
      <c r="P223" s="33"/>
      <c r="Q223" s="33"/>
    </row>
    <row r="224" spans="1:17">
      <c r="A224" s="33"/>
      <c r="B224" s="33"/>
      <c r="C224" s="33"/>
      <c r="D224" s="33"/>
      <c r="E224" s="33"/>
      <c r="F224" s="33"/>
      <c r="G224" s="33"/>
      <c r="H224" s="33"/>
      <c r="I224" s="33"/>
      <c r="J224" s="33"/>
      <c r="K224" s="33"/>
      <c r="L224" s="35"/>
      <c r="M224" s="33"/>
      <c r="N224" s="33"/>
      <c r="O224" s="33"/>
      <c r="P224" s="33"/>
      <c r="Q224" s="33"/>
    </row>
    <row r="225" spans="1:17">
      <c r="A225" s="33"/>
      <c r="B225" s="33"/>
      <c r="C225" s="33"/>
      <c r="D225" s="33"/>
      <c r="E225" s="33"/>
      <c r="F225" s="33"/>
      <c r="G225" s="33"/>
      <c r="H225" s="33"/>
      <c r="I225" s="33"/>
      <c r="J225" s="33"/>
      <c r="K225" s="33"/>
      <c r="L225" s="35"/>
      <c r="M225" s="33"/>
      <c r="N225" s="33"/>
      <c r="O225" s="33"/>
      <c r="P225" s="33"/>
      <c r="Q225" s="33"/>
    </row>
    <row r="226" spans="1:17">
      <c r="A226" s="33"/>
      <c r="B226" s="33"/>
      <c r="C226" s="33"/>
      <c r="D226" s="33"/>
      <c r="E226" s="33"/>
      <c r="F226" s="33"/>
      <c r="G226" s="33"/>
      <c r="H226" s="33"/>
      <c r="I226" s="33"/>
      <c r="J226" s="33"/>
      <c r="K226" s="33"/>
      <c r="L226" s="35"/>
      <c r="M226" s="33"/>
      <c r="N226" s="33"/>
      <c r="O226" s="33"/>
      <c r="P226" s="33"/>
      <c r="Q226" s="33"/>
    </row>
    <row r="227" spans="1:17">
      <c r="A227" s="33"/>
      <c r="B227" s="33"/>
      <c r="C227" s="33"/>
      <c r="D227" s="33"/>
      <c r="E227" s="33"/>
      <c r="F227" s="33"/>
      <c r="G227" s="33"/>
      <c r="H227" s="33"/>
      <c r="I227" s="33"/>
      <c r="J227" s="33"/>
      <c r="K227" s="33"/>
      <c r="L227" s="35"/>
      <c r="M227" s="33"/>
      <c r="N227" s="33"/>
      <c r="O227" s="33"/>
      <c r="P227" s="33"/>
      <c r="Q227" s="33"/>
    </row>
    <row r="228" spans="1:17">
      <c r="A228" s="33"/>
      <c r="B228" s="33"/>
      <c r="C228" s="33"/>
      <c r="D228" s="33"/>
      <c r="E228" s="33"/>
      <c r="F228" s="33"/>
      <c r="G228" s="33"/>
      <c r="H228" s="33"/>
      <c r="I228" s="33"/>
      <c r="J228" s="33"/>
      <c r="K228" s="33"/>
      <c r="L228" s="35"/>
      <c r="M228" s="33"/>
      <c r="N228" s="33"/>
      <c r="O228" s="33"/>
      <c r="P228" s="33"/>
      <c r="Q228" s="33"/>
    </row>
    <row r="229" spans="1:17">
      <c r="A229" s="33"/>
      <c r="B229" s="33"/>
      <c r="C229" s="33"/>
      <c r="D229" s="33"/>
      <c r="E229" s="33"/>
      <c r="F229" s="33"/>
      <c r="G229" s="33"/>
      <c r="H229" s="33"/>
      <c r="I229" s="33"/>
      <c r="J229" s="33"/>
      <c r="K229" s="33"/>
      <c r="L229" s="35"/>
      <c r="M229" s="33"/>
      <c r="N229" s="33"/>
      <c r="O229" s="33"/>
      <c r="P229" s="33"/>
      <c r="Q229" s="33"/>
    </row>
    <row r="230" spans="1:17">
      <c r="A230" s="33"/>
      <c r="B230" s="33"/>
      <c r="C230" s="33"/>
      <c r="D230" s="33"/>
      <c r="E230" s="33"/>
      <c r="F230" s="33"/>
      <c r="G230" s="33"/>
      <c r="H230" s="33"/>
      <c r="I230" s="33"/>
      <c r="J230" s="33"/>
      <c r="K230" s="33"/>
      <c r="L230" s="35"/>
      <c r="M230" s="33"/>
      <c r="N230" s="33"/>
      <c r="O230" s="33"/>
      <c r="P230" s="33"/>
      <c r="Q230" s="33"/>
    </row>
    <row r="231" spans="1:17">
      <c r="A231" s="33"/>
      <c r="B231" s="33"/>
      <c r="C231" s="33"/>
      <c r="D231" s="33"/>
      <c r="E231" s="33"/>
      <c r="F231" s="33"/>
      <c r="G231" s="33"/>
      <c r="H231" s="33"/>
      <c r="I231" s="33"/>
      <c r="J231" s="33"/>
      <c r="K231" s="33"/>
      <c r="L231" s="35"/>
      <c r="M231" s="33"/>
      <c r="N231" s="33"/>
      <c r="O231" s="33"/>
      <c r="P231" s="33"/>
      <c r="Q231" s="33"/>
    </row>
    <row r="232" spans="1:17">
      <c r="A232" s="33"/>
      <c r="B232" s="33"/>
      <c r="C232" s="33"/>
      <c r="D232" s="33"/>
      <c r="E232" s="33"/>
      <c r="F232" s="33"/>
      <c r="G232" s="33"/>
      <c r="H232" s="33"/>
      <c r="I232" s="33"/>
      <c r="J232" s="33"/>
      <c r="K232" s="33"/>
      <c r="L232" s="35"/>
      <c r="M232" s="33"/>
      <c r="N232" s="33"/>
      <c r="O232" s="33"/>
      <c r="P232" s="33"/>
      <c r="Q232" s="33"/>
    </row>
    <row r="233" spans="1:17">
      <c r="A233" s="33"/>
      <c r="B233" s="33"/>
      <c r="C233" s="33"/>
      <c r="D233" s="33"/>
      <c r="E233" s="33"/>
      <c r="F233" s="33"/>
      <c r="G233" s="33"/>
      <c r="H233" s="33"/>
      <c r="I233" s="33"/>
      <c r="J233" s="33"/>
      <c r="K233" s="33"/>
      <c r="L233" s="35"/>
      <c r="M233" s="33"/>
      <c r="N233" s="33"/>
      <c r="O233" s="33"/>
      <c r="P233" s="33"/>
      <c r="Q233" s="33"/>
    </row>
    <row r="234" spans="1:17">
      <c r="A234" s="33"/>
      <c r="B234" s="33"/>
      <c r="C234" s="33"/>
      <c r="D234" s="33"/>
      <c r="E234" s="33"/>
      <c r="F234" s="33"/>
      <c r="G234" s="33"/>
      <c r="H234" s="33"/>
      <c r="I234" s="33"/>
      <c r="J234" s="33"/>
      <c r="K234" s="33"/>
      <c r="L234" s="35"/>
      <c r="M234" s="33"/>
      <c r="N234" s="33"/>
      <c r="O234" s="33"/>
      <c r="P234" s="33"/>
      <c r="Q234" s="33"/>
    </row>
    <row r="235" spans="1:17">
      <c r="A235" s="33"/>
      <c r="B235" s="33"/>
      <c r="C235" s="33"/>
      <c r="D235" s="33"/>
      <c r="E235" s="33"/>
      <c r="F235" s="33"/>
      <c r="G235" s="33"/>
      <c r="H235" s="33"/>
      <c r="I235" s="33"/>
      <c r="J235" s="33"/>
      <c r="K235" s="33"/>
      <c r="L235" s="35"/>
      <c r="M235" s="33"/>
      <c r="N235" s="33"/>
      <c r="O235" s="33"/>
      <c r="P235" s="33"/>
      <c r="Q235" s="33"/>
    </row>
    <row r="236" spans="1:17">
      <c r="A236" s="33"/>
      <c r="B236" s="33"/>
      <c r="C236" s="33"/>
      <c r="D236" s="33"/>
      <c r="E236" s="33"/>
      <c r="F236" s="33"/>
      <c r="G236" s="33"/>
      <c r="H236" s="33"/>
      <c r="I236" s="33"/>
      <c r="J236" s="33"/>
      <c r="K236" s="33"/>
      <c r="L236" s="35"/>
      <c r="M236" s="33"/>
      <c r="N236" s="33"/>
      <c r="O236" s="33"/>
      <c r="P236" s="33"/>
      <c r="Q236" s="33"/>
    </row>
    <row r="237" spans="1:17">
      <c r="A237" s="33"/>
      <c r="B237" s="33"/>
      <c r="C237" s="33"/>
      <c r="D237" s="33"/>
      <c r="E237" s="33"/>
      <c r="F237" s="33"/>
      <c r="G237" s="33"/>
      <c r="H237" s="33"/>
      <c r="I237" s="33"/>
      <c r="J237" s="33"/>
      <c r="K237" s="33"/>
      <c r="L237" s="35"/>
      <c r="M237" s="33"/>
      <c r="N237" s="33"/>
      <c r="O237" s="33"/>
      <c r="P237" s="33"/>
      <c r="Q237" s="33"/>
    </row>
    <row r="238" spans="1:17">
      <c r="A238" s="33"/>
      <c r="B238" s="33"/>
      <c r="C238" s="33"/>
      <c r="D238" s="33"/>
      <c r="E238" s="33"/>
      <c r="F238" s="33"/>
      <c r="G238" s="33"/>
      <c r="H238" s="33"/>
      <c r="I238" s="33"/>
      <c r="J238" s="33"/>
      <c r="K238" s="33"/>
      <c r="L238" s="35"/>
      <c r="M238" s="33"/>
      <c r="N238" s="33"/>
      <c r="O238" s="33"/>
      <c r="P238" s="33"/>
      <c r="Q238" s="33"/>
    </row>
    <row r="239" spans="1:17">
      <c r="A239" s="33"/>
      <c r="B239" s="33"/>
      <c r="C239" s="33"/>
      <c r="D239" s="33"/>
      <c r="E239" s="33"/>
      <c r="F239" s="33"/>
      <c r="G239" s="33"/>
      <c r="H239" s="33"/>
      <c r="I239" s="33"/>
      <c r="J239" s="33"/>
      <c r="K239" s="33"/>
      <c r="L239" s="35"/>
      <c r="M239" s="33"/>
      <c r="N239" s="33"/>
      <c r="O239" s="33"/>
      <c r="P239" s="33"/>
      <c r="Q239" s="33"/>
    </row>
    <row r="240" spans="1:17">
      <c r="A240" s="33"/>
      <c r="B240" s="33"/>
      <c r="C240" s="33"/>
      <c r="D240" s="33"/>
      <c r="E240" s="33"/>
      <c r="F240" s="33"/>
      <c r="G240" s="33"/>
      <c r="H240" s="33"/>
      <c r="I240" s="33"/>
      <c r="J240" s="33"/>
      <c r="K240" s="33"/>
      <c r="L240" s="35"/>
      <c r="M240" s="33"/>
      <c r="N240" s="33"/>
      <c r="O240" s="33"/>
      <c r="P240" s="33"/>
      <c r="Q240" s="33"/>
    </row>
    <row r="241" spans="1:17">
      <c r="A241" s="33"/>
      <c r="B241" s="33"/>
      <c r="C241" s="33"/>
      <c r="D241" s="33"/>
      <c r="E241" s="33"/>
      <c r="F241" s="33"/>
      <c r="G241" s="33"/>
      <c r="H241" s="33"/>
      <c r="I241" s="33"/>
      <c r="J241" s="33"/>
      <c r="K241" s="33"/>
      <c r="L241" s="35"/>
      <c r="M241" s="33"/>
      <c r="N241" s="33"/>
      <c r="O241" s="33"/>
      <c r="P241" s="33"/>
      <c r="Q241" s="33"/>
    </row>
    <row r="242" spans="1:17">
      <c r="A242" s="33"/>
      <c r="B242" s="33"/>
      <c r="C242" s="33"/>
      <c r="D242" s="33"/>
      <c r="E242" s="33"/>
      <c r="F242" s="33"/>
      <c r="G242" s="33"/>
      <c r="H242" s="33"/>
      <c r="I242" s="33"/>
      <c r="J242" s="33"/>
      <c r="K242" s="33"/>
      <c r="L242" s="35"/>
      <c r="M242" s="33"/>
      <c r="N242" s="33"/>
      <c r="O242" s="33"/>
      <c r="P242" s="33"/>
      <c r="Q242" s="33"/>
    </row>
    <row r="243" spans="1:17">
      <c r="A243" s="33"/>
      <c r="B243" s="33"/>
      <c r="C243" s="33"/>
      <c r="D243" s="33"/>
      <c r="E243" s="33"/>
      <c r="F243" s="33"/>
      <c r="G243" s="33"/>
      <c r="H243" s="33"/>
      <c r="I243" s="33"/>
      <c r="J243" s="33"/>
      <c r="K243" s="33"/>
      <c r="L243" s="35"/>
      <c r="M243" s="33"/>
      <c r="N243" s="33"/>
      <c r="O243" s="33"/>
      <c r="P243" s="33"/>
      <c r="Q243" s="33"/>
    </row>
    <row r="244" spans="1:17">
      <c r="A244" s="33"/>
      <c r="B244" s="33"/>
      <c r="C244" s="33"/>
      <c r="D244" s="33"/>
      <c r="E244" s="33"/>
      <c r="F244" s="33"/>
      <c r="G244" s="33"/>
      <c r="H244" s="33"/>
      <c r="I244" s="33"/>
      <c r="J244" s="33"/>
      <c r="K244" s="33"/>
      <c r="L244" s="35"/>
      <c r="M244" s="33"/>
      <c r="N244" s="33"/>
      <c r="O244" s="33"/>
      <c r="P244" s="33"/>
      <c r="Q244" s="33"/>
    </row>
    <row r="245" spans="1:17">
      <c r="A245" s="33"/>
      <c r="B245" s="33"/>
      <c r="C245" s="33"/>
      <c r="D245" s="33"/>
      <c r="E245" s="33"/>
      <c r="F245" s="33"/>
      <c r="G245" s="33"/>
      <c r="H245" s="33"/>
      <c r="I245" s="33"/>
      <c r="J245" s="33"/>
      <c r="K245" s="33"/>
      <c r="L245" s="35"/>
      <c r="M245" s="33"/>
      <c r="N245" s="33"/>
      <c r="O245" s="33"/>
      <c r="P245" s="33"/>
      <c r="Q245" s="33"/>
    </row>
    <row r="246" spans="1:17">
      <c r="A246" s="33"/>
      <c r="B246" s="33"/>
      <c r="C246" s="33"/>
      <c r="D246" s="33"/>
      <c r="E246" s="33"/>
      <c r="F246" s="33"/>
      <c r="G246" s="33"/>
      <c r="H246" s="33"/>
      <c r="I246" s="33"/>
      <c r="J246" s="33"/>
      <c r="K246" s="33"/>
      <c r="L246" s="35"/>
      <c r="M246" s="33"/>
      <c r="N246" s="33"/>
      <c r="O246" s="33"/>
      <c r="P246" s="33"/>
      <c r="Q246" s="33"/>
    </row>
    <row r="247" spans="1:17">
      <c r="A247" s="33"/>
      <c r="B247" s="33"/>
      <c r="C247" s="33"/>
      <c r="D247" s="33"/>
      <c r="E247" s="33"/>
      <c r="F247" s="33"/>
      <c r="G247" s="33"/>
      <c r="H247" s="33"/>
      <c r="I247" s="33"/>
      <c r="J247" s="33"/>
      <c r="K247" s="33"/>
      <c r="L247" s="35"/>
      <c r="M247" s="33"/>
      <c r="N247" s="33"/>
      <c r="O247" s="33"/>
      <c r="P247" s="33"/>
      <c r="Q247" s="33"/>
    </row>
    <row r="248" spans="1:17">
      <c r="A248" s="33"/>
      <c r="B248" s="33"/>
      <c r="C248" s="33"/>
      <c r="D248" s="33"/>
      <c r="E248" s="33"/>
      <c r="F248" s="33"/>
      <c r="G248" s="33"/>
      <c r="H248" s="33"/>
      <c r="I248" s="33"/>
      <c r="J248" s="33"/>
      <c r="K248" s="33"/>
      <c r="L248" s="35"/>
      <c r="M248" s="33"/>
      <c r="N248" s="33"/>
      <c r="O248" s="33"/>
      <c r="P248" s="33"/>
      <c r="Q248" s="33"/>
    </row>
    <row r="249" spans="1:17">
      <c r="A249" s="33"/>
      <c r="B249" s="33"/>
      <c r="C249" s="33"/>
      <c r="D249" s="33"/>
      <c r="E249" s="33"/>
      <c r="F249" s="33"/>
      <c r="G249" s="33"/>
      <c r="H249" s="33"/>
      <c r="I249" s="33"/>
      <c r="J249" s="33"/>
      <c r="K249" s="33"/>
      <c r="L249" s="35"/>
      <c r="M249" s="33"/>
      <c r="N249" s="33"/>
      <c r="O249" s="33"/>
      <c r="P249" s="33"/>
      <c r="Q249" s="33"/>
    </row>
    <row r="250" spans="1:17">
      <c r="A250" s="33"/>
      <c r="B250" s="33"/>
      <c r="C250" s="33"/>
      <c r="D250" s="33"/>
      <c r="E250" s="33"/>
      <c r="F250" s="33"/>
      <c r="G250" s="33"/>
      <c r="H250" s="33"/>
      <c r="I250" s="33"/>
      <c r="J250" s="33"/>
      <c r="K250" s="33"/>
      <c r="L250" s="35"/>
      <c r="M250" s="33"/>
      <c r="N250" s="33"/>
      <c r="O250" s="33"/>
      <c r="P250" s="33"/>
      <c r="Q250" s="33"/>
    </row>
    <row r="251" spans="1:17">
      <c r="A251" s="33"/>
      <c r="B251" s="33"/>
      <c r="C251" s="33"/>
      <c r="D251" s="33"/>
      <c r="E251" s="33"/>
      <c r="F251" s="33"/>
      <c r="G251" s="33"/>
      <c r="H251" s="33"/>
      <c r="I251" s="33"/>
      <c r="J251" s="33"/>
      <c r="K251" s="33"/>
      <c r="L251" s="35"/>
      <c r="M251" s="33"/>
      <c r="N251" s="33"/>
      <c r="O251" s="33"/>
      <c r="P251" s="33"/>
      <c r="Q251" s="33"/>
    </row>
    <row r="252" spans="1:17">
      <c r="A252" s="33"/>
      <c r="B252" s="33"/>
      <c r="C252" s="33"/>
      <c r="D252" s="33"/>
      <c r="E252" s="33"/>
      <c r="F252" s="33"/>
      <c r="G252" s="33"/>
      <c r="H252" s="33"/>
      <c r="I252" s="33"/>
      <c r="J252" s="33"/>
      <c r="K252" s="33"/>
      <c r="L252" s="35"/>
      <c r="M252" s="33"/>
      <c r="N252" s="33"/>
      <c r="O252" s="33"/>
      <c r="P252" s="33"/>
      <c r="Q252" s="33"/>
    </row>
    <row r="253" spans="1:17">
      <c r="A253" s="33"/>
      <c r="B253" s="33"/>
      <c r="C253" s="33"/>
      <c r="D253" s="33"/>
      <c r="E253" s="33"/>
      <c r="F253" s="33"/>
      <c r="G253" s="33"/>
      <c r="H253" s="33"/>
      <c r="I253" s="33"/>
      <c r="J253" s="33"/>
      <c r="K253" s="33"/>
      <c r="L253" s="35"/>
      <c r="M253" s="33"/>
      <c r="N253" s="33"/>
      <c r="O253" s="33"/>
      <c r="P253" s="33"/>
      <c r="Q253" s="33"/>
    </row>
    <row r="254" spans="1:17">
      <c r="A254" s="33"/>
      <c r="B254" s="33"/>
      <c r="C254" s="33"/>
      <c r="D254" s="33"/>
      <c r="E254" s="33"/>
      <c r="F254" s="33"/>
      <c r="G254" s="33"/>
      <c r="H254" s="33"/>
      <c r="I254" s="33"/>
      <c r="J254" s="33"/>
      <c r="K254" s="33"/>
      <c r="L254" s="35"/>
      <c r="M254" s="33"/>
      <c r="N254" s="33"/>
      <c r="O254" s="33"/>
      <c r="P254" s="33"/>
      <c r="Q254" s="33"/>
    </row>
    <row r="255" spans="1:17">
      <c r="A255" s="33"/>
      <c r="B255" s="33"/>
      <c r="C255" s="33"/>
      <c r="D255" s="33"/>
      <c r="E255" s="33"/>
      <c r="F255" s="33"/>
      <c r="G255" s="33"/>
      <c r="H255" s="33"/>
      <c r="I255" s="33"/>
      <c r="J255" s="33"/>
      <c r="K255" s="33"/>
      <c r="L255" s="35"/>
      <c r="M255" s="33"/>
      <c r="N255" s="33"/>
      <c r="O255" s="33"/>
      <c r="P255" s="33"/>
      <c r="Q255" s="33"/>
    </row>
    <row r="256" spans="1:17">
      <c r="A256" s="33"/>
      <c r="B256" s="33"/>
      <c r="C256" s="33"/>
      <c r="D256" s="33"/>
      <c r="E256" s="33"/>
      <c r="F256" s="33"/>
      <c r="G256" s="33"/>
      <c r="H256" s="33"/>
      <c r="I256" s="33"/>
      <c r="J256" s="33"/>
      <c r="K256" s="33"/>
      <c r="L256" s="35"/>
      <c r="M256" s="33"/>
      <c r="N256" s="33"/>
      <c r="O256" s="33"/>
      <c r="P256" s="33"/>
      <c r="Q256" s="33"/>
    </row>
    <row r="257" spans="1:17">
      <c r="A257" s="33"/>
      <c r="B257" s="33"/>
      <c r="C257" s="33"/>
      <c r="D257" s="33"/>
      <c r="E257" s="33"/>
      <c r="F257" s="33"/>
      <c r="G257" s="33"/>
      <c r="H257" s="33"/>
      <c r="I257" s="33"/>
      <c r="J257" s="33"/>
      <c r="K257" s="33"/>
      <c r="L257" s="35"/>
      <c r="M257" s="33"/>
      <c r="N257" s="33"/>
      <c r="O257" s="33"/>
      <c r="P257" s="33"/>
      <c r="Q257" s="33"/>
    </row>
    <row r="258" spans="1:17">
      <c r="A258" s="33"/>
      <c r="B258" s="33"/>
      <c r="C258" s="33"/>
      <c r="D258" s="33"/>
      <c r="E258" s="33"/>
      <c r="F258" s="33"/>
      <c r="G258" s="33"/>
      <c r="H258" s="33"/>
      <c r="I258" s="33"/>
      <c r="J258" s="33"/>
      <c r="K258" s="33"/>
      <c r="L258" s="35"/>
      <c r="M258" s="33"/>
      <c r="N258" s="33"/>
      <c r="O258" s="33"/>
      <c r="P258" s="33"/>
      <c r="Q258" s="33"/>
    </row>
    <row r="259" spans="1:17">
      <c r="A259" s="33"/>
      <c r="B259" s="33"/>
      <c r="C259" s="33"/>
      <c r="D259" s="33"/>
      <c r="E259" s="33"/>
      <c r="F259" s="33"/>
      <c r="G259" s="33"/>
      <c r="H259" s="33"/>
      <c r="I259" s="33"/>
      <c r="J259" s="33"/>
      <c r="K259" s="33"/>
      <c r="L259" s="35"/>
      <c r="M259" s="33"/>
      <c r="N259" s="33"/>
      <c r="O259" s="33"/>
      <c r="P259" s="33"/>
      <c r="Q259" s="33"/>
    </row>
    <row r="260" spans="1:17">
      <c r="A260" s="33"/>
      <c r="B260" s="33"/>
      <c r="C260" s="33"/>
      <c r="D260" s="33"/>
      <c r="E260" s="33"/>
      <c r="F260" s="33"/>
      <c r="G260" s="33"/>
      <c r="H260" s="33"/>
      <c r="I260" s="33"/>
      <c r="J260" s="33"/>
      <c r="K260" s="33"/>
      <c r="L260" s="35"/>
      <c r="M260" s="33"/>
      <c r="N260" s="33"/>
      <c r="O260" s="33"/>
      <c r="P260" s="33"/>
      <c r="Q260" s="33"/>
    </row>
    <row r="261" spans="1:17">
      <c r="A261" s="33"/>
      <c r="B261" s="33"/>
      <c r="C261" s="33"/>
      <c r="D261" s="33"/>
      <c r="E261" s="33"/>
      <c r="F261" s="33"/>
      <c r="G261" s="33"/>
      <c r="H261" s="33"/>
      <c r="I261" s="33"/>
      <c r="J261" s="33"/>
      <c r="K261" s="33"/>
      <c r="L261" s="35"/>
      <c r="M261" s="33"/>
      <c r="N261" s="33"/>
      <c r="O261" s="33"/>
      <c r="P261" s="33"/>
      <c r="Q261" s="33"/>
    </row>
    <row r="262" spans="1:17">
      <c r="A262" s="33"/>
      <c r="B262" s="33"/>
      <c r="C262" s="33"/>
      <c r="D262" s="33"/>
      <c r="E262" s="33"/>
      <c r="F262" s="33"/>
      <c r="G262" s="33"/>
      <c r="H262" s="33"/>
      <c r="I262" s="33"/>
      <c r="J262" s="33"/>
      <c r="K262" s="33"/>
      <c r="L262" s="35"/>
      <c r="M262" s="33"/>
      <c r="N262" s="33"/>
      <c r="O262" s="33"/>
      <c r="P262" s="33"/>
      <c r="Q262" s="33"/>
    </row>
    <row r="263" spans="1:17">
      <c r="A263" s="33"/>
      <c r="B263" s="33"/>
      <c r="C263" s="33"/>
      <c r="D263" s="33"/>
      <c r="E263" s="33"/>
      <c r="F263" s="33"/>
      <c r="G263" s="33"/>
      <c r="H263" s="33"/>
      <c r="I263" s="33"/>
      <c r="J263" s="33"/>
      <c r="K263" s="33"/>
      <c r="L263" s="35"/>
      <c r="M263" s="33"/>
      <c r="N263" s="33"/>
      <c r="O263" s="33"/>
      <c r="P263" s="33"/>
      <c r="Q263" s="33"/>
    </row>
    <row r="264" spans="1:17">
      <c r="A264" s="33"/>
      <c r="B264" s="33"/>
      <c r="C264" s="33"/>
      <c r="D264" s="33"/>
      <c r="E264" s="33"/>
      <c r="F264" s="33"/>
      <c r="G264" s="33"/>
      <c r="H264" s="33"/>
      <c r="I264" s="33"/>
      <c r="J264" s="33"/>
      <c r="K264" s="33"/>
      <c r="L264" s="35"/>
      <c r="M264" s="33"/>
      <c r="N264" s="33"/>
      <c r="O264" s="33"/>
      <c r="P264" s="33"/>
      <c r="Q264" s="33"/>
    </row>
    <row r="265" spans="1:17">
      <c r="A265" s="33"/>
      <c r="B265" s="33"/>
      <c r="C265" s="33"/>
      <c r="D265" s="33"/>
      <c r="E265" s="33"/>
      <c r="F265" s="33"/>
      <c r="G265" s="33"/>
      <c r="H265" s="33"/>
      <c r="I265" s="33"/>
      <c r="J265" s="33"/>
      <c r="K265" s="33"/>
      <c r="L265" s="35"/>
      <c r="M265" s="33"/>
      <c r="N265" s="33"/>
      <c r="O265" s="33"/>
      <c r="P265" s="33"/>
      <c r="Q265" s="33"/>
    </row>
    <row r="266" spans="1:17">
      <c r="A266" s="33"/>
      <c r="B266" s="33"/>
      <c r="C266" s="33"/>
      <c r="D266" s="33"/>
      <c r="E266" s="33"/>
      <c r="F266" s="33"/>
      <c r="G266" s="33"/>
      <c r="H266" s="33"/>
      <c r="I266" s="33"/>
      <c r="J266" s="33"/>
      <c r="K266" s="33"/>
      <c r="L266" s="35"/>
      <c r="M266" s="33"/>
      <c r="N266" s="33"/>
      <c r="O266" s="33"/>
      <c r="P266" s="33"/>
      <c r="Q266" s="33"/>
    </row>
    <row r="267" spans="1:17">
      <c r="A267" s="33"/>
      <c r="B267" s="33"/>
      <c r="C267" s="33"/>
      <c r="D267" s="33"/>
      <c r="E267" s="33"/>
      <c r="F267" s="33"/>
      <c r="G267" s="33"/>
      <c r="H267" s="33"/>
      <c r="I267" s="33"/>
      <c r="J267" s="33"/>
      <c r="K267" s="33"/>
      <c r="L267" s="35"/>
      <c r="M267" s="33"/>
      <c r="N267" s="33"/>
      <c r="O267" s="33"/>
      <c r="P267" s="33"/>
      <c r="Q267" s="33"/>
    </row>
    <row r="268" spans="1:17">
      <c r="A268" s="33"/>
      <c r="B268" s="33"/>
      <c r="C268" s="33"/>
      <c r="D268" s="33"/>
      <c r="E268" s="33"/>
      <c r="F268" s="33"/>
      <c r="G268" s="33"/>
      <c r="H268" s="33"/>
      <c r="I268" s="33"/>
      <c r="J268" s="33"/>
      <c r="K268" s="33"/>
      <c r="L268" s="35"/>
      <c r="M268" s="33"/>
      <c r="N268" s="33"/>
      <c r="O268" s="33"/>
      <c r="P268" s="33"/>
      <c r="Q268" s="33"/>
    </row>
    <row r="269" spans="1:17">
      <c r="A269" s="33"/>
      <c r="B269" s="33"/>
      <c r="C269" s="33"/>
      <c r="D269" s="33"/>
      <c r="E269" s="33"/>
      <c r="F269" s="33"/>
      <c r="G269" s="33"/>
      <c r="H269" s="33"/>
      <c r="I269" s="33"/>
      <c r="J269" s="33"/>
      <c r="K269" s="33"/>
      <c r="L269" s="35"/>
      <c r="M269" s="33"/>
      <c r="N269" s="33"/>
      <c r="O269" s="33"/>
      <c r="P269" s="33"/>
      <c r="Q269" s="33"/>
    </row>
    <row r="270" spans="1:17">
      <c r="A270" s="33"/>
      <c r="B270" s="33"/>
      <c r="C270" s="33"/>
      <c r="D270" s="33"/>
      <c r="E270" s="33"/>
      <c r="F270" s="33"/>
      <c r="G270" s="33"/>
      <c r="H270" s="33"/>
      <c r="I270" s="33"/>
      <c r="J270" s="33"/>
      <c r="K270" s="33"/>
      <c r="L270" s="35"/>
      <c r="M270" s="33"/>
      <c r="N270" s="33"/>
      <c r="O270" s="33"/>
      <c r="P270" s="33"/>
      <c r="Q270" s="33"/>
    </row>
    <row r="271" spans="1:17">
      <c r="A271" s="33"/>
      <c r="B271" s="33"/>
      <c r="C271" s="33"/>
      <c r="D271" s="33"/>
      <c r="E271" s="33"/>
      <c r="F271" s="33"/>
      <c r="G271" s="33"/>
      <c r="H271" s="33"/>
      <c r="I271" s="33"/>
      <c r="J271" s="33"/>
      <c r="K271" s="33"/>
      <c r="L271" s="35"/>
      <c r="M271" s="33"/>
      <c r="N271" s="33"/>
      <c r="O271" s="33"/>
      <c r="P271" s="33"/>
      <c r="Q271" s="33"/>
    </row>
    <row r="272" spans="1:17">
      <c r="A272" s="33"/>
      <c r="B272" s="33"/>
      <c r="C272" s="33"/>
      <c r="D272" s="33"/>
      <c r="E272" s="33"/>
      <c r="F272" s="33"/>
      <c r="G272" s="33"/>
      <c r="H272" s="33"/>
      <c r="I272" s="33"/>
      <c r="J272" s="33"/>
      <c r="K272" s="33"/>
      <c r="L272" s="35"/>
      <c r="M272" s="33"/>
      <c r="N272" s="33"/>
      <c r="O272" s="33"/>
      <c r="P272" s="33"/>
      <c r="Q272" s="33"/>
    </row>
    <row r="273" spans="1:17">
      <c r="A273" s="33"/>
      <c r="B273" s="33"/>
      <c r="C273" s="33"/>
      <c r="D273" s="33"/>
      <c r="E273" s="33"/>
      <c r="F273" s="33"/>
      <c r="G273" s="33"/>
      <c r="H273" s="33"/>
      <c r="I273" s="33"/>
      <c r="J273" s="33"/>
      <c r="K273" s="33"/>
      <c r="L273" s="35"/>
      <c r="M273" s="33"/>
      <c r="N273" s="33"/>
      <c r="O273" s="33"/>
      <c r="P273" s="33"/>
      <c r="Q273" s="33"/>
    </row>
    <row r="274" spans="1:17">
      <c r="A274" s="33"/>
      <c r="B274" s="33"/>
      <c r="C274" s="33"/>
      <c r="D274" s="33"/>
      <c r="E274" s="33"/>
      <c r="F274" s="33"/>
      <c r="G274" s="33"/>
      <c r="H274" s="33"/>
      <c r="I274" s="33"/>
      <c r="J274" s="33"/>
      <c r="K274" s="33"/>
      <c r="L274" s="35"/>
      <c r="M274" s="33"/>
      <c r="N274" s="33"/>
      <c r="O274" s="33"/>
      <c r="P274" s="33"/>
      <c r="Q274" s="33"/>
    </row>
    <row r="275" spans="1:17">
      <c r="A275" s="33"/>
      <c r="B275" s="33"/>
      <c r="C275" s="33"/>
      <c r="D275" s="33"/>
      <c r="E275" s="33"/>
      <c r="F275" s="33"/>
      <c r="G275" s="33"/>
      <c r="H275" s="33"/>
      <c r="I275" s="33"/>
      <c r="J275" s="33"/>
      <c r="K275" s="33"/>
      <c r="L275" s="35"/>
      <c r="M275" s="33"/>
      <c r="N275" s="33"/>
      <c r="O275" s="33"/>
      <c r="P275" s="33"/>
      <c r="Q275" s="33"/>
    </row>
    <row r="276" spans="1:17">
      <c r="A276" s="33"/>
      <c r="B276" s="33"/>
      <c r="C276" s="33"/>
      <c r="D276" s="33"/>
      <c r="E276" s="33"/>
      <c r="F276" s="33"/>
      <c r="G276" s="33"/>
      <c r="H276" s="33"/>
      <c r="I276" s="33"/>
      <c r="J276" s="33"/>
      <c r="K276" s="33"/>
      <c r="L276" s="35"/>
      <c r="M276" s="33"/>
      <c r="N276" s="33"/>
      <c r="O276" s="33"/>
      <c r="P276" s="33"/>
      <c r="Q276" s="33"/>
    </row>
    <row r="277" spans="1:17">
      <c r="A277" s="33"/>
      <c r="B277" s="33"/>
      <c r="C277" s="33"/>
      <c r="D277" s="33"/>
      <c r="E277" s="33"/>
      <c r="F277" s="33"/>
      <c r="G277" s="33"/>
      <c r="H277" s="33"/>
      <c r="I277" s="33"/>
      <c r="J277" s="33"/>
      <c r="K277" s="33"/>
      <c r="L277" s="35"/>
      <c r="M277" s="33"/>
      <c r="N277" s="33"/>
      <c r="O277" s="33"/>
      <c r="P277" s="33"/>
      <c r="Q277" s="33"/>
    </row>
    <row r="278" spans="1:17">
      <c r="A278" s="33"/>
      <c r="B278" s="33"/>
      <c r="C278" s="33"/>
      <c r="D278" s="33"/>
      <c r="E278" s="33"/>
      <c r="F278" s="33"/>
      <c r="G278" s="33"/>
      <c r="H278" s="33"/>
      <c r="I278" s="33"/>
      <c r="J278" s="33"/>
      <c r="K278" s="33"/>
      <c r="L278" s="35"/>
      <c r="M278" s="33"/>
      <c r="N278" s="33"/>
      <c r="O278" s="33"/>
      <c r="P278" s="33"/>
      <c r="Q278" s="33"/>
    </row>
    <row r="279" spans="1:17">
      <c r="A279" s="33"/>
      <c r="B279" s="33"/>
      <c r="C279" s="33"/>
      <c r="D279" s="33"/>
      <c r="E279" s="33"/>
      <c r="F279" s="33"/>
      <c r="G279" s="33"/>
      <c r="H279" s="33"/>
      <c r="I279" s="33"/>
      <c r="J279" s="33"/>
      <c r="K279" s="33"/>
      <c r="L279" s="35"/>
      <c r="M279" s="33"/>
      <c r="N279" s="33"/>
      <c r="O279" s="33"/>
      <c r="P279" s="33"/>
      <c r="Q279" s="33"/>
    </row>
    <row r="280" spans="1:17">
      <c r="A280" s="33"/>
      <c r="B280" s="33"/>
      <c r="C280" s="33"/>
      <c r="D280" s="33"/>
      <c r="E280" s="33"/>
      <c r="F280" s="33"/>
      <c r="G280" s="33"/>
      <c r="H280" s="33"/>
      <c r="I280" s="33"/>
      <c r="J280" s="33"/>
      <c r="K280" s="33"/>
      <c r="L280" s="35"/>
      <c r="M280" s="33"/>
      <c r="N280" s="33"/>
      <c r="O280" s="33"/>
      <c r="P280" s="33"/>
      <c r="Q280" s="33"/>
    </row>
    <row r="281" spans="1:17">
      <c r="A281" s="33"/>
      <c r="B281" s="33"/>
      <c r="C281" s="33"/>
      <c r="D281" s="33"/>
      <c r="E281" s="33"/>
      <c r="F281" s="33"/>
      <c r="G281" s="33"/>
      <c r="H281" s="33"/>
      <c r="I281" s="33"/>
      <c r="J281" s="33"/>
      <c r="K281" s="33"/>
      <c r="L281" s="35"/>
      <c r="M281" s="33"/>
      <c r="N281" s="33"/>
      <c r="O281" s="33"/>
      <c r="P281" s="33"/>
      <c r="Q281" s="33"/>
    </row>
    <row r="282" spans="1:17">
      <c r="A282" s="33"/>
      <c r="B282" s="33"/>
      <c r="C282" s="33"/>
      <c r="D282" s="33"/>
      <c r="E282" s="33"/>
      <c r="F282" s="33"/>
      <c r="G282" s="33"/>
      <c r="H282" s="33"/>
      <c r="I282" s="33"/>
      <c r="J282" s="33"/>
      <c r="K282" s="33"/>
      <c r="L282" s="35"/>
      <c r="M282" s="33"/>
      <c r="N282" s="33"/>
      <c r="O282" s="33"/>
      <c r="P282" s="33"/>
      <c r="Q282" s="33"/>
    </row>
    <row r="283" spans="1:17">
      <c r="A283" s="33"/>
      <c r="B283" s="33"/>
      <c r="C283" s="33"/>
      <c r="D283" s="33"/>
      <c r="E283" s="33"/>
      <c r="F283" s="33"/>
      <c r="G283" s="33"/>
      <c r="H283" s="33"/>
      <c r="I283" s="33"/>
      <c r="J283" s="33"/>
      <c r="K283" s="33"/>
      <c r="L283" s="35"/>
      <c r="M283" s="33"/>
      <c r="N283" s="33"/>
      <c r="O283" s="33"/>
      <c r="P283" s="33"/>
      <c r="Q283" s="33"/>
    </row>
    <row r="284" spans="1:17">
      <c r="A284" s="33"/>
      <c r="B284" s="33"/>
      <c r="C284" s="33"/>
      <c r="D284" s="33"/>
      <c r="E284" s="33"/>
      <c r="F284" s="33"/>
      <c r="G284" s="33"/>
      <c r="H284" s="33"/>
      <c r="I284" s="33"/>
      <c r="J284" s="33"/>
      <c r="K284" s="33"/>
      <c r="L284" s="35"/>
      <c r="M284" s="33"/>
      <c r="N284" s="33"/>
      <c r="O284" s="33"/>
      <c r="P284" s="33"/>
      <c r="Q284" s="33"/>
    </row>
    <row r="285" spans="1:17">
      <c r="A285" s="33"/>
      <c r="B285" s="33"/>
      <c r="C285" s="33"/>
      <c r="D285" s="33"/>
      <c r="E285" s="33"/>
      <c r="F285" s="33"/>
      <c r="G285" s="33"/>
      <c r="H285" s="33"/>
      <c r="I285" s="33"/>
      <c r="J285" s="33"/>
      <c r="K285" s="33"/>
      <c r="L285" s="35"/>
      <c r="M285" s="33"/>
      <c r="N285" s="33"/>
      <c r="O285" s="33"/>
      <c r="P285" s="33"/>
      <c r="Q285" s="33"/>
    </row>
    <row r="286" spans="1:17">
      <c r="A286" s="33"/>
      <c r="B286" s="33"/>
      <c r="C286" s="33"/>
      <c r="D286" s="33"/>
      <c r="E286" s="33"/>
      <c r="F286" s="33"/>
      <c r="G286" s="33"/>
      <c r="H286" s="33"/>
      <c r="I286" s="33"/>
      <c r="J286" s="33"/>
      <c r="K286" s="33"/>
      <c r="L286" s="35"/>
      <c r="M286" s="33"/>
      <c r="N286" s="33"/>
      <c r="O286" s="33"/>
      <c r="P286" s="33"/>
      <c r="Q286" s="33"/>
    </row>
    <row r="287" spans="1:17">
      <c r="A287" s="33"/>
      <c r="B287" s="33"/>
      <c r="C287" s="33"/>
      <c r="D287" s="33"/>
      <c r="E287" s="33"/>
      <c r="F287" s="33"/>
      <c r="G287" s="33"/>
      <c r="H287" s="33"/>
      <c r="I287" s="33"/>
      <c r="J287" s="33"/>
      <c r="K287" s="33"/>
      <c r="L287" s="35"/>
      <c r="M287" s="33"/>
      <c r="N287" s="33"/>
      <c r="O287" s="33"/>
      <c r="P287" s="33"/>
      <c r="Q287" s="33"/>
    </row>
    <row r="288" spans="1:17">
      <c r="A288" s="33"/>
      <c r="B288" s="33"/>
      <c r="C288" s="33"/>
      <c r="D288" s="33"/>
      <c r="E288" s="33"/>
      <c r="F288" s="33"/>
      <c r="G288" s="33"/>
      <c r="H288" s="33"/>
      <c r="I288" s="33"/>
      <c r="J288" s="33"/>
      <c r="K288" s="33"/>
      <c r="L288" s="35"/>
      <c r="M288" s="33"/>
      <c r="N288" s="33"/>
      <c r="O288" s="33"/>
      <c r="P288" s="33"/>
      <c r="Q288" s="33"/>
    </row>
    <row r="289" spans="1:17">
      <c r="A289" s="33"/>
      <c r="B289" s="33"/>
      <c r="C289" s="33"/>
      <c r="D289" s="33"/>
      <c r="E289" s="33"/>
      <c r="F289" s="33"/>
      <c r="G289" s="33"/>
      <c r="H289" s="33"/>
      <c r="I289" s="33"/>
      <c r="J289" s="33"/>
      <c r="K289" s="33"/>
      <c r="L289" s="35"/>
      <c r="M289" s="33"/>
      <c r="N289" s="33"/>
      <c r="O289" s="33"/>
      <c r="P289" s="33"/>
      <c r="Q289" s="33"/>
    </row>
    <row r="290" spans="1:17">
      <c r="A290" s="33"/>
      <c r="B290" s="33"/>
      <c r="C290" s="33"/>
      <c r="D290" s="33"/>
      <c r="E290" s="33"/>
      <c r="F290" s="33"/>
      <c r="G290" s="33"/>
      <c r="H290" s="33"/>
      <c r="I290" s="33"/>
      <c r="J290" s="33"/>
      <c r="K290" s="33"/>
      <c r="L290" s="35"/>
      <c r="M290" s="33"/>
      <c r="N290" s="33"/>
      <c r="O290" s="33"/>
      <c r="P290" s="33"/>
      <c r="Q290" s="33"/>
    </row>
    <row r="291" spans="1:17">
      <c r="A291" s="33"/>
      <c r="B291" s="33"/>
      <c r="C291" s="33"/>
      <c r="D291" s="33"/>
      <c r="E291" s="33"/>
      <c r="F291" s="33"/>
      <c r="G291" s="33"/>
      <c r="H291" s="33"/>
      <c r="I291" s="33"/>
      <c r="J291" s="33"/>
      <c r="K291" s="33"/>
      <c r="L291" s="35"/>
      <c r="M291" s="33"/>
      <c r="N291" s="33"/>
      <c r="O291" s="33"/>
      <c r="P291" s="33"/>
      <c r="Q291" s="33"/>
    </row>
    <row r="292" spans="1:17">
      <c r="A292" s="33"/>
      <c r="B292" s="33"/>
      <c r="C292" s="33"/>
      <c r="D292" s="33"/>
      <c r="E292" s="33"/>
      <c r="F292" s="33"/>
      <c r="G292" s="33"/>
      <c r="H292" s="33"/>
      <c r="I292" s="33"/>
      <c r="J292" s="33"/>
      <c r="K292" s="33"/>
      <c r="L292" s="35"/>
      <c r="M292" s="33"/>
      <c r="N292" s="33"/>
      <c r="O292" s="33"/>
      <c r="P292" s="33"/>
      <c r="Q292" s="33"/>
    </row>
    <row r="293" spans="1:17">
      <c r="A293" s="33"/>
      <c r="B293" s="33"/>
      <c r="C293" s="33"/>
      <c r="D293" s="33"/>
      <c r="E293" s="33"/>
      <c r="F293" s="33"/>
      <c r="G293" s="33"/>
      <c r="H293" s="33"/>
      <c r="I293" s="33"/>
      <c r="J293" s="33"/>
      <c r="K293" s="33"/>
      <c r="L293" s="35"/>
      <c r="M293" s="33"/>
      <c r="N293" s="33"/>
      <c r="O293" s="33"/>
      <c r="P293" s="33"/>
      <c r="Q293" s="33"/>
    </row>
    <row r="294" spans="1:17">
      <c r="A294" s="33"/>
      <c r="B294" s="33"/>
      <c r="C294" s="33"/>
      <c r="D294" s="33"/>
      <c r="E294" s="33"/>
      <c r="F294" s="33"/>
      <c r="G294" s="33"/>
      <c r="H294" s="33"/>
      <c r="I294" s="33"/>
      <c r="J294" s="33"/>
      <c r="K294" s="33"/>
      <c r="L294" s="35"/>
      <c r="M294" s="33"/>
      <c r="N294" s="33"/>
      <c r="O294" s="33"/>
      <c r="P294" s="33"/>
      <c r="Q294" s="33"/>
    </row>
    <row r="295" spans="1:17">
      <c r="A295" s="33"/>
      <c r="B295" s="33"/>
      <c r="C295" s="33"/>
      <c r="D295" s="33"/>
      <c r="E295" s="33"/>
      <c r="F295" s="33"/>
      <c r="G295" s="33"/>
      <c r="H295" s="33"/>
      <c r="I295" s="33"/>
      <c r="J295" s="33"/>
      <c r="K295" s="33"/>
      <c r="L295" s="35"/>
      <c r="M295" s="33"/>
      <c r="N295" s="33"/>
      <c r="O295" s="33"/>
      <c r="P295" s="33"/>
      <c r="Q295" s="33"/>
    </row>
    <row r="296" spans="1:17">
      <c r="A296" s="33"/>
      <c r="B296" s="33"/>
      <c r="C296" s="33"/>
      <c r="D296" s="33"/>
      <c r="E296" s="33"/>
      <c r="F296" s="33"/>
      <c r="G296" s="33"/>
      <c r="H296" s="33"/>
      <c r="I296" s="33"/>
      <c r="J296" s="33"/>
      <c r="K296" s="33"/>
      <c r="L296" s="35"/>
      <c r="M296" s="33"/>
      <c r="N296" s="33"/>
      <c r="O296" s="33"/>
      <c r="P296" s="33"/>
      <c r="Q296" s="33"/>
    </row>
    <row r="297" spans="1:17">
      <c r="A297" s="33"/>
      <c r="B297" s="33"/>
      <c r="C297" s="33"/>
      <c r="D297" s="33"/>
      <c r="E297" s="33"/>
      <c r="F297" s="33"/>
      <c r="G297" s="33"/>
      <c r="H297" s="33"/>
      <c r="I297" s="33"/>
      <c r="J297" s="33"/>
      <c r="K297" s="33"/>
      <c r="L297" s="35"/>
      <c r="M297" s="33"/>
      <c r="N297" s="33"/>
      <c r="O297" s="33"/>
      <c r="P297" s="33"/>
      <c r="Q297" s="33"/>
    </row>
    <row r="298" spans="1:17">
      <c r="A298" s="33"/>
      <c r="B298" s="33"/>
      <c r="C298" s="33"/>
      <c r="D298" s="33"/>
      <c r="E298" s="33"/>
      <c r="F298" s="33"/>
      <c r="G298" s="33"/>
      <c r="H298" s="33"/>
      <c r="I298" s="33"/>
      <c r="J298" s="33"/>
      <c r="K298" s="33"/>
      <c r="L298" s="35"/>
      <c r="M298" s="33"/>
      <c r="N298" s="33"/>
      <c r="O298" s="33"/>
      <c r="P298" s="33"/>
      <c r="Q298" s="33"/>
    </row>
    <row r="299" spans="1:17">
      <c r="A299" s="33"/>
      <c r="B299" s="33"/>
      <c r="C299" s="33"/>
      <c r="D299" s="33"/>
      <c r="E299" s="33"/>
      <c r="F299" s="33"/>
      <c r="G299" s="33"/>
      <c r="H299" s="33"/>
      <c r="I299" s="33"/>
      <c r="J299" s="33"/>
      <c r="K299" s="33"/>
      <c r="L299" s="35"/>
      <c r="M299" s="33"/>
      <c r="N299" s="33"/>
      <c r="O299" s="33"/>
      <c r="P299" s="33"/>
      <c r="Q299" s="33"/>
    </row>
    <row r="300" spans="1:17">
      <c r="A300" s="33"/>
      <c r="B300" s="33"/>
      <c r="C300" s="33"/>
      <c r="D300" s="33"/>
      <c r="E300" s="33"/>
      <c r="F300" s="33"/>
      <c r="G300" s="33"/>
      <c r="H300" s="33"/>
      <c r="I300" s="33"/>
      <c r="J300" s="33"/>
      <c r="K300" s="33"/>
      <c r="L300" s="35"/>
      <c r="M300" s="33"/>
      <c r="N300" s="33"/>
      <c r="O300" s="33"/>
      <c r="P300" s="33"/>
      <c r="Q300" s="33"/>
    </row>
  </sheetData>
  <autoFilter ref="A1:Q300"/>
  <dataValidations count="4">
    <dataValidation type="list" errorStyle="stop" operator="between" allowBlank="1" showDropDown="0" showInputMessage="0" showErrorMessage="1" sqref="H2:H300">
      <formula1>"Blocker,Critical,Major,Minor"</formula1>
    </dataValidation>
    <dataValidation type="list" errorStyle="stop" operator="between" allowBlank="1" showDropDown="0" showInputMessage="0" showErrorMessage="1" sqref="I2:I300">
      <formula1>"High,Medium,Low"</formula1>
    </dataValidation>
    <dataValidation type="list" errorStyle="stop" operator="between" allowBlank="1" showDropDown="0" showInputMessage="0" showErrorMessage="1" sqref="N2:N300">
      <formula1>"New,Open,In Progress,Fixed,Retest,Closed,Reopened,Deferred,Rejected"</formula1>
    </dataValidation>
    <dataValidation type="list" errorStyle="stop" operator="between" allowBlank="1" showDropDown="0" showInputMessage="0" showErrorMessage="1" sqref="P2:P300">
      <formula1>"Pass,Fail,Not Retested"</formula1>
    </dataValidation>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D55"/>
  <sheetViews>
    <sheetView tabSelected="0" workbookViewId="0" showGridLines="false" showRowColHeaders="1">
      <pane ySplit="1" topLeftCell="A2" activePane="bottomLeft" state="frozen"/>
      <selection pane="bottomLeft" activeCell="A55" sqref="A55:D55"/>
    </sheetView>
  </sheetViews>
  <sheetFormatPr defaultRowHeight="14.4" outlineLevelRow="0" outlineLevelCol="0"/>
  <cols>
    <col min="1" max="1" width="24" customWidth="true" style="0"/>
    <col min="2" max="2" width="34" customWidth="true" style="0"/>
    <col min="3" max="3" width="46" customWidth="true" style="0"/>
    <col min="4" max="4" width="60" customWidth="true" style="0"/>
  </cols>
  <sheetData>
    <row r="1" spans="1:4">
      <c r="A1" s="20" t="s">
        <v>4709</v>
      </c>
      <c r="B1" s="20" t="s">
        <v>4710</v>
      </c>
      <c r="C1" s="20" t="s">
        <v>4711</v>
      </c>
      <c r="D1" s="20" t="s">
        <v>4712</v>
      </c>
    </row>
    <row r="2" spans="1:4">
      <c r="A2" s="36" t="s">
        <v>4713</v>
      </c>
      <c r="B2" s="16" t="s">
        <v>4714</v>
      </c>
      <c r="C2" s="16" t="s">
        <v>495</v>
      </c>
      <c r="D2" s="16" t="s">
        <v>4715</v>
      </c>
    </row>
    <row r="3" spans="1:4">
      <c r="A3" s="36" t="s">
        <v>4713</v>
      </c>
      <c r="B3" s="16" t="s">
        <v>4716</v>
      </c>
      <c r="C3" s="16" t="s">
        <v>4717</v>
      </c>
      <c r="D3" s="16" t="s">
        <v>4718</v>
      </c>
    </row>
    <row r="4" spans="1:4">
      <c r="A4" s="36" t="s">
        <v>4713</v>
      </c>
      <c r="B4" s="16" t="s">
        <v>4719</v>
      </c>
      <c r="C4" s="16" t="s">
        <v>4720</v>
      </c>
      <c r="D4" s="16" t="s">
        <v>4721</v>
      </c>
    </row>
    <row r="5" spans="1:4">
      <c r="A5" s="36" t="s">
        <v>4713</v>
      </c>
      <c r="B5" s="16" t="s">
        <v>4722</v>
      </c>
      <c r="C5" s="16" t="s">
        <v>4723</v>
      </c>
      <c r="D5" s="16" t="s">
        <v>4724</v>
      </c>
    </row>
    <row r="6" spans="1:4">
      <c r="A6" s="36" t="s">
        <v>4713</v>
      </c>
      <c r="B6" s="16" t="s">
        <v>4725</v>
      </c>
      <c r="C6" s="16" t="s">
        <v>191</v>
      </c>
      <c r="D6" s="16" t="s">
        <v>4726</v>
      </c>
    </row>
    <row r="7" spans="1:4">
      <c r="A7" s="36" t="s">
        <v>4713</v>
      </c>
      <c r="B7" s="16" t="s">
        <v>4727</v>
      </c>
      <c r="C7" s="16" t="s">
        <v>4728</v>
      </c>
      <c r="D7" s="16" t="s">
        <v>4729</v>
      </c>
    </row>
    <row r="8" spans="1:4">
      <c r="A8" s="36" t="s">
        <v>4713</v>
      </c>
      <c r="B8" s="16" t="s">
        <v>4730</v>
      </c>
      <c r="C8" s="16" t="s">
        <v>4731</v>
      </c>
      <c r="D8" s="16" t="s">
        <v>4732</v>
      </c>
    </row>
    <row r="9" spans="1:4">
      <c r="A9" s="36" t="s">
        <v>4713</v>
      </c>
      <c r="B9" s="16" t="s">
        <v>4733</v>
      </c>
      <c r="C9" s="16" t="s">
        <v>4734</v>
      </c>
      <c r="D9" s="16" t="s">
        <v>4735</v>
      </c>
    </row>
    <row r="10" spans="1:4">
      <c r="A10" s="36" t="s">
        <v>4713</v>
      </c>
      <c r="B10" s="16" t="s">
        <v>4736</v>
      </c>
      <c r="C10" s="16" t="s">
        <v>4737</v>
      </c>
      <c r="D10" s="16" t="s">
        <v>4738</v>
      </c>
    </row>
    <row r="11" spans="1:4">
      <c r="A11" s="36" t="s">
        <v>4713</v>
      </c>
      <c r="B11" s="16" t="s">
        <v>4739</v>
      </c>
      <c r="C11" s="16" t="s">
        <v>4740</v>
      </c>
      <c r="D11" s="16" t="s">
        <v>4741</v>
      </c>
    </row>
    <row r="12" spans="1:4">
      <c r="A12" s="36" t="s">
        <v>4713</v>
      </c>
      <c r="B12" s="16" t="s">
        <v>4742</v>
      </c>
      <c r="C12" s="16" t="s">
        <v>4743</v>
      </c>
      <c r="D12" s="16" t="s">
        <v>4744</v>
      </c>
    </row>
    <row r="13" spans="1:4">
      <c r="A13" s="11" t="s">
        <v>4745</v>
      </c>
      <c r="B13" s="10" t="s">
        <v>4746</v>
      </c>
      <c r="C13" s="10" t="s">
        <v>4747</v>
      </c>
      <c r="D13" s="10" t="s">
        <v>4748</v>
      </c>
    </row>
    <row r="14" spans="1:4">
      <c r="A14" s="11" t="s">
        <v>4745</v>
      </c>
      <c r="B14" s="10" t="s">
        <v>4749</v>
      </c>
      <c r="C14" s="10" t="s">
        <v>4750</v>
      </c>
      <c r="D14" s="10" t="s">
        <v>4751</v>
      </c>
    </row>
    <row r="15" spans="1:4">
      <c r="A15" s="11" t="s">
        <v>4745</v>
      </c>
      <c r="B15" s="10" t="s">
        <v>4752</v>
      </c>
      <c r="C15" s="10" t="s">
        <v>4753</v>
      </c>
      <c r="D15" s="10" t="s">
        <v>4754</v>
      </c>
    </row>
    <row r="16" spans="1:4">
      <c r="A16" s="11" t="s">
        <v>4745</v>
      </c>
      <c r="B16" s="10" t="s">
        <v>4755</v>
      </c>
      <c r="C16" s="10" t="s">
        <v>4756</v>
      </c>
      <c r="D16" s="10" t="s">
        <v>4754</v>
      </c>
    </row>
    <row r="17" spans="1:4">
      <c r="A17" s="36" t="s">
        <v>4757</v>
      </c>
      <c r="B17" s="16" t="s">
        <v>4758</v>
      </c>
      <c r="C17" s="16" t="s">
        <v>4759</v>
      </c>
      <c r="D17" s="16" t="s">
        <v>4760</v>
      </c>
    </row>
    <row r="18" spans="1:4">
      <c r="A18" s="36" t="s">
        <v>4757</v>
      </c>
      <c r="B18" s="16" t="s">
        <v>4761</v>
      </c>
      <c r="C18" s="16" t="s">
        <v>2055</v>
      </c>
      <c r="D18" s="16" t="s">
        <v>4762</v>
      </c>
    </row>
    <row r="19" spans="1:4">
      <c r="A19" s="36" t="s">
        <v>4757</v>
      </c>
      <c r="B19" s="16" t="s">
        <v>4763</v>
      </c>
      <c r="C19" s="16" t="s">
        <v>2067</v>
      </c>
      <c r="D19" s="16" t="s">
        <v>4764</v>
      </c>
    </row>
    <row r="20" spans="1:4">
      <c r="A20" s="36" t="s">
        <v>4757</v>
      </c>
      <c r="B20" s="16" t="s">
        <v>4765</v>
      </c>
      <c r="C20" s="16" t="s">
        <v>2061</v>
      </c>
      <c r="D20" s="16" t="s">
        <v>4766</v>
      </c>
    </row>
    <row r="21" spans="1:4">
      <c r="A21" s="36" t="s">
        <v>4757</v>
      </c>
      <c r="B21" s="16" t="s">
        <v>4767</v>
      </c>
      <c r="C21" s="16" t="s">
        <v>4768</v>
      </c>
      <c r="D21" s="16" t="s">
        <v>4769</v>
      </c>
    </row>
    <row r="22" spans="1:4">
      <c r="A22" s="11" t="s">
        <v>4770</v>
      </c>
      <c r="B22" s="10" t="s">
        <v>4771</v>
      </c>
      <c r="C22" s="10" t="s">
        <v>4772</v>
      </c>
      <c r="D22" s="10" t="s">
        <v>4773</v>
      </c>
    </row>
    <row r="23" spans="1:4">
      <c r="A23" s="11" t="s">
        <v>4770</v>
      </c>
      <c r="B23" s="10" t="s">
        <v>4774</v>
      </c>
      <c r="C23" s="10" t="s">
        <v>4775</v>
      </c>
      <c r="D23" s="10" t="s">
        <v>4776</v>
      </c>
    </row>
    <row r="24" spans="1:4">
      <c r="A24" s="36" t="s">
        <v>4777</v>
      </c>
      <c r="B24" s="16" t="s">
        <v>4778</v>
      </c>
      <c r="C24" s="16" t="s">
        <v>4779</v>
      </c>
      <c r="D24" s="16" t="s">
        <v>4780</v>
      </c>
    </row>
    <row r="25" spans="1:4">
      <c r="A25" s="36" t="s">
        <v>4777</v>
      </c>
      <c r="B25" s="16" t="s">
        <v>4781</v>
      </c>
      <c r="C25" s="16" t="s">
        <v>4782</v>
      </c>
      <c r="D25" s="16" t="s">
        <v>4783</v>
      </c>
    </row>
    <row r="26" spans="1:4">
      <c r="A26" s="36" t="s">
        <v>4777</v>
      </c>
      <c r="B26" s="16" t="s">
        <v>4784</v>
      </c>
      <c r="C26" s="16" t="s">
        <v>4785</v>
      </c>
      <c r="D26" s="16" t="s">
        <v>4786</v>
      </c>
    </row>
    <row r="27" spans="1:4">
      <c r="A27" s="36" t="s">
        <v>4777</v>
      </c>
      <c r="B27" s="16" t="s">
        <v>4787</v>
      </c>
      <c r="C27" s="16" t="s">
        <v>4788</v>
      </c>
      <c r="D27" s="16" t="s">
        <v>4789</v>
      </c>
    </row>
    <row r="28" spans="1:4">
      <c r="A28" s="36" t="s">
        <v>4777</v>
      </c>
      <c r="B28" s="16" t="s">
        <v>4790</v>
      </c>
      <c r="C28" s="16" t="s">
        <v>4791</v>
      </c>
      <c r="D28" s="16" t="s">
        <v>4792</v>
      </c>
    </row>
    <row r="29" spans="1:4">
      <c r="A29" s="36" t="s">
        <v>4777</v>
      </c>
      <c r="B29" s="16" t="s">
        <v>4793</v>
      </c>
      <c r="C29" s="16" t="s">
        <v>4794</v>
      </c>
      <c r="D29" s="16" t="s">
        <v>4795</v>
      </c>
    </row>
    <row r="30" spans="1:4">
      <c r="A30" s="11" t="s">
        <v>4796</v>
      </c>
      <c r="B30" s="10" t="s">
        <v>4797</v>
      </c>
      <c r="C30" s="10" t="s">
        <v>4798</v>
      </c>
      <c r="D30" s="10" t="s">
        <v>4799</v>
      </c>
    </row>
    <row r="31" spans="1:4">
      <c r="A31" s="11" t="s">
        <v>4796</v>
      </c>
      <c r="B31" s="10" t="s">
        <v>4800</v>
      </c>
      <c r="C31" s="10" t="s">
        <v>4801</v>
      </c>
      <c r="D31" s="10" t="s">
        <v>4802</v>
      </c>
    </row>
    <row r="32" spans="1:4">
      <c r="A32" s="11" t="s">
        <v>4796</v>
      </c>
      <c r="B32" s="10" t="s">
        <v>4803</v>
      </c>
      <c r="C32" s="10" t="s">
        <v>4804</v>
      </c>
      <c r="D32" s="10" t="s">
        <v>4805</v>
      </c>
    </row>
    <row r="33" spans="1:4">
      <c r="A33" s="11" t="s">
        <v>4796</v>
      </c>
      <c r="B33" s="10" t="s">
        <v>4806</v>
      </c>
      <c r="C33" s="10" t="s">
        <v>4807</v>
      </c>
      <c r="D33" s="10" t="s">
        <v>4808</v>
      </c>
    </row>
    <row r="34" spans="1:4">
      <c r="A34" s="11" t="s">
        <v>4796</v>
      </c>
      <c r="B34" s="10" t="s">
        <v>4809</v>
      </c>
      <c r="C34" s="10" t="s">
        <v>4810</v>
      </c>
      <c r="D34" s="10" t="s">
        <v>4808</v>
      </c>
    </row>
    <row r="35" spans="1:4">
      <c r="A35" s="11" t="s">
        <v>4796</v>
      </c>
      <c r="B35" s="10" t="s">
        <v>4811</v>
      </c>
      <c r="C35" s="10" t="s">
        <v>4812</v>
      </c>
      <c r="D35" s="10" t="s">
        <v>4813</v>
      </c>
    </row>
    <row r="36" spans="1:4">
      <c r="A36" s="36" t="s">
        <v>4814</v>
      </c>
      <c r="B36" s="16" t="s">
        <v>4815</v>
      </c>
      <c r="C36" s="16" t="s">
        <v>4816</v>
      </c>
      <c r="D36" s="16" t="s">
        <v>4817</v>
      </c>
    </row>
    <row r="37" spans="1:4">
      <c r="A37" s="36" t="s">
        <v>4814</v>
      </c>
      <c r="B37" s="16" t="s">
        <v>4818</v>
      </c>
      <c r="C37" s="16" t="s">
        <v>4819</v>
      </c>
      <c r="D37" s="16" t="s">
        <v>4820</v>
      </c>
    </row>
    <row r="38" spans="1:4">
      <c r="A38" s="11" t="s">
        <v>4821</v>
      </c>
      <c r="B38" s="10" t="s">
        <v>4822</v>
      </c>
      <c r="C38" s="10" t="s">
        <v>3522</v>
      </c>
      <c r="D38" s="10" t="s">
        <v>4823</v>
      </c>
    </row>
    <row r="39" spans="1:4">
      <c r="A39" s="11" t="s">
        <v>4821</v>
      </c>
      <c r="B39" s="10" t="s">
        <v>4824</v>
      </c>
      <c r="C39" s="10" t="s">
        <v>4825</v>
      </c>
      <c r="D39" s="10" t="s">
        <v>4826</v>
      </c>
    </row>
    <row r="40" spans="1:4">
      <c r="A40" s="11" t="s">
        <v>4821</v>
      </c>
      <c r="B40" s="10" t="s">
        <v>4827</v>
      </c>
      <c r="C40" s="10" t="s">
        <v>3563</v>
      </c>
      <c r="D40" s="10" t="s">
        <v>4828</v>
      </c>
    </row>
    <row r="41" spans="1:4">
      <c r="A41" s="11" t="s">
        <v>4821</v>
      </c>
      <c r="B41" s="10" t="s">
        <v>4829</v>
      </c>
      <c r="C41" s="10" t="s">
        <v>4830</v>
      </c>
      <c r="D41" s="10" t="s">
        <v>4831</v>
      </c>
    </row>
    <row r="42" spans="1:4">
      <c r="A42" s="36" t="s">
        <v>4832</v>
      </c>
      <c r="B42" s="16" t="s">
        <v>4833</v>
      </c>
      <c r="C42" s="16" t="s">
        <v>4834</v>
      </c>
      <c r="D42" s="16" t="s">
        <v>4835</v>
      </c>
    </row>
    <row r="43" spans="1:4">
      <c r="A43" s="36" t="s">
        <v>4832</v>
      </c>
      <c r="B43" s="16" t="s">
        <v>4836</v>
      </c>
      <c r="C43" s="16" t="s">
        <v>4837</v>
      </c>
      <c r="D43" s="16" t="s">
        <v>4754</v>
      </c>
    </row>
    <row r="44" spans="1:4">
      <c r="A44" s="36" t="s">
        <v>4832</v>
      </c>
      <c r="B44" s="16" t="s">
        <v>4838</v>
      </c>
      <c r="C44" s="16" t="s">
        <v>4839</v>
      </c>
      <c r="D44" s="16" t="s">
        <v>4840</v>
      </c>
    </row>
    <row r="45" spans="1:4">
      <c r="A45" s="36" t="s">
        <v>4832</v>
      </c>
      <c r="B45" s="16" t="s">
        <v>4841</v>
      </c>
      <c r="C45" s="16" t="s">
        <v>4842</v>
      </c>
      <c r="D45" s="16" t="s">
        <v>4843</v>
      </c>
    </row>
    <row r="46" spans="1:4">
      <c r="A46" s="36" t="s">
        <v>4832</v>
      </c>
      <c r="B46" s="16" t="s">
        <v>4844</v>
      </c>
      <c r="C46" s="16" t="s">
        <v>4845</v>
      </c>
      <c r="D46" s="16" t="s">
        <v>4846</v>
      </c>
    </row>
    <row r="47" spans="1:4">
      <c r="A47" s="36" t="s">
        <v>4832</v>
      </c>
      <c r="B47" s="16" t="s">
        <v>4847</v>
      </c>
      <c r="C47" s="16" t="s">
        <v>4848</v>
      </c>
      <c r="D47" s="16" t="s">
        <v>4849</v>
      </c>
    </row>
    <row r="48" spans="1:4">
      <c r="A48" s="36" t="s">
        <v>4832</v>
      </c>
      <c r="B48" s="16" t="s">
        <v>4850</v>
      </c>
      <c r="C48" s="16" t="s">
        <v>4851</v>
      </c>
      <c r="D48" s="16" t="s">
        <v>4852</v>
      </c>
    </row>
    <row r="49" spans="1:4">
      <c r="A49" s="11" t="s">
        <v>4853</v>
      </c>
      <c r="B49" s="10" t="s">
        <v>4854</v>
      </c>
      <c r="C49" s="10" t="s">
        <v>4855</v>
      </c>
      <c r="D49" s="10" t="s">
        <v>4856</v>
      </c>
    </row>
    <row r="50" spans="1:4">
      <c r="A50" s="11" t="s">
        <v>4853</v>
      </c>
      <c r="B50" s="10" t="s">
        <v>4857</v>
      </c>
      <c r="C50" s="10" t="s">
        <v>4858</v>
      </c>
      <c r="D50" s="10" t="s">
        <v>4859</v>
      </c>
    </row>
    <row r="51" spans="1:4">
      <c r="A51" s="11" t="s">
        <v>4853</v>
      </c>
      <c r="B51" s="10" t="s">
        <v>4860</v>
      </c>
      <c r="C51" s="10" t="s">
        <v>4861</v>
      </c>
      <c r="D51" s="10" t="s">
        <v>4859</v>
      </c>
    </row>
    <row r="52" spans="1:4">
      <c r="A52" s="36" t="s">
        <v>4862</v>
      </c>
      <c r="B52" s="16" t="s">
        <v>4863</v>
      </c>
      <c r="C52" s="16" t="s">
        <v>4864</v>
      </c>
      <c r="D52" s="16" t="s">
        <v>4865</v>
      </c>
    </row>
    <row r="53" spans="1:4">
      <c r="A53" s="36" t="s">
        <v>4862</v>
      </c>
      <c r="B53" s="16" t="s">
        <v>4866</v>
      </c>
      <c r="C53" s="16" t="s">
        <v>4867</v>
      </c>
      <c r="D53" s="16" t="s">
        <v>4868</v>
      </c>
    </row>
    <row r="54" spans="1:4">
      <c r="A54" s="36" t="s">
        <v>4862</v>
      </c>
      <c r="B54" s="16" t="s">
        <v>4869</v>
      </c>
      <c r="C54" s="16" t="s">
        <v>4870</v>
      </c>
      <c r="D54" s="16" t="s">
        <v>4871</v>
      </c>
    </row>
    <row r="55" spans="1:4">
      <c r="A55" s="36" t="s">
        <v>4862</v>
      </c>
      <c r="B55" s="16" t="s">
        <v>4872</v>
      </c>
      <c r="C55" s="16" t="s">
        <v>4873</v>
      </c>
      <c r="D55" s="16" t="s">
        <v>4874</v>
      </c>
    </row>
  </sheetData>
  <autoFilter ref="A1:D55"/>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20"/>
  <sheetViews>
    <sheetView tabSelected="0" workbookViewId="0" showGridLines="false" showRowColHeaders="1">
      <pane ySplit="1" topLeftCell="A2" activePane="bottomLeft" state="frozen"/>
      <selection pane="bottomLeft" activeCell="A20" sqref="A20:F20"/>
    </sheetView>
  </sheetViews>
  <sheetFormatPr defaultRowHeight="14.4" outlineLevelRow="0" outlineLevelCol="0"/>
  <cols>
    <col min="1" max="1" width="30" customWidth="true" style="0"/>
    <col min="2" max="2" width="18" customWidth="true" style="0"/>
    <col min="3" max="3" width="22" customWidth="true" style="0"/>
    <col min="4" max="4" width="26" customWidth="true" style="0"/>
    <col min="5" max="5" width="26" customWidth="true" style="0"/>
    <col min="6" max="6" width="48" customWidth="true" style="0"/>
  </cols>
  <sheetData>
    <row r="1" spans="1:6">
      <c r="A1" s="37" t="s">
        <v>4875</v>
      </c>
      <c r="B1" s="37" t="s">
        <v>4876</v>
      </c>
      <c r="C1" s="37" t="s">
        <v>4877</v>
      </c>
      <c r="D1" s="37" t="s">
        <v>4878</v>
      </c>
      <c r="E1" s="37" t="s">
        <v>4879</v>
      </c>
      <c r="F1" s="37" t="s">
        <v>4880</v>
      </c>
    </row>
    <row r="2" spans="1:6">
      <c r="A2" s="11" t="s">
        <v>58</v>
      </c>
      <c r="B2" s="10" t="s">
        <v>4881</v>
      </c>
      <c r="C2" s="10" t="s">
        <v>4882</v>
      </c>
      <c r="D2" s="10" t="s">
        <v>4883</v>
      </c>
      <c r="E2" s="10" t="s">
        <v>4884</v>
      </c>
      <c r="F2" s="10" t="s">
        <v>4885</v>
      </c>
    </row>
    <row r="3" spans="1:6">
      <c r="A3" s="11" t="s">
        <v>141</v>
      </c>
      <c r="B3" s="10" t="s">
        <v>3692</v>
      </c>
      <c r="C3" s="10" t="s">
        <v>4886</v>
      </c>
      <c r="D3" s="10" t="s">
        <v>4887</v>
      </c>
      <c r="E3" s="10" t="s">
        <v>4888</v>
      </c>
      <c r="F3" s="10" t="s">
        <v>4889</v>
      </c>
    </row>
    <row r="4" spans="1:6">
      <c r="A4" s="11" t="s">
        <v>300</v>
      </c>
      <c r="B4" s="10" t="s">
        <v>4890</v>
      </c>
      <c r="C4" s="10" t="s">
        <v>4891</v>
      </c>
      <c r="D4" s="10" t="s">
        <v>4892</v>
      </c>
      <c r="E4" s="10" t="s">
        <v>4893</v>
      </c>
      <c r="F4" s="10" t="s">
        <v>4894</v>
      </c>
    </row>
    <row r="5" spans="1:6">
      <c r="A5" s="11" t="s">
        <v>2255</v>
      </c>
      <c r="B5" s="10" t="s">
        <v>4230</v>
      </c>
      <c r="C5" s="10" t="s">
        <v>4895</v>
      </c>
      <c r="D5" s="10" t="s">
        <v>4896</v>
      </c>
      <c r="E5" s="10" t="s">
        <v>4888</v>
      </c>
      <c r="F5" s="10" t="s">
        <v>4897</v>
      </c>
    </row>
    <row r="6" spans="1:6">
      <c r="A6" s="11" t="s">
        <v>4898</v>
      </c>
      <c r="B6" s="10" t="s">
        <v>4881</v>
      </c>
      <c r="C6" s="10" t="s">
        <v>4882</v>
      </c>
      <c r="D6" s="10" t="s">
        <v>4066</v>
      </c>
      <c r="E6" s="10" t="s">
        <v>4884</v>
      </c>
      <c r="F6" s="10" t="s">
        <v>4899</v>
      </c>
    </row>
    <row r="7" spans="1:6">
      <c r="A7" s="11" t="s">
        <v>4900</v>
      </c>
      <c r="B7" s="10" t="s">
        <v>4881</v>
      </c>
      <c r="C7" s="10" t="s">
        <v>4901</v>
      </c>
      <c r="D7" s="10" t="s">
        <v>4902</v>
      </c>
      <c r="E7" s="10" t="s">
        <v>4903</v>
      </c>
      <c r="F7" s="10" t="s">
        <v>4904</v>
      </c>
    </row>
    <row r="8" spans="1:6">
      <c r="A8" s="11" t="s">
        <v>4905</v>
      </c>
      <c r="B8" s="10" t="s">
        <v>4881</v>
      </c>
      <c r="C8" s="10" t="s">
        <v>4882</v>
      </c>
      <c r="D8" s="10" t="s">
        <v>4078</v>
      </c>
      <c r="E8" s="10" t="s">
        <v>4884</v>
      </c>
      <c r="F8" s="10" t="s">
        <v>4899</v>
      </c>
    </row>
    <row r="9" spans="1:6">
      <c r="A9" s="11" t="s">
        <v>4906</v>
      </c>
      <c r="B9" s="10" t="s">
        <v>4881</v>
      </c>
      <c r="C9" s="10" t="s">
        <v>4907</v>
      </c>
      <c r="D9" s="10" t="s">
        <v>4902</v>
      </c>
      <c r="E9" s="10" t="s">
        <v>4908</v>
      </c>
      <c r="F9" s="10" t="s">
        <v>4909</v>
      </c>
    </row>
    <row r="10" spans="1:6">
      <c r="A10" s="11" t="s">
        <v>4910</v>
      </c>
      <c r="B10" s="10" t="s">
        <v>2807</v>
      </c>
      <c r="C10" s="10" t="s">
        <v>4895</v>
      </c>
      <c r="D10" s="10" t="s">
        <v>4911</v>
      </c>
      <c r="E10" s="10" t="s">
        <v>4888</v>
      </c>
      <c r="F10" s="10" t="s">
        <v>4912</v>
      </c>
    </row>
    <row r="11" spans="1:6">
      <c r="A11" s="11" t="s">
        <v>4913</v>
      </c>
      <c r="B11" s="10" t="s">
        <v>3975</v>
      </c>
      <c r="C11" s="10" t="s">
        <v>4914</v>
      </c>
      <c r="D11" s="10" t="s">
        <v>4915</v>
      </c>
      <c r="E11" s="10" t="s">
        <v>4884</v>
      </c>
      <c r="F11" s="10" t="s">
        <v>4916</v>
      </c>
    </row>
    <row r="12" spans="1:6">
      <c r="A12" s="11" t="s">
        <v>4917</v>
      </c>
      <c r="B12" s="10" t="s">
        <v>4918</v>
      </c>
      <c r="C12" s="10" t="s">
        <v>4919</v>
      </c>
      <c r="D12" s="10" t="s">
        <v>4883</v>
      </c>
      <c r="E12" s="10" t="s">
        <v>4884</v>
      </c>
      <c r="F12" s="10" t="s">
        <v>4920</v>
      </c>
    </row>
    <row r="15" spans="1:6">
      <c r="A15" s="7" t="s">
        <v>4921</v>
      </c>
    </row>
    <row r="16" spans="1:6" customHeight="1" ht="32">
      <c r="A16" s="24" t="s">
        <v>4922</v>
      </c>
      <c r="B16" s="33" t="s">
        <v>4923</v>
      </c>
      <c r="C16" s="21"/>
      <c r="D16" s="21"/>
      <c r="E16" s="21"/>
      <c r="F16" s="21"/>
    </row>
    <row r="17" spans="1:6" customHeight="1" ht="32">
      <c r="A17" s="24" t="s">
        <v>4924</v>
      </c>
      <c r="B17" s="33" t="s">
        <v>4925</v>
      </c>
      <c r="C17" s="21"/>
      <c r="D17" s="21"/>
      <c r="E17" s="21"/>
      <c r="F17" s="21"/>
    </row>
    <row r="18" spans="1:6" customHeight="1" ht="32">
      <c r="A18" s="24" t="s">
        <v>4926</v>
      </c>
      <c r="B18" s="33" t="s">
        <v>4927</v>
      </c>
      <c r="C18" s="21"/>
      <c r="D18" s="21"/>
      <c r="E18" s="21"/>
      <c r="F18" s="21"/>
    </row>
    <row r="19" spans="1:6" customHeight="1" ht="32">
      <c r="A19" s="24" t="s">
        <v>4928</v>
      </c>
      <c r="B19" s="33" t="s">
        <v>4929</v>
      </c>
      <c r="C19" s="21"/>
      <c r="D19" s="21"/>
      <c r="E19" s="21"/>
      <c r="F19" s="21"/>
    </row>
    <row r="20" spans="1:6" customHeight="1" ht="32">
      <c r="A20" s="24" t="s">
        <v>4930</v>
      </c>
      <c r="B20" s="33" t="s">
        <v>4931</v>
      </c>
      <c r="C20" s="21"/>
      <c r="D20" s="21"/>
      <c r="E20" s="21"/>
      <c r="F20" s="21"/>
    </row>
  </sheetData>
  <mergeCells>
    <mergeCell ref="B16:F16"/>
    <mergeCell ref="B17:F17"/>
    <mergeCell ref="B18:F18"/>
    <mergeCell ref="B19:F19"/>
    <mergeCell ref="B20:F2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Test Cases</vt:lpstr>
      <vt:lpstr>Dashboard</vt:lpstr>
      <vt:lpstr>Traceability</vt:lpstr>
      <vt:lpstr>Defect Log</vt:lpstr>
      <vt:lpstr>Test Data</vt:lpstr>
      <vt:lpstr>Environments</vt:lpstr>
    </vt:vector>
  </TitlesOfParts>
  <Company>FixMyPC</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Team</dc:creator>
  <cp:lastModifiedBy>Unknown Creator</cp:lastModifiedBy>
  <dcterms:created xsi:type="dcterms:W3CDTF">2026-09-09T11:33:00+02:00</dcterms:created>
  <dcterms:modified xsi:type="dcterms:W3CDTF">2026-09-09T11:33:00+02:00</dcterms:modified>
  <dc:title>FixMyPC - Master Test Case Suite</dc:title>
  <dc:description>Comprehensive test case suite covering functional, UI/UX, responsive, validation, security, performance, compatibility, accessibility and error-handling scenarios.</dc:description>
  <dc:subject>QA Test Cases</dc:subject>
  <cp:keywords/>
  <cp:category/>
</cp:coreProperties>
</file>