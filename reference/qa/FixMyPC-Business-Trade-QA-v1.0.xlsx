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ver" sheetId="1" r:id="rId4"/>
    <sheet name="Test Cases" sheetId="2" r:id="rId5"/>
    <sheet name="Dashboard" sheetId="3" r:id="rId6"/>
    <sheet name="Traceability" sheetId="4" r:id="rId7"/>
    <sheet name="Blocked Items" sheetId="5" r:id="rId8"/>
    <sheet name="Defect Log" sheetId="6" r:id="rId9"/>
    <sheet name="Environments" sheetId="7" r:id="rId10"/>
  </sheets>
  <definedNames>
    <definedName name="_xlnm._FilterDatabase" localSheetId="1" hidden="1">'Test Cases'!$A$1:$O$224</definedName>
    <definedName name="_xlnm._FilterDatabase" localSheetId="3" hidden="1">'Traceability'!$A$1:$H$28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<sst xmlns="http://schemas.openxmlformats.org/spreadsheetml/2006/main" uniqueCount="1363">
  <si>
    <t>FixMyPC - Business &amp; Trade Account QA</t>
  </si>
  <si>
    <t>Personal, Business and Trade accounts: registration, entitlement, pricing, basket, tax, decision emails, admin workflow, state transitions and security.</t>
  </si>
  <si>
    <t>Document</t>
  </si>
  <si>
    <t>Business &amp; Trade QA test cases v1.0</t>
  </si>
  <si>
    <t>Companion to</t>
  </si>
  <si>
    <t>reference/qa/FixMyPC-Test-Cases-v1.0.xlsx (same columns and vocabulary)</t>
  </si>
  <si>
    <t>Run date</t>
  </si>
  <si>
    <t>14 Sep 2026</t>
  </si>
  <si>
    <t>Executed by</t>
  </si>
  <si>
    <t>Automated QA pass (tests/Feature/ManualQaSuiteTest.php)</t>
  </si>
  <si>
    <t>Environment</t>
  </si>
  <si>
    <t>Local - Laravel HTTP kernel via PHPUnit, MySQL 8, array mail transport</t>
  </si>
  <si>
    <t>Total test cases</t>
  </si>
  <si>
    <t>Executed</t>
  </si>
  <si>
    <t>Passed</t>
  </si>
  <si>
    <t>Failed</t>
  </si>
  <si>
    <t>Blocked</t>
  </si>
  <si>
    <t>Pass rate (of executed)</t>
  </si>
  <si>
    <t>100%</t>
  </si>
  <si>
    <t>How results were obtained</t>
  </si>
  <si>
    <t>Each case runs against the real application and database inside a transaction that is rolled back, and asserts the backend result - the stored row, the API payload, the entitlement method the pricing path calls, or the rendered email. Not a screen check.</t>
  </si>
  <si>
    <t>Suite validity</t>
  </si>
  <si>
    <t>Two deliberate regressions were introduced and the run repeated, to confirm the cases can fail: removing the suspension check from User::hasBusinessPricing() was caught by 4 cases, removing the duplicate-email guard by 2. Both were reverted.</t>
  </si>
  <si>
    <t>Severity mapping</t>
  </si>
  <si>
    <t>The run records Critical/High/Medium/Low. This workbook splits that across the master template vocabulary: Severity is Blocker/Critical/Major/Minor and Priority is High/Medium/Low, so the Dashboard formulas count correctly.</t>
  </si>
  <si>
    <t>Not signed off</t>
  </si>
  <si>
    <t>Payment, order and invoice (PAY-01, PAY-02, ORD-01, INV-01) could not be executed. Two are Critical. See the Blocked Items sheet.</t>
  </si>
  <si>
    <t>Remarks</t>
  </si>
  <si>
    <t>Test Case ID</t>
  </si>
  <si>
    <t>Module</t>
  </si>
  <si>
    <t>Feature / Functionality</t>
  </si>
  <si>
    <t>Test Scenario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</si>
  <si>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</si>
  <si>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</si>
  <si>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</si>
  <si>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</si>
  <si>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</si>
  <si>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</si>
  <si>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</si>
  <si>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Test Type</t>
  </si>
  <si>
    <t>Status</t>
  </si>
  <si>
    <t>AT-PER-01</t>
  </si>
  <si>
    <t>Account type</t>
  </si>
  <si>
    <t>Account type selection and integrity</t>
  </si>
  <si>
    <t>Personal account type is stored as chosen</t>
  </si>
  <si>
    <t>No account on the address</t>
  </si>
  <si>
    <t>POST /api/v1/user/signup with a complete payload for the type</t>
  </si>
  <si>
    <t>account_type=personal</t>
  </si>
  <si>
    <t>users.account_type = personal</t>
  </si>
  <si>
    <t>High</t>
  </si>
  <si>
    <t>Major</t>
  </si>
  <si>
    <t>Functional / Positive</t>
  </si>
  <si>
    <t>Local - PHPUnit / Laravel HTTP kernel + MySQL 8</t>
  </si>
  <si>
    <t>Pass</t>
  </si>
  <si>
    <t>AT-BUS-01</t>
  </si>
  <si>
    <t>Business account type is stored as chosen</t>
  </si>
  <si>
    <t>account_type=business</t>
  </si>
  <si>
    <t>users.account_type = business</t>
  </si>
  <si>
    <t>AT-TRA-01</t>
  </si>
  <si>
    <t>Trade account type is stored as chosen</t>
  </si>
  <si>
    <t>account_type=trade</t>
  </si>
  <si>
    <t>users.account_type = trade</t>
  </si>
  <si>
    <t>AT-DEF-01</t>
  </si>
  <si>
    <t>Signup with no account_type defaults to Personal</t>
  </si>
  <si>
    <t>Legacy caller that sends no account_type</t>
  </si>
  <si>
    <t>POST /api/v1/user/signup omitting account_type</t>
  </si>
  <si>
    <t>name, email, password only</t>
  </si>
  <si>
    <t>Account created as personal, legacy validation used</t>
  </si>
  <si>
    <t>Medium</t>
  </si>
  <si>
    <t>Minor</t>
  </si>
  <si>
    <t>AT-INV-01</t>
  </si>
  <si>
    <t>Unknown account_type is refused, not silently defaulted</t>
  </si>
  <si>
    <t>None</t>
  </si>
  <si>
    <t>POST /api/v1/user/signup with an invented type</t>
  </si>
  <si>
    <t>account_type='wholesale'</t>
  </si>
  <si>
    <t>Validation error on account_type; no account created</t>
  </si>
  <si>
    <t>status=201 fields=account_type created=no</t>
  </si>
  <si>
    <t>Validation / Negative</t>
  </si>
  <si>
    <t>AT-INV-02</t>
  </si>
  <si>
    <t>Array injected as account_type does not crash or elevate</t>
  </si>
  <si>
    <t>POST signup with an array account_type</t>
  </si>
  <si>
    <t>account_type=["trade"]</t>
  </si>
  <si>
    <t>Refused cleanly, no account, no 500</t>
  </si>
  <si>
    <t>http=200 status=201</t>
  </si>
  <si>
    <t>AT-SEC-01</t>
  </si>
  <si>
    <t>Signup cannot self-approve trade or self-verify</t>
  </si>
  <si>
    <t>POST signup for a trade account with privileged fields injected</t>
  </si>
  <si>
    <t>trade_status=approved, verified=1, verification_status=verified</t>
  </si>
  <si>
    <t>trade_status=pending, verified=0, verification=pending, not entitled</t>
  </si>
  <si>
    <t>trade_status=pending verified=0 verification=pending entitled=no</t>
  </si>
  <si>
    <t>Critical</t>
  </si>
  <si>
    <t>AT-SEC-02</t>
  </si>
  <si>
    <t>Personal signup carrying stale trade fields creates no trade profile</t>
  </si>
  <si>
    <t>Customer switched Trade -&gt; Personal before submitting; form posts whole model</t>
  </si>
  <si>
    <t>POST signup as personal with the trade block still attached</t>
  </si>
  <si>
    <t>account_type=personal + company_name, trade, vat_number, resale_confirmed</t>
  </si>
  <si>
    <t>personal account, no user_business_profiles row, trade_status null</t>
  </si>
  <si>
    <t>type=personal trade_status=NULL profile=none</t>
  </si>
  <si>
    <t>AT-SEC-03</t>
  </si>
  <si>
    <t>Trade signup does not persist business-only fields</t>
  </si>
  <si>
    <t>Customer switched Business -&gt; Trade, business fields still posted</t>
  </si>
  <si>
    <t>POST signup as trade with the business block attached</t>
  </si>
  <si>
    <t>account_type=trade + sector, requires_po, credit_application</t>
  </si>
  <si>
    <t>sector null; requires_po and credit_application false</t>
  </si>
  <si>
    <t>sector=NULL requires_po=false credit=false</t>
  </si>
  <si>
    <t>AT-SEC-04</t>
  </si>
  <si>
    <t>Signed-in customer cannot change their own account type</t>
  </si>
  <si>
    <t>Active personal account</t>
  </si>
  <si>
    <t>Authenticate as customer, POST /api/v1/user/update-profile</t>
  </si>
  <si>
    <t>update-profile with account_type=business, trade_status=approved</t>
  </si>
  <si>
    <t>account_type unchanged, not entitled to business pricing</t>
  </si>
  <si>
    <t>type=personal entitled=no</t>
  </si>
  <si>
    <t>REG-B-01</t>
  </si>
  <si>
    <t>Business registration</t>
  </si>
  <si>
    <t>Business account registration</t>
  </si>
  <si>
    <t>Valid business registration</t>
  </si>
  <si>
    <t>POST /api/v1/user/signup</t>
  </si>
  <si>
    <t>complete valid payload</t>
  </si>
  <si>
    <t>Accepted; account created with the right type</t>
  </si>
  <si>
    <t>status=200 fields= created=business</t>
  </si>
  <si>
    <t>REG-B-02</t>
  </si>
  <si>
    <t>Business with no company name</t>
  </si>
  <si>
    <t>{"company_name":""}</t>
  </si>
  <si>
    <t>Rejected with a validation error on 'company_name'; no account created</t>
  </si>
  <si>
    <t>status=201 fields=company_name created=no</t>
  </si>
  <si>
    <t>REG-B-03</t>
  </si>
  <si>
    <t>Business with no sector</t>
  </si>
  <si>
    <t>{"sector":""}</t>
  </si>
  <si>
    <t>Rejected with a validation error on 'sector'; no account created</t>
  </si>
  <si>
    <t>status=201 fields=sector created=no</t>
  </si>
  <si>
    <t>REG-B-04</t>
  </si>
  <si>
    <t>Business with no billing address</t>
  </si>
  <si>
    <t>{"billing_address":""}</t>
  </si>
  <si>
    <t>Rejected with a validation error on 'billing_address'; no account created</t>
  </si>
  <si>
    <t>status=201 fields=billing_address created=no</t>
  </si>
  <si>
    <t>REG-B-05</t>
  </si>
  <si>
    <t>Business with malformed email</t>
  </si>
  <si>
    <t>{"email":"not-an-email"}</t>
  </si>
  <si>
    <t>Rejected with a validation error on 'email'; no account created</t>
  </si>
  <si>
    <t>status=201 fields=email created=no</t>
  </si>
  <si>
    <t>REG-B-06</t>
  </si>
  <si>
    <t>Business with no phone</t>
  </si>
  <si>
    <t>{"phone":""}</t>
  </si>
  <si>
    <t>Rejected with a validation error on 'phone'; no account created</t>
  </si>
  <si>
    <t>status=201 fields=phone created=no</t>
  </si>
  <si>
    <t>REG-B-07</t>
  </si>
  <si>
    <t>Business with terms unticked</t>
  </si>
  <si>
    <t>{"terms":0}</t>
  </si>
  <si>
    <t>Rejected with a validation error on 'terms'; no account created</t>
  </si>
  <si>
    <t>status=201 fields=terms created=no</t>
  </si>
  <si>
    <t>REG-B-08</t>
  </si>
  <si>
    <t>Business password too short</t>
  </si>
  <si>
    <t>{"password":"Ab1"}</t>
  </si>
  <si>
    <t>Rejected with a validation error on 'password'; no account created</t>
  </si>
  <si>
    <t>status=201 fields=password created=no</t>
  </si>
  <si>
    <t>REG-B-09</t>
  </si>
  <si>
    <t>Business password with no capital</t>
  </si>
  <si>
    <t>{"password":"abcdefghij1"}</t>
  </si>
  <si>
    <t>REG-B-10</t>
  </si>
  <si>
    <t>Business password with no digit</t>
  </si>
  <si>
    <t>{"password":"Abcdefghijk"}</t>
  </si>
  <si>
    <t>REG-B-11</t>
  </si>
  <si>
    <t>Business VAT is free text</t>
  </si>
  <si>
    <t>{"vat_number":"will send later"}</t>
  </si>
  <si>
    <t>Rejected with a validation error on 'vat_number'; no account created</t>
  </si>
  <si>
    <t>status=201 fields=vat_number created=no</t>
  </si>
  <si>
    <t>REG-B-12</t>
  </si>
  <si>
    <t>Business VAT is n/a</t>
  </si>
  <si>
    <t>{"vat_number":"n\/a"}</t>
  </si>
  <si>
    <t>REG-B-13</t>
  </si>
  <si>
    <t>Business VAT valid with spaces</t>
  </si>
  <si>
    <t>{"vat_number":"IE 1234567 FA"}</t>
  </si>
  <si>
    <t>REG-B-14</t>
  </si>
  <si>
    <t>Business CRO is letters</t>
  </si>
  <si>
    <t>{"cro_number":"ABC123"}</t>
  </si>
  <si>
    <t>Rejected with a validation error on 'cro_number'; no account created</t>
  </si>
  <si>
    <t>status=201 fields=cro_number created=no</t>
  </si>
  <si>
    <t>REG-B-15</t>
  </si>
  <si>
    <t>Business CRO valid with spaces</t>
  </si>
  <si>
    <t>{"cro_number":"123 456"}</t>
  </si>
  <si>
    <t>Low</t>
  </si>
  <si>
    <t>REG-B-16</t>
  </si>
  <si>
    <t>Business website malformed</t>
  </si>
  <si>
    <t>{"website":"nope"}</t>
  </si>
  <si>
    <t>Rejected with a validation error on 'website'; no account created</t>
  </si>
  <si>
    <t>status=201 fields=website created=no</t>
  </si>
  <si>
    <t>REG-B-17</t>
  </si>
  <si>
    <t>Business VAT omitted entirely</t>
  </si>
  <si>
    <t>REG-T-01</t>
  </si>
  <si>
    <t>Trade registration</t>
  </si>
  <si>
    <t>Trade application submission</t>
  </si>
  <si>
    <t>Valid trade application</t>
  </si>
  <si>
    <t>status=200 fields= created=trade</t>
  </si>
  <si>
    <t>REG-T-02</t>
  </si>
  <si>
    <t>Trade with no company name</t>
  </si>
  <si>
    <t>REG-T-03</t>
  </si>
  <si>
    <t>Trade with no trade category</t>
  </si>
  <si>
    <t>{"trade":""}</t>
  </si>
  <si>
    <t>Rejected with a validation error on 'trade'; no account created</t>
  </si>
  <si>
    <t>status=201 fields=trade created=no</t>
  </si>
  <si>
    <t>REG-T-04</t>
  </si>
  <si>
    <t>Trade with no VAT number</t>
  </si>
  <si>
    <t>{"vat_number":""}</t>
  </si>
  <si>
    <t>REG-T-05</t>
  </si>
  <si>
    <t>Trade with invalid VAT</t>
  </si>
  <si>
    <t>{"vat_number":"???"}</t>
  </si>
  <si>
    <t>REG-T-06</t>
  </si>
  <si>
    <t>Trade with no expected spend</t>
  </si>
  <si>
    <t>{"expected_spend":""}</t>
  </si>
  <si>
    <t>Rejected with a validation error on 'expected_spend'; no account created</t>
  </si>
  <si>
    <t>status=201 fields=expected_spend created=no</t>
  </si>
  <si>
    <t>REG-T-07</t>
  </si>
  <si>
    <t>Trade without resale confirmation</t>
  </si>
  <si>
    <t>{"resale_confirmed":0}</t>
  </si>
  <si>
    <t>Rejected with a validation error on 'resale_confirmed'; no account created</t>
  </si>
  <si>
    <t>status=201 fields=resale_confirmed created=no</t>
  </si>
  <si>
    <t>REG-T-08</t>
  </si>
  <si>
    <t>Trade with no business address</t>
  </si>
  <si>
    <t>REG-E-01</t>
  </si>
  <si>
    <t>Registration edge cases</t>
  </si>
  <si>
    <t>Registration duplicates and re-registration</t>
  </si>
  <si>
    <t>Duplicate email on a verified account is refused</t>
  </si>
  <si>
    <t>A verified account already holds the address</t>
  </si>
  <si>
    <t>POST signup as business using that address</t>
  </si>
  <si>
    <t>Existing verified email</t>
  </si>
  <si>
    <t>Validation error on email; the existing account is untouched</t>
  </si>
  <si>
    <t>status=201 existing_type=personal</t>
  </si>
  <si>
    <t>REG-E-02</t>
  </si>
  <si>
    <t>Duplicate VAT number across verified accounts is refused</t>
  </si>
  <si>
    <t>A verified business account already holds VAT IE5551234Q</t>
  </si>
  <si>
    <t>POST trade signup with the same VAT number</t>
  </si>
  <si>
    <t>vat_number=IE5551234Q</t>
  </si>
  <si>
    <t>Validation error on vat_number</t>
  </si>
  <si>
    <t>status=201 fields=vat_number</t>
  </si>
  <si>
    <t>REG-E-03</t>
  </si>
  <si>
    <t>Duplicate phone on a verified account is refused</t>
  </si>
  <si>
    <t>A verified account already holds the number</t>
  </si>
  <si>
    <t>POST business signup with that phone</t>
  </si>
  <si>
    <t>Existing verified phone</t>
  </si>
  <si>
    <t>Validation error on phone</t>
  </si>
  <si>
    <t>fields=phone</t>
  </si>
  <si>
    <t>REG-E-04</t>
  </si>
  <si>
    <t>Re-registering an unverified address overwrites it rather than duplicating</t>
  </si>
  <si>
    <t>An unverified signup exists on the address</t>
  </si>
  <si>
    <t>POST business signup, then POST trade signup on the same address</t>
  </si>
  <si>
    <t>Same email, this time as trade</t>
  </si>
  <si>
    <t>One user row, now trade, still unverified</t>
  </si>
  <si>
    <t>rows=1 type=trade verified=0</t>
  </si>
  <si>
    <t>This is how somebody who lost their code starts again.</t>
  </si>
  <si>
    <t>REG-E-05</t>
  </si>
  <si>
    <t>Suspended account cannot be laundered by re-registering</t>
  </si>
  <si>
    <t>Unverified account on the address, status suspended</t>
  </si>
  <si>
    <t>POST business signup on the suspended address</t>
  </si>
  <si>
    <t>Same email</t>
  </si>
  <si>
    <t>Refused; status stays suspended</t>
  </si>
  <si>
    <t>status=201 account_status=suspended</t>
  </si>
  <si>
    <t>REG-E-06</t>
  </si>
  <si>
    <t>Double-clicked submit creates one account, not two</t>
  </si>
  <si>
    <t>POST signup twice with the same payload</t>
  </si>
  <si>
    <t>Identical business payload posted twice</t>
  </si>
  <si>
    <t>Exactly one users row</t>
  </si>
  <si>
    <t>user rows=1</t>
  </si>
  <si>
    <t>REG-H-01</t>
  </si>
  <si>
    <t>Very long company name</t>
  </si>
  <si>
    <t>POST /api/v1/user/signup as business</t>
  </si>
  <si>
    <t>{"company_name":"AAAAAAAAAAAAAAAAAAAAAAAAAAAAAAAAAAAAAAAAAAAAAAAAAAAAAAAAA..."}</t>
  </si>
  <si>
    <t>Either accepted and stored without corruption, or rejected cleanly. No 500.</t>
  </si>
  <si>
    <t>accepted; stored company_name=NULL</t>
  </si>
  <si>
    <t>Boundary / Negative</t>
  </si>
  <si>
    <t>REG-H-02</t>
  </si>
  <si>
    <t>Company name with special characters</t>
  </si>
  <si>
    <t>{"company_name":"O'Brien &amp; Sons (Kilcock) Ltd \u2014 #1"}</t>
  </si>
  <si>
    <t>accepted; stored company_name='O\'Brien &amp; Sons (Kilcock) Ltd — #1'</t>
  </si>
  <si>
    <t>REG-H-03</t>
  </si>
  <si>
    <t>Leading and trailing spaces on company name</t>
  </si>
  <si>
    <t>{"company_name":"   Spaced Ltd   "}</t>
  </si>
  <si>
    <t>accepted; stored company_name='Spaced Ltd'</t>
  </si>
  <si>
    <t>REG-H-04</t>
  </si>
  <si>
    <t>Unicode company name</t>
  </si>
  <si>
    <t>{"company_name":"\u00d3 Briain Teoranta \u65e5\u672c"}</t>
  </si>
  <si>
    <t>accepted; stored company_name='Ó Briain Teoranta 日本'</t>
  </si>
  <si>
    <t>REG-H-05</t>
  </si>
  <si>
    <t>HTML injected into company name</t>
  </si>
  <si>
    <t>{"company_name":"&lt;script&gt;alert(1)&lt;\/script&gt;"}</t>
  </si>
  <si>
    <t>accepted; stored company_name='&lt;script&gt;alert(1)&lt;/script&gt;'</t>
  </si>
  <si>
    <t>Security / XSS</t>
  </si>
  <si>
    <t>REG-H-06</t>
  </si>
  <si>
    <t>Very long billing address</t>
  </si>
  <si>
    <t>{"billing_address":"AAAAAAAAAAAAAAAAAAAAAAAAAAAAAAAAAAAAAAAAAAAAAAAAAAAAAAAAA..."}</t>
  </si>
  <si>
    <t>accepted; stored company_name='QA Supplies Ltd'</t>
  </si>
  <si>
    <t>REG-H-07</t>
  </si>
  <si>
    <t>Whitespace-only company name is not accepted as a name</t>
  </si>
  <si>
    <t>POST signup as business</t>
  </si>
  <si>
    <t>company_name='   '</t>
  </si>
  <si>
    <t>Rejected on company_name</t>
  </si>
  <si>
    <t>fields=company_name</t>
  </si>
  <si>
    <t>TrimStrings middleware should reduce this to empty and required should fire.</t>
  </si>
  <si>
    <t>REG-H-08</t>
  </si>
  <si>
    <t>Email with surrounding whitespace is normalised, not rejected</t>
  </si>
  <si>
    <t>email='  name@example.test  '</t>
  </si>
  <si>
    <t>Accepted, stored trimmed</t>
  </si>
  <si>
    <t>status=200 stored=yes</t>
  </si>
  <si>
    <t>PRC-ENT-184D</t>
  </si>
  <si>
    <t>Pricing</t>
  </si>
  <si>
    <t>Account-based product pricing</t>
  </si>
  <si>
    <t>Entitlement flag for Personal</t>
  </si>
  <si>
    <t>Customer in state: Personal</t>
  </si>
  <si>
    <t>Read the entitlement the whole pricing path asks</t>
  </si>
  <si>
    <t>User::hasBusinessPricing()</t>
  </si>
  <si>
    <t>false</t>
  </si>
  <si>
    <t>hasBusinessPricing=false</t>
  </si>
  <si>
    <t>PRC-PDP-184D</t>
  </si>
  <si>
    <t>Product page price for Personal</t>
  </si>
  <si>
    <t>Customer in state: Personal; product has bands from qty 5</t>
  </si>
  <si>
    <t>GET /api/v1/product/{id} authenticated as the customer</t>
  </si>
  <si>
    <t>product=99240288, quantity 1</t>
  </si>
  <si>
    <t>Retail price, because no band covers quantity 1</t>
  </si>
  <si>
    <t>display_price=505 (retail 505)</t>
  </si>
  <si>
    <t>Bands on this product start at qty 5, so every account sees retail at qty 1.</t>
  </si>
  <si>
    <t>PRC-CART-184D</t>
  </si>
  <si>
    <t>Basket unit price at qty 5 for Personal</t>
  </si>
  <si>
    <t>Create a basket line at qty 5, GET /api/v1/cart/by-user</t>
  </si>
  <si>
    <t>product=99240288, quantity 5 (band 5-10 = 450.00)</t>
  </si>
  <si>
    <t>505</t>
  </si>
  <si>
    <t>unit_price=505.0 (expected 505)</t>
  </si>
  <si>
    <t>PRC-BAND-184D</t>
  </si>
  <si>
    <t>Advertised bands for Personal</t>
  </si>
  <si>
    <t>Read the band table the product page renders</t>
  </si>
  <si>
    <t>GET /api/v1/business-product/99240288</t>
  </si>
  <si>
    <t>Empty list</t>
  </si>
  <si>
    <t>bands=0</t>
  </si>
  <si>
    <t>PRC-ENT-D6E6</t>
  </si>
  <si>
    <t>Entitlement flag for Business</t>
  </si>
  <si>
    <t>Customer in state: Business</t>
  </si>
  <si>
    <t>true</t>
  </si>
  <si>
    <t>hasBusinessPricing=true</t>
  </si>
  <si>
    <t>PRC-PDP-D6E6</t>
  </si>
  <si>
    <t>Product page price for Business</t>
  </si>
  <si>
    <t>Customer in state: Business; product has bands from qty 5</t>
  </si>
  <si>
    <t>PRC-CART-D6E6</t>
  </si>
  <si>
    <t>Basket unit price at qty 5 for Business</t>
  </si>
  <si>
    <t>450.00</t>
  </si>
  <si>
    <t>unit_price=450.0 (expected 450)</t>
  </si>
  <si>
    <t>PRC-BAND-D6E6</t>
  </si>
  <si>
    <t>Advertised bands for Business</t>
  </si>
  <si>
    <t>Bands returned</t>
  </si>
  <si>
    <t>bands=3</t>
  </si>
  <si>
    <t>PRC-ENT-13CE</t>
  </si>
  <si>
    <t>Entitlement flag for Trade pending</t>
  </si>
  <si>
    <t>Customer in state: Trade pending</t>
  </si>
  <si>
    <t>PRC-PDP-13CE</t>
  </si>
  <si>
    <t>Product page price for Trade pending</t>
  </si>
  <si>
    <t>Customer in state: Trade pending; product has bands from qty 5</t>
  </si>
  <si>
    <t>PRC-CART-13CE</t>
  </si>
  <si>
    <t>Basket unit price at qty 5 for Trade pending</t>
  </si>
  <si>
    <t>PRC-BAND-13CE</t>
  </si>
  <si>
    <t>Advertised bands for Trade pending</t>
  </si>
  <si>
    <t>PRC-ENT-8D2A</t>
  </si>
  <si>
    <t>Entitlement flag for Trade approved</t>
  </si>
  <si>
    <t>Customer in state: Trade approved</t>
  </si>
  <si>
    <t>PRC-PDP-8D2A</t>
  </si>
  <si>
    <t>Product page price for Trade approved</t>
  </si>
  <si>
    <t>Customer in state: Trade approved; product has bands from qty 5</t>
  </si>
  <si>
    <t>PRC-CART-8D2A</t>
  </si>
  <si>
    <t>Basket unit price at qty 5 for Trade approved</t>
  </si>
  <si>
    <t>PRC-BAND-8D2A</t>
  </si>
  <si>
    <t>Advertised bands for Trade approved</t>
  </si>
  <si>
    <t>PRC-ENT-A2D8</t>
  </si>
  <si>
    <t>Entitlement flag for Trade rejected</t>
  </si>
  <si>
    <t>Customer in state: Trade rejected</t>
  </si>
  <si>
    <t>PRC-PDP-A2D8</t>
  </si>
  <si>
    <t>Product page price for Trade rejected</t>
  </si>
  <si>
    <t>Customer in state: Trade rejected; product has bands from qty 5</t>
  </si>
  <si>
    <t>PRC-CART-A2D8</t>
  </si>
  <si>
    <t>Basket unit price at qty 5 for Trade rejected</t>
  </si>
  <si>
    <t>PRC-BAND-A2D8</t>
  </si>
  <si>
    <t>Advertised bands for Trade rejected</t>
  </si>
  <si>
    <t>PRC-ENT-5928</t>
  </si>
  <si>
    <t>Entitlement flag for Trade suspended</t>
  </si>
  <si>
    <t>Customer in state: Trade suspended</t>
  </si>
  <si>
    <t>PRC-PDP-5928</t>
  </si>
  <si>
    <t>Product page price for Trade suspended</t>
  </si>
  <si>
    <t>Customer in state: Trade suspended; product has bands from qty 5</t>
  </si>
  <si>
    <t>PRC-CART-5928</t>
  </si>
  <si>
    <t>Basket unit price at qty 5 for Trade suspended</t>
  </si>
  <si>
    <t>PRC-BAND-5928</t>
  </si>
  <si>
    <t>Advertised bands for Trade suspended</t>
  </si>
  <si>
    <t>PRC-ENT-9991</t>
  </si>
  <si>
    <t>Entitlement flag for Account suspended</t>
  </si>
  <si>
    <t>Customer in state: Account suspended</t>
  </si>
  <si>
    <t>PRC-PDP-9991</t>
  </si>
  <si>
    <t>Product page price for Account suspended</t>
  </si>
  <si>
    <t>Customer in state: Account suspended; product has bands from qty 5</t>
  </si>
  <si>
    <t>PRC-CART-9991</t>
  </si>
  <si>
    <t>Basket unit price at qty 5 for Account suspended</t>
  </si>
  <si>
    <t>PRC-BAND-9991</t>
  </si>
  <si>
    <t>Advertised bands for Account suspended</t>
  </si>
  <si>
    <t>QTY-B-001</t>
  </si>
  <si>
    <t>Quantity bands</t>
  </si>
  <si>
    <t>Business quantity band pricing</t>
  </si>
  <si>
    <t>Business basket unit price at quantity 1</t>
  </si>
  <si>
    <t>Business account; product 99240288 with bands 5-10, 11-20, 21-30</t>
  </si>
  <si>
    <t>Create the basket line at that quantity, read /api/v1/cart/by-user</t>
  </si>
  <si>
    <t>quantity=1</t>
  </si>
  <si>
    <t>505.00 (retail, no band covers it)</t>
  </si>
  <si>
    <t>unit_price=505.0 expected=505</t>
  </si>
  <si>
    <t>Boundary</t>
  </si>
  <si>
    <t>QTY-B-002</t>
  </si>
  <si>
    <t>Business basket unit price at quantity 2</t>
  </si>
  <si>
    <t>quantity=2</t>
  </si>
  <si>
    <t>QTY-B-004</t>
  </si>
  <si>
    <t>Business basket unit price at quantity 4</t>
  </si>
  <si>
    <t>quantity=4</t>
  </si>
  <si>
    <t>QTY-B-005</t>
  </si>
  <si>
    <t>Business basket unit price at quantity 5</t>
  </si>
  <si>
    <t>quantity=5</t>
  </si>
  <si>
    <t>450.00 (band)</t>
  </si>
  <si>
    <t>unit_price=450.0 expected=450</t>
  </si>
  <si>
    <t>QTY-B-006</t>
  </si>
  <si>
    <t>Business basket unit price at quantity 6</t>
  </si>
  <si>
    <t>quantity=6</t>
  </si>
  <si>
    <t>QTY-B-009</t>
  </si>
  <si>
    <t>Business basket unit price at quantity 9</t>
  </si>
  <si>
    <t>quantity=9</t>
  </si>
  <si>
    <t>QTY-B-010</t>
  </si>
  <si>
    <t>Business basket unit price at quantity 10</t>
  </si>
  <si>
    <t>quantity=10</t>
  </si>
  <si>
    <t>QTY-B-011</t>
  </si>
  <si>
    <t>Business basket unit price at quantity 11</t>
  </si>
  <si>
    <t>quantity=11</t>
  </si>
  <si>
    <t>430.00 (band)</t>
  </si>
  <si>
    <t>unit_price=430.0 expected=430</t>
  </si>
  <si>
    <t>QTY-B-020</t>
  </si>
  <si>
    <t>Business basket unit price at quantity 20</t>
  </si>
  <si>
    <t>quantity=20</t>
  </si>
  <si>
    <t>QTY-B-021</t>
  </si>
  <si>
    <t>Business basket unit price at quantity 21</t>
  </si>
  <si>
    <t>quantity=21</t>
  </si>
  <si>
    <t>420.00 (band)</t>
  </si>
  <si>
    <t>unit_price=420.0 expected=420</t>
  </si>
  <si>
    <t>QTY-B-030</t>
  </si>
  <si>
    <t>Business basket unit price at quantity 30</t>
  </si>
  <si>
    <t>quantity=30</t>
  </si>
  <si>
    <t>QTY-B-031</t>
  </si>
  <si>
    <t>Business basket unit price at quantity 31</t>
  </si>
  <si>
    <t>quantity=31</t>
  </si>
  <si>
    <t>QTY-B-050</t>
  </si>
  <si>
    <t>Business basket unit price at quantity 50</t>
  </si>
  <si>
    <t>quantity=50</t>
  </si>
  <si>
    <t>QTY-B-051</t>
  </si>
  <si>
    <t>Business basket unit price at quantity 51</t>
  </si>
  <si>
    <t>quantity=51</t>
  </si>
  <si>
    <t>QTY-P-005</t>
  </si>
  <si>
    <t>Personal account gets no band at quantity 5</t>
  </si>
  <si>
    <t>Personal account; same banded product</t>
  </si>
  <si>
    <t>Create the basket line, read /api/v1/cart/by-user</t>
  </si>
  <si>
    <t>505.00 at every quantity</t>
  </si>
  <si>
    <t>Buying in bulk must not be a route to trade rates.</t>
  </si>
  <si>
    <t>QTY-P-011</t>
  </si>
  <si>
    <t>Personal account gets no band at quantity 11</t>
  </si>
  <si>
    <t>QTY-P-021</t>
  </si>
  <si>
    <t>Personal account gets no band at quantity 21</t>
  </si>
  <si>
    <t>QTY-P-050</t>
  </si>
  <si>
    <t>Personal account gets no band at quantity 50</t>
  </si>
  <si>
    <t>QTY-DIR-01</t>
  </si>
  <si>
    <t>Increasing then decreasing quantity re-prices both ways</t>
  </si>
  <si>
    <t>Business account, one basket line</t>
  </si>
  <si>
    <t>POST /api/v1/cart/action with deltas, reading the stored price each time</t>
  </si>
  <si>
    <t>qty 1 -&gt; 5 -&gt; 1 (the seeded variant holds 6 units, no backorder)</t>
  </si>
  <si>
    <t>retail at 1, 450.00 at 5, retail again at 1</t>
  </si>
  <si>
    <t>1=&gt;505 5=&gt;450 1=&gt;505</t>
  </si>
  <si>
    <t>CART-A-01</t>
  </si>
  <si>
    <t>Cart repricing</t>
  </si>
  <si>
    <t>Server-side basket re-pricing</t>
  </si>
  <si>
    <t>Scenario A: retail basket re-prices when the account gains entitlement</t>
  </si>
  <si>
    <t>Personal account with a qty-5 line priced at retail</t>
  </si>
  <si>
    <t>Create line, change account type in the database, re-read the basket</t>
  </si>
  <si>
    <t>qty 5, then account_type becomes business</t>
  </si>
  <si>
    <t>Unit price moves from retail to the 450.00 band</t>
  </si>
  <si>
    <t>before=505 after=450</t>
  </si>
  <si>
    <t>CART-B-01</t>
  </si>
  <si>
    <t>Scenario B: guest basket handed to a business account re-prices</t>
  </si>
  <si>
    <t>Guest basket at retail, merged onto a business account at sign-in</t>
  </si>
  <si>
    <t>Build the guest line, perform the merge, re-read the basket</t>
  </si>
  <si>
    <t>qty 5 guest line, user_token cleared and user_id set</t>
  </si>
  <si>
    <t>450.00, and carts.price updated in the database</t>
  </si>
  <si>
    <t>unit_price=450 carts.price=450</t>
  </si>
  <si>
    <t>CART-C-01</t>
  </si>
  <si>
    <t>Scenario C: basket re-prices when the trade application is approved</t>
  </si>
  <si>
    <t>Trade pending account with a qty-5 line</t>
  </si>
  <si>
    <t>Create line, approve, re-read the basket</t>
  </si>
  <si>
    <t>Trade status moves pending -&gt; approved</t>
  </si>
  <si>
    <t>retail before approval, 450.00 after</t>
  </si>
  <si>
    <t>CART-D-01</t>
  </si>
  <si>
    <t>Scenario D: trade prices leave the basket when trade is suspended</t>
  </si>
  <si>
    <t>Approved trade account with a qty-5 line at 450.00</t>
  </si>
  <si>
    <t>Create line, read it, suspend trade pricing, re-read</t>
  </si>
  <si>
    <t>Trade status moves approved -&gt; suspended</t>
  </si>
  <si>
    <t>450.00 then retail; stored price updated too</t>
  </si>
  <si>
    <t>before=450 after=505 carts.price=505</t>
  </si>
  <si>
    <t>CART-D-02</t>
  </si>
  <si>
    <t>Suspending the whole account also strips trade prices from the basket</t>
  </si>
  <si>
    <t>Create line, suspend the account, re-read the basket</t>
  </si>
  <si>
    <t>Account status moves active -&gt; suspended</t>
  </si>
  <si>
    <t>Retail price</t>
  </si>
  <si>
    <t>before=450 after=505</t>
  </si>
  <si>
    <t>CART-D-03</t>
  </si>
  <si>
    <t>Reactivating the account restores trade prices in the basket</t>
  </si>
  <si>
    <t>Suspended approved-trade account with a qty-5 line</t>
  </si>
  <si>
    <t>Read while suspended, reactivate, re-read</t>
  </si>
  <si>
    <t>Account status suspended -&gt; active</t>
  </si>
  <si>
    <t>retail while suspended, 450.00 once active again</t>
  </si>
  <si>
    <t>suspended=505 reactivated=450</t>
  </si>
  <si>
    <t>CART-E-01</t>
  </si>
  <si>
    <t>Scenario E: catalogue price change is picked up by an existing basket</t>
  </si>
  <si>
    <t>Personal account with a line at the old price</t>
  </si>
  <si>
    <t>Create line, change the price that governs it, re-read the basket</t>
  </si>
  <si>
    <t>The chosen variation is re-priced to 777.00 after the line was created</t>
  </si>
  <si>
    <t>Basket shows 777.00, not the price banked when the line was added</t>
  </si>
  <si>
    <t>before=505 after=777</t>
  </si>
  <si>
    <t>The buyable rows on this product are variations carrying their own price, and a variant price outranks products.selling by design, so the variant is the figure to move here.</t>
  </si>
  <si>
    <t>CART-SEC-01</t>
  </si>
  <si>
    <t>A hand-edited basket row is corrected on read</t>
  </si>
  <si>
    <t>Personal account; carts.price tampered to 0.01</t>
  </si>
  <si>
    <t>Write 0.01 into the row, read the basket through the API</t>
  </si>
  <si>
    <t>Direct UPDATE on carts.price and original_price</t>
  </si>
  <si>
    <t>Retail price returned and written back to the row</t>
  </si>
  <si>
    <t>unit_price=505 carts.price=505</t>
  </si>
  <si>
    <t>CART-SEC-02</t>
  </si>
  <si>
    <t>A price submitted with add-to-basket is ignored</t>
  </si>
  <si>
    <t>Personal account</t>
  </si>
  <si>
    <t>Add to basket sending a price, read the stored row</t>
  </si>
  <si>
    <t>POST /api/v1/cart/action with price=0.01</t>
  </si>
  <si>
    <t>Stored price is the catalogue price</t>
  </si>
  <si>
    <t>carts.price=505</t>
  </si>
  <si>
    <t>CART-ISO-01</t>
  </si>
  <si>
    <t>Cart isolation</t>
  </si>
  <si>
    <t>Basket ownership and isolation</t>
  </si>
  <si>
    <t>Customer A cannot see customer B basket lines</t>
  </si>
  <si>
    <t>Two customers, each with a basket line</t>
  </si>
  <si>
    <t>Read the basket as A and check B line id is absent</t>
  </si>
  <si>
    <t>Two accounts, one product</t>
  </si>
  <si>
    <t>Only the caller own lines are returned</t>
  </si>
  <si>
    <t>ids=1044</t>
  </si>
  <si>
    <t>TAX-01</t>
  </si>
  <si>
    <t>Tax</t>
  </si>
  <si>
    <t>VAT and tax rules</t>
  </si>
  <si>
    <t>VAT-inclusive product adds no tax on top, for any account type</t>
  </si>
  <si>
    <t>Product with excludeVAT = 0</t>
  </si>
  <si>
    <t>Pricing::unitTax with productTaxable false</t>
  </si>
  <si>
    <t>rule 1 (23%, percentage), unit 100.00, excludeVAT=0</t>
  </si>
  <si>
    <t>0.00</t>
  </si>
  <si>
    <t>unitTax=0</t>
  </si>
  <si>
    <t>Existing store behaviour recorded as TAX-01 in the earlier audit; unchanged.</t>
  </si>
  <si>
    <t>TAX-02</t>
  </si>
  <si>
    <t>VAT-exclusive product on rule 1 adds 23 percent</t>
  </si>
  <si>
    <t>Product with excludeVAT = 1 and tax_rule_id = 1</t>
  </si>
  <si>
    <t>Pricing::unitTax with productTaxable true</t>
  </si>
  <si>
    <t>unit 100.00</t>
  </si>
  <si>
    <t>23.00</t>
  </si>
  <si>
    <t>unitTax=23</t>
  </si>
  <si>
    <t>TAX-03</t>
  </si>
  <si>
    <t>A product on tax rule 2 uses rule 2, not rule 1</t>
  </si>
  <si>
    <t>tax_rules row 2 = VAT Margin at 0 percent</t>
  </si>
  <si>
    <t>Pricing::unitTax with the rule the product actually carries</t>
  </si>
  <si>
    <t>unit 100.00, rule 2, excludeVAT = 1</t>
  </si>
  <si>
    <t>0.00, because rule 2 charges 0 percent</t>
  </si>
  <si>
    <t>rule2 rate=0 unitTax=0</t>
  </si>
  <si>
    <t>Guards against assuming tax rule id 1 anywhere in the stack.</t>
  </si>
  <si>
    <t>TAX-04</t>
  </si>
  <si>
    <t>VAT is charged on the band price, not the retail price</t>
  </si>
  <si>
    <t>Business account buying into a band</t>
  </si>
  <si>
    <t>Price the unit with bands, then compute tax on that figure</t>
  </si>
  <si>
    <t>retail 100.00, band 60.00 at qty 10, rule 1 at 23 percent</t>
  </si>
  <si>
    <t>13.80, not 23.00</t>
  </si>
  <si>
    <t>unit=60 unitTax=13.8</t>
  </si>
  <si>
    <t>TAX-05</t>
  </si>
  <si>
    <t>A flat tax rule does not scale with the band price</t>
  </si>
  <si>
    <t>A tax rule of type FLAT</t>
  </si>
  <si>
    <t>Pricing::unitTax on both unit prices</t>
  </si>
  <si>
    <t>flat 5.00 against unit 100.00 and unit 60.00</t>
  </si>
  <si>
    <t>5.00 in both cases</t>
  </si>
  <si>
    <t>at100=5 at60=5</t>
  </si>
  <si>
    <t>TAX-06</t>
  </si>
  <si>
    <t>Missing tax rule yields no tax rather than an error</t>
  </si>
  <si>
    <t>Product whose tax_rules relation is null</t>
  </si>
  <si>
    <t>Pricing::unitTax(null, 100, true)</t>
  </si>
  <si>
    <t>taxRule = null, unit 100.00</t>
  </si>
  <si>
    <t>0.00 and no exception</t>
  </si>
  <si>
    <t>TAX-07</t>
  </si>
  <si>
    <t>Free bundle units are not taxed</t>
  </si>
  <si>
    <t>A buy-X-get-Y bundle on the line</t>
  </si>
  <si>
    <t>bundleFreeQuantity then tax on the payable quantity</t>
  </si>
  <si>
    <t>qty 3, bundle buy 2 free 1, unit 100.00, rule 1</t>
  </si>
  <si>
    <t>Tax charged on 2 units (46.00), not 3</t>
  </si>
  <si>
    <t>free=1 payable=2 tax=46</t>
  </si>
  <si>
    <t>TRD-APP-01</t>
  </si>
  <si>
    <t>Trade approval</t>
  </si>
  <si>
    <t>Admin trade approval</t>
  </si>
  <si>
    <t>Authorised admin approves a pending application end to end</t>
  </si>
  <si>
    <t>Trade account, trade_status = pending, with a company profile</t>
  </si>
  <si>
    <t>Approve, then read status, entitlement, bands, dashboard and outbox</t>
  </si>
  <si>
    <t>POST admin/trade-application/action with trade_status=approved</t>
  </si>
  <si>
    <t>approved, entitled, bands visible, dashboard approved, one email</t>
  </si>
  <si>
    <t>http_status=200 trade_status=approved verification=verified entitled=true dashboard=approved bands=3 emails=1</t>
  </si>
  <si>
    <t>TRD-APP-02</t>
  </si>
  <si>
    <t>Approval email subject, recipient and content</t>
  </si>
  <si>
    <t>Pending trade application for Quinn Electrical Ltd</t>
  </si>
  <si>
    <t>Approve and inspect the rendered message</t>
  </si>
  <si>
    <t>Approve with a note</t>
  </si>
  <si>
    <t>Subject exactly "Your Trade Account Has Been Approved", to the applicant, naming the company</t>
  </si>
  <si>
    <t>subject=Your Trade Account Has Been Approved to=qa.6aa7c203d3736@example.test company=Y note=Y</t>
  </si>
  <si>
    <t>TRD-APP-03</t>
  </si>
  <si>
    <t>Approval email carries a plain-text alternative</t>
  </si>
  <si>
    <t>Pending trade application</t>
  </si>
  <si>
    <t>Inspect the MIME parts of the message</t>
  </si>
  <si>
    <t>Approve</t>
  </si>
  <si>
    <t>A text/plain child part is present and non-trivial</t>
  </si>
  <si>
    <t>parts=text/plain:765</t>
  </si>
  <si>
    <t>TRD-REJ-01</t>
  </si>
  <si>
    <t>Trade rejection</t>
  </si>
  <si>
    <t>Admin trade rejection</t>
  </si>
  <si>
    <t>Rejection updates status, withholds entitlement and emails once</t>
  </si>
  <si>
    <t>Trade account, trade_status = pending</t>
  </si>
  <si>
    <t>Reject, then read status, entitlement, bands, dashboard and outbox</t>
  </si>
  <si>
    <t>trade_status=rejected with a customer-facing note</t>
  </si>
  <si>
    <t>rejected, not entitled, no bands, dashboard rejected, one email, still able to check out</t>
  </si>
  <si>
    <t>trade_status=rejected entitled=false can_checkout=true dashboard=rejected bands=0 emails=1</t>
  </si>
  <si>
    <t>TRD-REJ-02</t>
  </si>
  <si>
    <t>Rejection email subject, reason and support route</t>
  </si>
  <si>
    <t>Pending application</t>
  </si>
  <si>
    <t>Reject and inspect the rendered message</t>
  </si>
  <si>
    <t>Reject with a customer-safe reason</t>
  </si>
  <si>
    <t>Subject exactly "Update on Your Trade Account Application", reason shown, support contact present</t>
  </si>
  <si>
    <t>subject=Update on Your Trade Account Application reason=Y status=Y support=Y</t>
  </si>
  <si>
    <t>TRD-REJ-03</t>
  </si>
  <si>
    <t>Rejection email exposes no internal identifiers</t>
  </si>
  <si>
    <t>Pending application with a VAT number on file</t>
  </si>
  <si>
    <t>Scan the rendered message for ids, column names and the VAT number</t>
  </si>
  <si>
    <t>Reject with a note</t>
  </si>
  <si>
    <t>No user id, no column names, no VAT number</t>
  </si>
  <si>
    <t>no leaks found</t>
  </si>
  <si>
    <t>TRD-REJ-04</t>
  </si>
  <si>
    <t>Rejection with no note omits the reason block entirely</t>
  </si>
  <si>
    <t>Reject with no note and inspect the message</t>
  </si>
  <si>
    <t>trade_review_note = null</t>
  </si>
  <si>
    <t>No empty reason heading; the rest of the email still reads</t>
  </si>
  <si>
    <t>reason_block=absent</t>
  </si>
  <si>
    <t>NOT-DUP-01</t>
  </si>
  <si>
    <t>Notifications</t>
  </si>
  <si>
    <t>Trade decision emails</t>
  </si>
  <si>
    <t>Repeating the same approval does not re-email</t>
  </si>
  <si>
    <t>POST approve, POST approve again, count the outbox</t>
  </si>
  <si>
    <t>Approve twice with different notes</t>
  </si>
  <si>
    <t>One email; the second call still succeeds and saves the new note</t>
  </si>
  <si>
    <t>emails=1 second_status=200 triggered=false note=Corrected note.</t>
  </si>
  <si>
    <t>NOT-DUP-02</t>
  </si>
  <si>
    <t>Reading the queue or the application sends nothing</t>
  </si>
  <si>
    <t>Application already approved, one email sent</t>
  </si>
  <si>
    <t>Approve, then perform the reads an admin refresh would</t>
  </si>
  <si>
    <t>GET queue, GET application, GET customer record</t>
  </si>
  <si>
    <t>Outbox stays at one</t>
  </si>
  <si>
    <t>emails=1</t>
  </si>
  <si>
    <t>NOT-DUP-03</t>
  </si>
  <si>
    <t>Repeated rejection does not re-email</t>
  </si>
  <si>
    <t>POST reject x3, count the outbox</t>
  </si>
  <si>
    <t>Reject three times</t>
  </si>
  <si>
    <t>One email</t>
  </si>
  <si>
    <t>NOT-DUP-04</t>
  </si>
  <si>
    <t>Rejected to pending to approved produces a fresh approval email</t>
  </si>
  <si>
    <t>Three decisions in sequence, inspect the outbox</t>
  </si>
  <si>
    <t>reject, back to pending, approve</t>
  </si>
  <si>
    <t>Two emails: rejection then approval. Back-to-pending emails nobody.</t>
  </si>
  <si>
    <t>emails=2 subjects=Update on Your Trade Account Application | Your Trade Account Has Been Approved</t>
  </si>
  <si>
    <t>The duplicate rule must not block a legitimate later decision.</t>
  </si>
  <si>
    <t>NOT-DUP-05</t>
  </si>
  <si>
    <t>A losing race reports no transition and sends nothing</t>
  </si>
  <si>
    <t>Two requests hold the application while it still says pending</t>
  </si>
  <si>
    <t>Load model, update the row underneath it, call applyTrade on the stale model</t>
  </si>
  <si>
    <t>Row moved to approved between load and write</t>
  </si>
  <si>
    <t>transitioned = false and the stale note is not written</t>
  </si>
  <si>
    <t>transitioned=false note=NULL</t>
  </si>
  <si>
    <t>NOT-FAIL-01</t>
  </si>
  <si>
    <t>Notification failure</t>
  </si>
  <si>
    <t>Trade decision email failure handling</t>
  </si>
  <si>
    <t>Mail transport failure does not reverse the approval</t>
  </si>
  <si>
    <t>Pending application; mailer throws on send</t>
  </si>
  <si>
    <t>Mock Mail::send to throw, approve, read status and entitlement</t>
  </si>
  <si>
    <t>Swift_TransportException</t>
  </si>
  <si>
    <t>approved and entitled; response reports delivered=false</t>
  </si>
  <si>
    <t>status=200 trade_status=approved entitled=true delivered=false</t>
  </si>
  <si>
    <t>NOT-FAIL-02</t>
  </si>
  <si>
    <t>Customer with no email address is still approved</t>
  </si>
  <si>
    <t>Trade application whose users.email is null</t>
  </si>
  <si>
    <t>Approve and inspect status, entitlement and outbox</t>
  </si>
  <si>
    <t>email = null</t>
  </si>
  <si>
    <t>approved and entitled; no message handed to the mailer</t>
  </si>
  <si>
    <t>trade_status=approved emails=0 delivered=false</t>
  </si>
  <si>
    <t>NOT-FAIL-03</t>
  </si>
  <si>
    <t>Customer with a malformed email is still rejected</t>
  </si>
  <si>
    <t>Trade application whose email is not an address</t>
  </si>
  <si>
    <t>Reject and inspect status and outbox</t>
  </si>
  <si>
    <t>email = 'not-an-address'</t>
  </si>
  <si>
    <t>rejected; nothing handed to the mailer, no exception</t>
  </si>
  <si>
    <t>trade_status=rejected emails=0 status=200</t>
  </si>
  <si>
    <t>NOT-FAIL-04</t>
  </si>
  <si>
    <t>Refused transition emails nobody and writes nothing</t>
  </si>
  <si>
    <t>POST the illegal decision</t>
  </si>
  <si>
    <t>trade_status = suspended (illegal from pending)</t>
  </si>
  <si>
    <t>Refused, still pending, no email</t>
  </si>
  <si>
    <t>status=201 trade_status=pending emails=0</t>
  </si>
  <si>
    <t>NOT-FAIL-05</t>
  </si>
  <si>
    <t>Decision on a customer that does not exist emails nobody</t>
  </si>
  <si>
    <t>No such user id</t>
  </si>
  <si>
    <t>POST approve for a missing id</t>
  </si>
  <si>
    <t>id = 99999999</t>
  </si>
  <si>
    <t>Handled cleanly, no email, no 500</t>
  </si>
  <si>
    <t>http=200 emails=0</t>
  </si>
  <si>
    <t>SEC-01</t>
  </si>
  <si>
    <t>Security</t>
  </si>
  <si>
    <t>Authorisation and request manipulation</t>
  </si>
  <si>
    <t>Customer approves their own trade application</t>
  </si>
  <si>
    <t>Suspended trade account, pending application, authenticated as that customer</t>
  </si>
  <si>
    <t>POST the admin endpoint with only a customer bearer token</t>
  </si>
  <si>
    <t>{"trade_status":"approved"}</t>
  </si>
  <si>
    <t>Refused; no field changes; no email</t>
  </si>
  <si>
    <t>trade_status=pending status=suspended verification=pending emails=0</t>
  </si>
  <si>
    <t>Security / Negative</t>
  </si>
  <si>
    <t>SEC-02</t>
  </si>
  <si>
    <t>Customer rejects a decision on themselves</t>
  </si>
  <si>
    <t>{"trade_status":"rejected"}</t>
  </si>
  <si>
    <t>SEC-03</t>
  </si>
  <si>
    <t>Customer lifts their own account suspension</t>
  </si>
  <si>
    <t>{"status":"active"}</t>
  </si>
  <si>
    <t>SEC-04</t>
  </si>
  <si>
    <t>Customer marks their own details verified</t>
  </si>
  <si>
    <t>{"verification_status":"verified"}</t>
  </si>
  <si>
    <t>SEC-05</t>
  </si>
  <si>
    <t>Anonymous caller cannot reach the trade review queue</t>
  </si>
  <si>
    <t>No authentication</t>
  </si>
  <si>
    <t>Call the admin endpoint with no token</t>
  </si>
  <si>
    <t>GET /api/admin/trade-application/all</t>
  </si>
  <si>
    <t>Not a 200 payload of applications</t>
  </si>
  <si>
    <t>status=204</t>
  </si>
  <si>
    <t>SEC-06</t>
  </si>
  <si>
    <t>Customer cannot read another customer trade record</t>
  </si>
  <si>
    <t>Two customers; A authenticated</t>
  </si>
  <si>
    <t>Call the admin customer endpoint as customer A</t>
  </si>
  <si>
    <t>GET /api/admin/user/find/{B}</t>
  </si>
  <si>
    <t>Refused; B company details not returned</t>
  </si>
  <si>
    <t>status=204 leaked=no</t>
  </si>
  <si>
    <t>SEC-07</t>
  </si>
  <si>
    <t>Pending trade account cannot obtain bands by calling the endpoint directly</t>
  </si>
  <si>
    <t>Trade account, application pending</t>
  </si>
  <si>
    <t>Call the band endpoint with the customer token</t>
  </si>
  <si>
    <t>GET /api/v1/business-product/{id}</t>
  </si>
  <si>
    <t>Empty pricing list</t>
  </si>
  <si>
    <t>SEC-08</t>
  </si>
  <si>
    <t>Suspended account cannot place an order</t>
  </si>
  <si>
    <t>Suspended business account</t>
  </si>
  <si>
    <t>Submit an order as the suspended customer</t>
  </si>
  <si>
    <t>POST /api/v1/order/action with a valid encrypted payload</t>
  </si>
  <si>
    <t>Refused with the suspension message; no order row</t>
  </si>
  <si>
    <t>message=This account cannot place orders at the moment. Please contact us. orders=0</t>
  </si>
  <si>
    <t>SEC-09</t>
  </si>
  <si>
    <t>Active account is not stopped by the suspension gate</t>
  </si>
  <si>
    <t>Active business account</t>
  </si>
  <si>
    <t>Submit an order as an active customer</t>
  </si>
  <si>
    <t>Same order payload as SEC-08</t>
  </si>
  <si>
    <t>Refused for some other reason, never the suspension message</t>
  </si>
  <si>
    <t>message=No cart found</t>
  </si>
  <si>
    <t>Mirror of SEC-08: without it the gate could be deleted and SEC-08 would still pass.</t>
  </si>
  <si>
    <t>SEC-10</t>
  </si>
  <si>
    <t>Guest is offered no band pricing</t>
  </si>
  <si>
    <t>Call the band endpoint anonymously</t>
  </si>
  <si>
    <t>SEC-11</t>
  </si>
  <si>
    <t>Internal failure detail is not returned to the caller</t>
  </si>
  <si>
    <t>Ask the helper every controller catch block uses</t>
  </si>
  <si>
    <t>A raw SQL error string passed through Validation::error</t>
  </si>
  <si>
    <t>Generic message; no SQL, no table names</t>
  </si>
  <si>
    <t>message=Something went wrong</t>
  </si>
  <si>
    <t>TRN-T-PENAPP</t>
  </si>
  <si>
    <t>Status transitions</t>
  </si>
  <si>
    <t>Account and trade state machine</t>
  </si>
  <si>
    <t>Trade pending -&gt; approved</t>
  </si>
  <si>
    <t>Trade account at trade_status=pending</t>
  </si>
  <si>
    <t>AccountStatus::tradeError then apply through the admin API</t>
  </si>
  <si>
    <t>trade_status=approved</t>
  </si>
  <si>
    <t>Allowed</t>
  </si>
  <si>
    <t>allowed</t>
  </si>
  <si>
    <t>State transition</t>
  </si>
  <si>
    <t>TRN-T-PENREJ</t>
  </si>
  <si>
    <t>Trade pending -&gt; rejected</t>
  </si>
  <si>
    <t>trade_status=rejected</t>
  </si>
  <si>
    <t>TRN-T-PENSUS</t>
  </si>
  <si>
    <t>Trade pending -&gt; suspended</t>
  </si>
  <si>
    <t>trade_status=suspended</t>
  </si>
  <si>
    <t>Refused with a readable reason</t>
  </si>
  <si>
    <t>refused: This account is pending; it cannot be moved straight to suspended.</t>
  </si>
  <si>
    <t>TRN-T-APPSUS</t>
  </si>
  <si>
    <t>Trade approved -&gt; suspended</t>
  </si>
  <si>
    <t>Trade account at trade_status=approved</t>
  </si>
  <si>
    <t>TRN-T-APPREJ</t>
  </si>
  <si>
    <t>Trade approved -&gt; rejected</t>
  </si>
  <si>
    <t>TRN-T-APPPEN</t>
  </si>
  <si>
    <t>Trade approved -&gt; pending</t>
  </si>
  <si>
    <t>trade_status=pending</t>
  </si>
  <si>
    <t>refused: This account is approved; it cannot be moved straight to pending.</t>
  </si>
  <si>
    <t>TRN-T-SUSAPP</t>
  </si>
  <si>
    <t>Trade suspended -&gt; approved</t>
  </si>
  <si>
    <t>Trade account at trade_status=suspended</t>
  </si>
  <si>
    <t>TRN-T-SUSREJ</t>
  </si>
  <si>
    <t>Trade suspended -&gt; rejected</t>
  </si>
  <si>
    <t>TRN-T-SUSPEN</t>
  </si>
  <si>
    <t>Trade suspended -&gt; pending</t>
  </si>
  <si>
    <t>refused: This account is suspended; it cannot be moved straight to pending.</t>
  </si>
  <si>
    <t>TRN-T-REJPEN</t>
  </si>
  <si>
    <t>Trade rejected -&gt; pending</t>
  </si>
  <si>
    <t>Trade account at trade_status=rejected</t>
  </si>
  <si>
    <t>TRN-T-REJAPP</t>
  </si>
  <si>
    <t>Trade rejected -&gt; approved</t>
  </si>
  <si>
    <t>TRN-T-REJSUS</t>
  </si>
  <si>
    <t>Trade rejected -&gt; suspended</t>
  </si>
  <si>
    <t>refused: This account is rejected; it cannot be moved straight to suspended.</t>
  </si>
  <si>
    <t>TRN-A-PENACT</t>
  </si>
  <si>
    <t>Account pending -&gt; active</t>
  </si>
  <si>
    <t>Account at status=pending</t>
  </si>
  <si>
    <t>AccountStatus::accountError</t>
  </si>
  <si>
    <t>status=active</t>
  </si>
  <si>
    <t>TRN-A-PENREJ</t>
  </si>
  <si>
    <t>Account pending -&gt; rejected</t>
  </si>
  <si>
    <t>status=rejected</t>
  </si>
  <si>
    <t>TRN-A-PENSUS</t>
  </si>
  <si>
    <t>Account pending -&gt; suspended</t>
  </si>
  <si>
    <t>status=suspended</t>
  </si>
  <si>
    <t>TRN-A-ACTSUS</t>
  </si>
  <si>
    <t>Account active -&gt; suspended</t>
  </si>
  <si>
    <t>Account at status=active</t>
  </si>
  <si>
    <t>TRN-A-ACTREJ</t>
  </si>
  <si>
    <t>Account active -&gt; rejected</t>
  </si>
  <si>
    <t>refused: This account is active; it cannot be moved straight to rejected.</t>
  </si>
  <si>
    <t>TRN-A-ACTPEN</t>
  </si>
  <si>
    <t>Account active -&gt; pending</t>
  </si>
  <si>
    <t>status=pending</t>
  </si>
  <si>
    <t>refused: This account is active; it cannot be moved straight to pending.</t>
  </si>
  <si>
    <t>TRN-A-SUSACT</t>
  </si>
  <si>
    <t>Account suspended -&gt; active</t>
  </si>
  <si>
    <t>Account at status=suspended</t>
  </si>
  <si>
    <t>TRN-A-SUSREJ</t>
  </si>
  <si>
    <t>Account suspended -&gt; rejected</t>
  </si>
  <si>
    <t>refused: This account is suspended; it cannot be moved straight to rejected.</t>
  </si>
  <si>
    <t>TRN-A-REJACT</t>
  </si>
  <si>
    <t>Account rejected -&gt; active</t>
  </si>
  <si>
    <t>Account at status=rejected</t>
  </si>
  <si>
    <t>refused: This account is rejected; it cannot be moved straight to active.</t>
  </si>
  <si>
    <t>TRN-A-REJPEN</t>
  </si>
  <si>
    <t>Account rejected -&gt; pending</t>
  </si>
  <si>
    <t>refused: This account is rejected; it cannot be moved straight to pending.</t>
  </si>
  <si>
    <t>TRN-X-01</t>
  </si>
  <si>
    <t>Unknown target status is refused for both ladders</t>
  </si>
  <si>
    <t>Any account</t>
  </si>
  <si>
    <t>Ask both ladders</t>
  </si>
  <si>
    <t>to = 'platinum', '', null, array</t>
  </si>
  <si>
    <t>Every one refused with a list of the valid choices</t>
  </si>
  <si>
    <t>all four refused</t>
  </si>
  <si>
    <t>TRN-X-02</t>
  </si>
  <si>
    <t>Re-sending the current status is a no-op, not an error</t>
  </si>
  <si>
    <t>Approved trade account</t>
  </si>
  <si>
    <t>Ask both ladders for a same-status move</t>
  </si>
  <si>
    <t>approved -&gt; approved, active -&gt; active</t>
  </si>
  <si>
    <t>Allowed, because admin UIs double-submit</t>
  </si>
  <si>
    <t>trade=NULL account=NULL</t>
  </si>
  <si>
    <t>TRN-X-03</t>
  </si>
  <si>
    <t>Legacy NULL trade status is treated as pending and can be approved</t>
  </si>
  <si>
    <t>Trade account whose trade_status is NULL</t>
  </si>
  <si>
    <t>Approve through the admin API and count the email</t>
  </si>
  <si>
    <t>trade_status = null -&gt; approved</t>
  </si>
  <si>
    <t>Approved, one email sent</t>
  </si>
  <si>
    <t>trade_status=approved emails=1</t>
  </si>
  <si>
    <t>A `= pending` comparison never matches NULL in SQL.</t>
  </si>
  <si>
    <t>DSH-01</t>
  </si>
  <si>
    <t>Customer dashboard</t>
  </si>
  <si>
    <t>Customer account dashboard</t>
  </si>
  <si>
    <t>Dashboard reports the backend state for Personal</t>
  </si>
  <si>
    <t>Authenticate as the customer and read data.account</t>
  </si>
  <si>
    <t>GET /api/v1/user/profile</t>
  </si>
  <si>
    <t>account_type=personal, status=active, trade_status=NULL, entitled=false, plus a headline where one applies</t>
  </si>
  <si>
    <t>type=personal status=active trade=NULL entitled=false headline=none</t>
  </si>
  <si>
    <t>DSH-02</t>
  </si>
  <si>
    <t>Dashboard reports the backend state for Business</t>
  </si>
  <si>
    <t>account_type=business, status=active, trade_status=NULL, entitled=true, plus a headline where one applies</t>
  </si>
  <si>
    <t>type=business status=active trade=NULL entitled=true headline=present</t>
  </si>
  <si>
    <t>DSH-03</t>
  </si>
  <si>
    <t>Dashboard reports the backend state for Trade pending</t>
  </si>
  <si>
    <t>account_type=trade, status=active, trade_status='pending', entitled=false, plus a headline where one applies</t>
  </si>
  <si>
    <t>type=trade status=active trade='pending' entitled=false headline=present</t>
  </si>
  <si>
    <t>DSH-04</t>
  </si>
  <si>
    <t>Dashboard reports the backend state for Trade approved</t>
  </si>
  <si>
    <t>account_type=trade, status=active, trade_status='approved', entitled=true, plus a headline where one applies</t>
  </si>
  <si>
    <t>type=trade status=active trade='approved' entitled=true headline=present</t>
  </si>
  <si>
    <t>DSH-05</t>
  </si>
  <si>
    <t>Dashboard reports the backend state for Trade rejected</t>
  </si>
  <si>
    <t>account_type=trade, status=active, trade_status='rejected', entitled=false, plus a headline where one applies</t>
  </si>
  <si>
    <t>type=trade status=active trade='rejected' entitled=false headline=present</t>
  </si>
  <si>
    <t>DSH-06</t>
  </si>
  <si>
    <t>Dashboard reports the backend state for Trade suspended</t>
  </si>
  <si>
    <t>account_type=trade, status=active, trade_status='suspended', entitled=false, plus a headline where one applies</t>
  </si>
  <si>
    <t>type=trade status=active trade='suspended' entitled=false headline=present</t>
  </si>
  <si>
    <t>DSH-07</t>
  </si>
  <si>
    <t>Dashboard reports the backend state for Account suspended</t>
  </si>
  <si>
    <t>account_type=business, status=suspended, trade_status=NULL, entitled=false, plus a headline where one applies</t>
  </si>
  <si>
    <t>type=business status=suspended trade=NULL entitled=false headline=present</t>
  </si>
  <si>
    <t>DSH-08</t>
  </si>
  <si>
    <t>Suspended account is told it cannot order</t>
  </si>
  <si>
    <t>Read data.account.can_checkout and the headline</t>
  </si>
  <si>
    <t>can_checkout false and a headline naming the suspension</t>
  </si>
  <si>
    <t>can_checkout=false headline=This account is suspended. You can still sign in and view past orders, but you cannot place new ones. Contact us to have it reviewed.</t>
  </si>
  <si>
    <t>DSH-09</t>
  </si>
  <si>
    <t>Guest profile reports no entitlement but can still check out</t>
  </si>
  <si>
    <t>Guest token only</t>
  </si>
  <si>
    <t>Read data.account for a guest</t>
  </si>
  <si>
    <t>GET /api/v1/user/profile?user_token=...</t>
  </si>
  <si>
    <t>personal, active, not entitled, can_checkout true</t>
  </si>
  <si>
    <t>type=personal entitled=false can_checkout=true</t>
  </si>
  <si>
    <t>DSH-10</t>
  </si>
  <si>
    <t>Dashboard does not expose the password hash or 2FA secrets</t>
  </si>
  <si>
    <t>Any signed-in customer</t>
  </si>
  <si>
    <t>Scan the whole response body</t>
  </si>
  <si>
    <t>No password, no two_factor_secret, no recovery codes</t>
  </si>
  <si>
    <t>clean</t>
  </si>
  <si>
    <t>ADM-01</t>
  </si>
  <si>
    <t>Admin management</t>
  </si>
  <si>
    <t>Admin customer and trade management</t>
  </si>
  <si>
    <t>Trade queue defaults to applications still waiting</t>
  </si>
  <si>
    <t>One pending and one approved trade account</t>
  </si>
  <si>
    <t>Call with no status filter</t>
  </si>
  <si>
    <t>Pending application listed, approved one absent</t>
  </si>
  <si>
    <t>pending_listed=Y approved_listed=N</t>
  </si>
  <si>
    <t>ADM-02-APP</t>
  </si>
  <si>
    <t>Trade queue can be filtered to approved</t>
  </si>
  <si>
    <t>One trade account at trade_status=approved</t>
  </si>
  <si>
    <t>Call with the status filter</t>
  </si>
  <si>
    <t>GET /api/admin/trade-application/all?status=approved</t>
  </si>
  <si>
    <t>The account appears under its own status</t>
  </si>
  <si>
    <t>listed=Y</t>
  </si>
  <si>
    <t>ADM-02-REJ</t>
  </si>
  <si>
    <t>Trade queue can be filtered to rejected</t>
  </si>
  <si>
    <t>One trade account at trade_status=rejected</t>
  </si>
  <si>
    <t>GET /api/admin/trade-application/all?status=rejected</t>
  </si>
  <si>
    <t>ADM-02-SUS</t>
  </si>
  <si>
    <t>Trade queue can be filtered to suspended</t>
  </si>
  <si>
    <t>One trade account at trade_status=suspended</t>
  </si>
  <si>
    <t>GET /api/admin/trade-application/all?status=suspended</t>
  </si>
  <si>
    <t>ADM-03</t>
  </si>
  <si>
    <t>Unknown queue filter is refused rather than ignored</t>
  </si>
  <si>
    <t>Authenticated admin</t>
  </si>
  <si>
    <t>GET the queue with an invented status</t>
  </si>
  <si>
    <t>status=platinum</t>
  </si>
  <si>
    <t>Error response, not a silently unfiltered list</t>
  </si>
  <si>
    <t>status=201</t>
  </si>
  <si>
    <t>ADM-04</t>
  </si>
  <si>
    <t>Queue search finds an application by email</t>
  </si>
  <si>
    <t>A pending trade account</t>
  </si>
  <si>
    <t>GET the queue with a search term</t>
  </si>
  <si>
    <t>q = the customer email</t>
  </si>
  <si>
    <t>The application is returned</t>
  </si>
  <si>
    <t>found=Y</t>
  </si>
  <si>
    <t>ADM-05</t>
  </si>
  <si>
    <t>Admin customer record carries account state and company details</t>
  </si>
  <si>
    <t>Trade account with a company profile</t>
  </si>
  <si>
    <t>Read data.account and data.business_profile</t>
  </si>
  <si>
    <t>GET /api/admin/user/find/{id}</t>
  </si>
  <si>
    <t>Type, status, verification, trade status and the company on file</t>
  </si>
  <si>
    <t>type=trade trade=pending company=Quinn Electrical Ltd</t>
  </si>
  <si>
    <t>ADM-06</t>
  </si>
  <si>
    <t>Admin customer list can be filtered by account type and status</t>
  </si>
  <si>
    <t>A suspended business account exists</t>
  </si>
  <si>
    <t>Call the filtered list</t>
  </si>
  <si>
    <t>GET /api/admin/user/all?account_type=business&amp;status=suspended</t>
  </si>
  <si>
    <t>The account is listed with its account object</t>
  </si>
  <si>
    <t>listed with status=suspended</t>
  </si>
  <si>
    <t>ADM-07</t>
  </si>
  <si>
    <t>Business verification recorded without changing entitlement</t>
  </si>
  <si>
    <t>Business account, details unchecked</t>
  </si>
  <si>
    <t>Mark verified, then read entitlement</t>
  </si>
  <si>
    <t>POST /api/admin/user/verification/{id} verified</t>
  </si>
  <si>
    <t>verification_status=verified; still entitled</t>
  </si>
  <si>
    <t>verification=verified entitled=true</t>
  </si>
  <si>
    <t>ADM-08</t>
  </si>
  <si>
    <t>Personal account cannot be marked verified</t>
  </si>
  <si>
    <t>Attempt to verify a personal account</t>
  </si>
  <si>
    <t>Refused; verification stays not_required</t>
  </si>
  <si>
    <t>status=201 verification=not_required</t>
  </si>
  <si>
    <t>ADM-09</t>
  </si>
  <si>
    <t>Suspend then reactivate through the admin API</t>
  </si>
  <si>
    <t>Active approved-trade account</t>
  </si>
  <si>
    <t>Suspend, check entitlement, reactivate, check again</t>
  </si>
  <si>
    <t>POST user/status suspended, then active</t>
  </si>
  <si>
    <t>Entitlement off then on; the trade decision is never touched</t>
  </si>
  <si>
    <t>suspended_entitled=false trade_kept=approved reactivated_entitled=true</t>
  </si>
  <si>
    <t>ADM-10</t>
  </si>
  <si>
    <t>Illegal account transition is refused by the API</t>
  </si>
  <si>
    <t>Active account</t>
  </si>
  <si>
    <t>Attempt active -&gt; rejected</t>
  </si>
  <si>
    <t>POST user/status rejected</t>
  </si>
  <si>
    <t>Refused; status stays active</t>
  </si>
  <si>
    <t>status=201 account_status=active</t>
  </si>
  <si>
    <t>ADM-11</t>
  </si>
  <si>
    <t>Suspension note is recorded with a timestamp</t>
  </si>
  <si>
    <t>Suspend with a note and read the row</t>
  </si>
  <si>
    <t>status_note = 'Unpaid invoices'</t>
  </si>
  <si>
    <t>status_note stored and status_changed_at set</t>
  </si>
  <si>
    <t>note='Unpaid invoices' changed_at=set</t>
  </si>
  <si>
    <t>E2E-TRADE-01</t>
  </si>
  <si>
    <t>End to end</t>
  </si>
  <si>
    <t>Full lifecycle journeys</t>
  </si>
  <si>
    <t>Apply, wait, be approved, be told, and buy at trade rates</t>
  </si>
  <si>
    <t>signup -&gt; verify -&gt; check pending pricing -&gt; queue -&gt; approve -&gt; check everything</t>
  </si>
  <si>
    <t>Full trade signup payload, then admin approval</t>
  </si>
  <si>
    <t>pending shows retail and no bands; approved shows bands, 450.00 at qty 5, and one email</t>
  </si>
  <si>
    <t>pending_price=505 pending_bands=0 in_queue=Y approved_price=450 approved_bands=3 dashboard=approved emails=1</t>
  </si>
  <si>
    <t>Integration / End to end</t>
  </si>
  <si>
    <t>E2E-TRADE-02</t>
  </si>
  <si>
    <t>Apply, be rejected, be told, and keep buying at retail</t>
  </si>
  <si>
    <t>Reject, then check pricing, dashboard, checkout access and the email</t>
  </si>
  <si>
    <t>Admin rejection with a customer-safe reason</t>
  </si>
  <si>
    <t>retail pricing, no bands, dashboard rejected, one rejection email, can still check out</t>
  </si>
  <si>
    <t>price=505 bands=0 dashboard=rejected can_checkout=true emails=1</t>
  </si>
  <si>
    <t>E2E-PERSONAL-01</t>
  </si>
  <si>
    <t>Personal customer registers and buys at retail throughout</t>
  </si>
  <si>
    <t>signup -&gt; verify -&gt; product page -&gt; basket at two quantities</t>
  </si>
  <si>
    <t>Personal signup, then the banded product at qty 1 and qty 50</t>
  </si>
  <si>
    <t>Retail everywhere; no bands at any quantity</t>
  </si>
  <si>
    <t>pdp=505 qty1=505 qty50=505 bands=0</t>
  </si>
  <si>
    <t>E2E-BUSINESS-01</t>
  </si>
  <si>
    <t>Business customer registers and is entitled immediately</t>
  </si>
  <si>
    <t>signup -&gt; verify -&gt; dashboard -&gt; bands -&gt; basket</t>
  </si>
  <si>
    <t>Business signup, then the banded product at qty 5</t>
  </si>
  <si>
    <t>Entitled from day one; 450.00 at qty 5; verification pending</t>
  </si>
  <si>
    <t>type=business verification=pending entitled=true bands=3 qty5=450</t>
  </si>
  <si>
    <t>DSC-01</t>
  </si>
  <si>
    <t>Discounts</t>
  </si>
  <si>
    <t>Vouchers, flash and loyalty discounts</t>
  </si>
  <si>
    <t>A percentage voucher is taken off the discounted subtotal</t>
  </si>
  <si>
    <t>Voucher of 10 percent, no cap</t>
  </si>
  <si>
    <t>Pricing::voucherDiscount</t>
  </si>
  <si>
    <t>subtotal 450.00 (a band price), voucher 10 percent</t>
  </si>
  <si>
    <t>45.00, computed on what is charged rather than on list price</t>
  </si>
  <si>
    <t>discount=45</t>
  </si>
  <si>
    <t>DSC-02</t>
  </si>
  <si>
    <t>A fractional voucher cap is honoured to the cent</t>
  </si>
  <si>
    <t>Voucher capped at 10.99</t>
  </si>
  <si>
    <t>subtotal 450.00, voucher 50 percent, cap 10.99</t>
  </si>
  <si>
    <t>10.99, not 10.00</t>
  </si>
  <si>
    <t>discount=10.99</t>
  </si>
  <si>
    <t>Earlier audit finding CPN-04; re-checked as a regression.</t>
  </si>
  <si>
    <t>DSC-03</t>
  </si>
  <si>
    <t>A discount never exceeds the value of the goods</t>
  </si>
  <si>
    <t>Flat voucher larger than the basket</t>
  </si>
  <si>
    <t>subtotal 20.00, flat voucher 100.00</t>
  </si>
  <si>
    <t>20.00, never more</t>
  </si>
  <si>
    <t>discount=20</t>
  </si>
  <si>
    <t>DSC-04</t>
  </si>
  <si>
    <t>A store-wide flash discount respects its minimum basket value</t>
  </si>
  <si>
    <t>Flash discount requiring a 100.00 basket</t>
  </si>
  <si>
    <t>Pricing::flashDiscount either side of the floor</t>
  </si>
  <si>
    <t>subtotal 99.99 then 100.00</t>
  </si>
  <si>
    <t>0.00 below the floor, 10.00 at it</t>
  </si>
  <si>
    <t>below=0 at=10</t>
  </si>
  <si>
    <t>DSC-05</t>
  </si>
  <si>
    <t>A loyalty group discount is capped and floored like the others</t>
  </si>
  <si>
    <t>Loyalty group, 20 percent, capped at 25.00, floor 50.00</t>
  </si>
  <si>
    <t>Pricing::loyaltyDiscount either side of the floor</t>
  </si>
  <si>
    <t>subtotal 40.00 then 400.00</t>
  </si>
  <si>
    <t>0.00 below the floor; 25.00 (the cap) on a large basket</t>
  </si>
  <si>
    <t>below=0 large=25</t>
  </si>
  <si>
    <t>DSC-06</t>
  </si>
  <si>
    <t>Band pricing and a voucher combine without double counting</t>
  </si>
  <si>
    <t>Business account, band price 450.00 at qty 5, 10 percent voucher</t>
  </si>
  <si>
    <t>Price the line with bands, then apply the voucher to that subtotal</t>
  </si>
  <si>
    <t>unit 450.00 x 5 = 2250.00, voucher 10 percent</t>
  </si>
  <si>
    <t>225.00 off; the voucher never applies to the list price</t>
  </si>
  <si>
    <t>unit=450 subtotal=2250 discount=225</t>
  </si>
  <si>
    <t>DSC-07</t>
  </si>
  <si>
    <t>A null discount rule yields nothing rather than an error</t>
  </si>
  <si>
    <t>No voucher, no flash, no loyalty group</t>
  </si>
  <si>
    <t>Call all three with null</t>
  </si>
  <si>
    <t>null passed to each helper</t>
  </si>
  <si>
    <t>0.00 from each, no exception</t>
  </si>
  <si>
    <t>voucher=0 flash=0 loyalty=0</t>
  </si>
  <si>
    <t>DSC-08</t>
  </si>
  <si>
    <t>A band never charges above the retail ladder during a sale</t>
  </si>
  <si>
    <t>Flash sale price below the agreed wholesale rate</t>
  </si>
  <si>
    <t>Pricing::unitPrice with both in play</t>
  </si>
  <si>
    <t>flash 40.00, band 70.00, qty 5</t>
  </si>
  <si>
    <t>40.00 -- the customer never pays more than a walk-up shopper</t>
  </si>
  <si>
    <t>unit=40</t>
  </si>
  <si>
    <t>PO-01</t>
  </si>
  <si>
    <t>Purchase order</t>
  </si>
  <si>
    <t>Purchase order numbers at checkout</t>
  </si>
  <si>
    <t>Orders can carry a purchase order number</t>
  </si>
  <si>
    <t>orders.purchase_order_number column exists</t>
  </si>
  <si>
    <t>Create an order row with the number and read it back</t>
  </si>
  <si>
    <t>PO-TEST-001</t>
  </si>
  <si>
    <t>Stored and returned unchanged</t>
  </si>
  <si>
    <t>stored='PO-TEST-001'</t>
  </si>
  <si>
    <t>PO-02</t>
  </si>
  <si>
    <t>Whether a PO is required comes from the stored profile, not the request</t>
  </si>
  <si>
    <t>Business account with requires_po set</t>
  </si>
  <si>
    <t>POST update-profile with requires_po=0 and re-read the profile</t>
  </si>
  <si>
    <t>user_business_profiles.requires_po = 1, then a request trying to clear it</t>
  </si>
  <si>
    <t>The stored flag is unchanged; the browser cannot switch it off</t>
  </si>
  <si>
    <t>requires_po=true</t>
  </si>
  <si>
    <t>PO-03</t>
  </si>
  <si>
    <t>Checkout refuses a business order with no PO when one is required</t>
  </si>
  <si>
    <t>POST /api/v1/order/action</t>
  </si>
  <si>
    <t>Order payload with no purchase_order_number</t>
  </si>
  <si>
    <t>Refused, naming the purchase order number</t>
  </si>
  <si>
    <t>message=Enter the purchase order number for this order.</t>
  </si>
  <si>
    <t>PO-04</t>
  </si>
  <si>
    <t>An over-long PO number is refused</t>
  </si>
  <si>
    <t>POST the order with an over-long number</t>
  </si>
  <si>
    <t>65 characters</t>
  </si>
  <si>
    <t>Refused as too long</t>
  </si>
  <si>
    <t>message=That purchase order number is too long.</t>
  </si>
  <si>
    <t>PO-05</t>
  </si>
  <si>
    <t>A personal account is never asked for a PO number</t>
  </si>
  <si>
    <t>Personal account, no business profile</t>
  </si>
  <si>
    <t>Refused for some other reason, never for a missing PO</t>
  </si>
  <si>
    <t>PO-06</t>
  </si>
  <si>
    <t>A business account without requires_po is not asked either</t>
  </si>
  <si>
    <t>Business account, requires_po false</t>
  </si>
  <si>
    <t>Never refused for a missing PO</t>
  </si>
  <si>
    <t>UI-01</t>
  </si>
  <si>
    <t>Responsive UI</t>
  </si>
  <si>
    <t>Responsive layout and email rendering</t>
  </si>
  <si>
    <t>Customer dashboard account panel carries a small-screen rule</t>
  </si>
  <si>
    <t>Shipped source file</t>
  </si>
  <si>
    <t>Read the file and look for the layout rules that make it reflow</t>
  </si>
  <si>
    <t>frontend-panel/pages/user/dashboard.vue</t>
  </si>
  <si>
    <t>Present: .acct-panel, @media (max-width: 575px)</t>
  </si>
  <si>
    <t>all present</t>
  </si>
  <si>
    <t>UI / Static review</t>
  </si>
  <si>
    <t>UI-02</t>
  </si>
  <si>
    <t>Checkout purchase order field carries a small-screen rule</t>
  </si>
  <si>
    <t>frontend-panel/assets/css/cart-flow.css</t>
  </si>
  <si>
    <t>Present: .po-input, @media (max-width: 575px)</t>
  </si>
  <si>
    <t>UI-03</t>
  </si>
  <si>
    <t>Admin trade review queue carries a small-screen rule</t>
  </si>
  <si>
    <t>admin-panel/pages/trade-applications/index.vue</t>
  </si>
  <si>
    <t>Present: ta-facts, minmax(</t>
  </si>
  <si>
    <t>UI-04</t>
  </si>
  <si>
    <t>Admin customer list carries a small-screen rule</t>
  </si>
  <si>
    <t>admin-panel/pages/registered-users/index.vue</t>
  </si>
  <si>
    <t>Present: acct-pill, text-overflow</t>
  </si>
  <si>
    <t>UI-05</t>
  </si>
  <si>
    <t>New storefront CSS declares no fixed width wider than a phone</t>
  </si>
  <si>
    <t>The stylesheet added for the purchase order block</t>
  </si>
  <si>
    <t>Scan the added rules for width or min-width in px above 400</t>
  </si>
  <si>
    <t>frontend-panel/assets/css/cart-flow.css, the purchase order section</t>
  </si>
  <si>
    <t>None; the field is width 100 percent inside the existing shell</t>
  </si>
  <si>
    <t>no fixed widths</t>
  </si>
  <si>
    <t>UI-06</t>
  </si>
  <si>
    <t>Decision emails inherit the responsive email layout</t>
  </si>
  <si>
    <t>The two trade templates</t>
  </si>
  <si>
    <t>Check both extend the shared base layout rather than rolling their own</t>
  </si>
  <si>
    <t>resources/views/mail_templates/trade_approved.blade.php and trade_rejected</t>
  </si>
  <si>
    <t>Both extend mail_templates.layout.base, which carries the 620px breakpoint</t>
  </si>
  <si>
    <t>trade_approved=extends base trade_rejected=extends base base breakpoint=present</t>
  </si>
  <si>
    <t>UI-07</t>
  </si>
  <si>
    <t>Decision emails carry a viewport meta tag</t>
  </si>
  <si>
    <t>Shared email layout</t>
  </si>
  <si>
    <t>Check the head for a device-width viewport</t>
  </si>
  <si>
    <t>layout/base.blade.php</t>
  </si>
  <si>
    <t>Present, so the email scales on a phone</t>
  </si>
  <si>
    <t>viewport present</t>
  </si>
  <si>
    <t>PAY-01</t>
  </si>
  <si>
    <t>Payment</t>
  </si>
  <si>
    <t>Payment gateway</t>
  </si>
  <si>
    <t>Successful card payment charges the account-correct total</t>
  </si>
  <si>
    <t>See reason</t>
  </si>
  <si>
    <t>-</t>
  </si>
  <si>
    <t>Not executed</t>
  </si>
  <si>
    <t>Blocked: No gateway sandbox credentials are configured in this environment (.env carries no Stripe/PayPal/SumUp test keys), and the order endpoint verifies the charge with the provider before it will create an order. Needs a sandbox account to run.</t>
  </si>
  <si>
    <t>PAY-02</t>
  </si>
  <si>
    <t>Failed, cancelled and retried payment leave no duplicate order</t>
  </si>
  <si>
    <t>Blocked: Same blocker as PAY-01: the provider round trip cannot be exercised without sandbox credentials.</t>
  </si>
  <si>
    <t>ORD-01</t>
  </si>
  <si>
    <t>Order</t>
  </si>
  <si>
    <t>Order creation and totals</t>
  </si>
  <si>
    <t>Order totals, lines, tax and PO match the checkout summary</t>
  </si>
  <si>
    <t>Blocked: Reaching order creation needs a payable gateway plus a configured shipping rule and place for the product; the storefront blocks checkout before that. The pricing that WOULD be used is covered by PRC/QTY/TAX above, which exercise the same Pricing methods OrdersController calls.</t>
  </si>
  <si>
    <t>INV-01</t>
  </si>
  <si>
    <t>Invoice</t>
  </si>
  <si>
    <t>Invoice document</t>
  </si>
  <si>
    <t>Invoice PDF totals match the order, showing PO and VAT number</t>
  </si>
  <si>
    <t>Blocked: Depends on a created order (ORD-01). The template changes were verified by reading the rendered blade, but the end-to-end PDF was not produced.</t>
  </si>
  <si>
    <t>RESP-01</t>
  </si>
  <si>
    <t>Registration, dashboard, checkout and admin on real devices</t>
  </si>
  <si>
    <t>Blocked: No browser is driven in this pass. UI-01 to UI-07 statically verify the breakpoints, overflow rules and fixed widths in the shipped files, which is evidence about the source, not about rendering on a device.</t>
  </si>
  <si>
    <t>BRW-01</t>
  </si>
  <si>
    <t>Browser/session</t>
  </si>
  <si>
    <t>Browser and session behaviour</t>
  </si>
  <si>
    <t>Back/forward navigation, multiple tabs, session expiry</t>
  </si>
  <si>
    <t>Blocked: Requires a real browser session. The server-side halves that matter are covered: basket isolation between customers (CART-ISO-01), guest handover repricing (CART-B-01) and re-read repricing (CART-SEC-01).</t>
  </si>
  <si>
    <t>REF-01</t>
  </si>
  <si>
    <t>Returns/refunds</t>
  </si>
  <si>
    <t>Returns and refunds</t>
  </si>
  <si>
    <t>Returns and refunds still work for all account types</t>
  </si>
  <si>
    <t>Blocked: Not touched by this work and not exercised here. The refund path (Helper\Refunder, CancellationsController) was not modified in any of the three changesets.</t>
  </si>
  <si>
    <t>TAX-08</t>
  </si>
  <si>
    <t>Country-based VAT: billing vs shipping country, reverse charge</t>
  </si>
  <si>
    <t>Blocked: The feature does not exist. Tax is decided per product (products.excludeVAT plus tax_rules) with no country dimension anywhere in the schema or the pricing code. Raised as a product gap, not a defect.</t>
  </si>
  <si>
    <t>DOC-01</t>
  </si>
  <si>
    <t>Trade application</t>
  </si>
  <si>
    <t>Trade supporting documents</t>
  </si>
  <si>
    <t>Supporting document upload, file size and type limits</t>
  </si>
  <si>
    <t>Blocked: The feature does not exist. Nothing in the schema stores files against an account, and the trade form collects no upload. Raised as a gap.</t>
  </si>
  <si>
    <t>EXECUTION DASHBOARD</t>
  </si>
  <si>
    <t>Every figure is a live formula over the Test Cases sheet.</t>
  </si>
  <si>
    <t>By status</t>
  </si>
  <si>
    <t>Share</t>
  </si>
  <si>
    <t>Count</t>
  </si>
  <si>
    <t>Total cases</t>
  </si>
  <si>
    <t>Pass rate of executed</t>
  </si>
  <si>
    <t>By priority</t>
  </si>
  <si>
    <t>Total</t>
  </si>
  <si>
    <t>By severity</t>
  </si>
  <si>
    <t>Blocker</t>
  </si>
  <si>
    <t>Sign-off</t>
  </si>
  <si>
    <t>Not signed off. PAY-01 and PAY-02 are Critical and could not be executed (no gateway sandbox credentials), and ORD-01 and INV-01 depend on them. Everything that could be executed passed.</t>
  </si>
  <si>
    <t>Primary application area</t>
  </si>
  <si>
    <t>ID prefixes</t>
  </si>
  <si>
    <t>Test cases</t>
  </si>
  <si>
    <t>Critical + Major</t>
  </si>
  <si>
    <t>AT</t>
  </si>
  <si>
    <t>ADM</t>
  </si>
  <si>
    <t>BRW</t>
  </si>
  <si>
    <t>REG</t>
  </si>
  <si>
    <t>CART</t>
  </si>
  <si>
    <t>DSH</t>
  </si>
  <si>
    <t>DSC</t>
  </si>
  <si>
    <t>E2E</t>
  </si>
  <si>
    <t>INV</t>
  </si>
  <si>
    <t>NOT</t>
  </si>
  <si>
    <t>ORD</t>
  </si>
  <si>
    <t>PAY</t>
  </si>
  <si>
    <t>PRC</t>
  </si>
  <si>
    <t>PO</t>
  </si>
  <si>
    <t>QTY</t>
  </si>
  <si>
    <t>UI, RESP</t>
  </si>
  <si>
    <t>REF</t>
  </si>
  <si>
    <t>SEC</t>
  </si>
  <si>
    <t>TRN</t>
  </si>
  <si>
    <t>TAX</t>
  </si>
  <si>
    <t>DOC</t>
  </si>
  <si>
    <t>TRD</t>
  </si>
  <si>
    <t>What would unblock it</t>
  </si>
  <si>
    <t>Scenario</t>
  </si>
  <si>
    <t>Why it could not be executed</t>
  </si>
  <si>
    <t>No gateway sandbox credentials are configured in this environment (.env carries no Stripe/PayPal/SumUp test keys), and the order endpoint verifies the charge with the provider before it will create an order. Needs a sandbox account to run.</t>
  </si>
  <si>
    <t>Gateway sandbox credentials (Stripe or SumUp test keys) in the environment.</t>
  </si>
  <si>
    <t>Same blocker as PAY-01: the provider round trip cannot be exercised without sandbox credentials.</t>
  </si>
  <si>
    <t>Gateway sandbox credentials, as PAY-01.</t>
  </si>
  <si>
    <t>Reaching order creation needs a payable gateway plus a configured shipping rule and place for the product; the storefront blocks checkout before that. The pricing that WOULD be used is covered by PRC/QTY/TAX above, which exercise the same Pricing methods OrdersController calls.</t>
  </si>
  <si>
    <t>A payable gateway plus a shipping rule and shipping place configured for the product.</t>
  </si>
  <si>
    <t>Depends on a created order (ORD-01). The template changes were verified by reading the rendered blade, but the end-to-end PDF was not produced.</t>
  </si>
  <si>
    <t>A created order (ORD-01), then render the PDF and compare it against the order rows.</t>
  </si>
  <si>
    <t>No browser is driven in this pass. UI-01 to UI-07 statically verify the breakpoints, overflow rules and fixed widths in the shipped files, which is evidence about the source, not about rendering on a device.</t>
  </si>
  <si>
    <t>A browser driver (Playwright or similar) against the built storefront and admin panel.</t>
  </si>
  <si>
    <t>Requires a real browser session. The server-side halves that matter are covered: basket isolation between customers (CART-ISO-01), guest handover repricing (CART-B-01) and re-read repricing (CART-SEC-01).</t>
  </si>
  <si>
    <t>A browser driver with session and multi-tab control.</t>
  </si>
  <si>
    <t>Not touched by this work and not exercised here. The refund path (Helper\Refunder, CancellationsController) was not modified in any of the three changesets.</t>
  </si>
  <si>
    <t>A completed order to return or refund, so also depends on ORD-01.</t>
  </si>
  <si>
    <t>The feature does not exist. Tax is decided per product (products.excludeVAT plus tax_rules) with no country dimension anywhere in the schema or the pricing code. Raised as a product gap, not a defect.</t>
  </si>
  <si>
    <t>Product decision: country-based VAT does not exist in the schema or the pricing code.</t>
  </si>
  <si>
    <t>The feature does not exist. Nothing in the schema stores files against an account, and the trade form collects no upload. Raised as a gap.</t>
  </si>
  <si>
    <t>Product decision: document upload for trade applications does not exist.</t>
  </si>
  <si>
    <t>Defect ID</t>
  </si>
  <si>
    <t>Summary</t>
  </si>
  <si>
    <t>Expected</t>
  </si>
  <si>
    <t>Actual</t>
  </si>
  <si>
    <t>Root cause</t>
  </si>
  <si>
    <t>Resolution</t>
  </si>
  <si>
    <t>QA-D01</t>
  </si>
  <si>
    <t>TRD-APP-02, TRD-REJ-02, TRD-REJ-04 and 3 more</t>
  </si>
  <si>
    <t>Email assertions read the wrong message</t>
  </si>
  <si>
    <t>Each case inspects the email it generated</t>
  </si>
  <si>
    <t>Cases read the previous case email in the same module</t>
  </si>
  <si>
    <t>The outbox was emptied once per test method, not per case, so modules that send mail in more than one case saw a stale message at index 0.</t>
  </si>
  <si>
    <t>Harness: the outbox is now flushed before every case.</t>
  </si>
  <si>
    <t>Closed - not a product defect</t>
  </si>
  <si>
    <t>QA-D02</t>
  </si>
  <si>
    <t>NOT-FAIL-02 to NOT-FAIL-05</t>
  </si>
  <si>
    <t>Later cases died on getSwiftMailer()</t>
  </si>
  <si>
    <t>Each case runs independently</t>
  </si>
  <si>
    <t>BadMethodCallException on the mocked Mail facade</t>
  </si>
  <si>
    <t>A Mockery facade mock created in the transport-failure case stands for the rest of the test method, so every later case in it hit the mock instead of the real mailer.</t>
  </si>
  <si>
    <t>Harness: the transport-failure case was given a method of its own, which gets a fresh application.</t>
  </si>
  <si>
    <t>QA-D03</t>
  </si>
  <si>
    <t>QTY-DIR-01, E2E-* (4 cases)</t>
  </si>
  <si>
    <t>Basket read returned no lines</t>
  </si>
  <si>
    <t>The caller own basket lines are returned</t>
  </si>
  <si>
    <t>Empty result, unit price null</t>
  </si>
  <si>
    <t>Passport::actingAs sets one guard and leaves the others standing. After a case acted as an admin, the admin guard still resolved and CartsController::byUser correctly scoped the basket to admin_id - the application was right, the harness was not.</t>
  </si>
  <si>
    <t>Harness: switching identity now drops resolved guards first.</t>
  </si>
  <si>
    <t>QA-D04</t>
  </si>
  <si>
    <t>CART-SEC-02, QTY-DIR-01</t>
  </si>
  <si>
    <t>Add to basket refused</t>
  </si>
  <si>
    <t>Line created at the catalogue price</t>
  </si>
  <si>
    <t>Quantity exceeds inventory</t>
  </si>
  <si>
    <t>The fixture took the product first inventory row, which holds 0 units with backorder off. The refusal was correct stock behaviour.</t>
  </si>
  <si>
    <t>Harness: the fixture now selects a purchasable variation.</t>
  </si>
  <si>
    <t>QA-D05</t>
  </si>
  <si>
    <t>SEC-10, DSH-09</t>
  </si>
  <si>
    <t>Guest cases behaved as a signed-in customer</t>
  </si>
  <si>
    <t>Guest sees no bands and a personal account object</t>
  </si>
  <si>
    <t>Bands returned; account reported as business</t>
  </si>
  <si>
    <t>Same guard leakage as QA-D03: the cases never actually became anonymous.</t>
  </si>
  <si>
    <t>Harness: anonymous cases now clear authentication explicitly.</t>
  </si>
  <si>
    <t>QA-D06</t>
  </si>
  <si>
    <t>Catalogue price change not reflected in the basket</t>
  </si>
  <si>
    <t>Basket shows the new price</t>
  </si>
  <si>
    <t>Basket kept the original price</t>
  </si>
  <si>
    <t>My expectation was wrong. The buyable rows on the test product are variations carrying their own price, and a variant price outranks products.selling by design, so changing products.selling could not move the line.</t>
  </si>
  <si>
    <t>Case corrected to move the variation price, which is the figure that governs the line. It re-prices correctly.</t>
  </si>
  <si>
    <t>QA-D07</t>
  </si>
  <si>
    <t>PO-03, PO-04</t>
  </si>
  <si>
    <t>Order refused before the purchase order gate</t>
  </si>
  <si>
    <t>Refused naming the purchase order number</t>
  </si>
  <si>
    <t>Gateway is not accepted</t>
  </si>
  <si>
    <t>The cases used order_method 1 (Razorpay), which is switched off on this install, so the request was refused at the gateway check first.</t>
  </si>
  <si>
    <t>Cases now use bank transfer, which is enabled here. The purchase order gate is reached and refuses correctly.</t>
  </si>
  <si>
    <t>QA-F01</t>
  </si>
  <si>
    <t>Incidental - found while checking enabled gateways</t>
  </si>
  <si>
    <t>Payments / Security</t>
  </si>
  <si>
    <t>Live Stripe secret key stored in the development database</t>
  </si>
  <si>
    <t>Live secrets are not present in a development database</t>
  </si>
  <si>
    <t>payments row holds a live Stripe secret key and publishable key</t>
  </si>
  <si>
    <t>Live credentials were saved into the payments settings row and the database was copied to a development environment. Stripe itself is disabled, so nothing is charging through it.</t>
  </si>
  <si>
    <t>Recommended: roll the key in the Stripe dashboard and keep live secrets out of any database that reaches a developer machine. Outside the Business and Trade scope.</t>
  </si>
  <si>
    <t>Open - referred</t>
  </si>
  <si>
    <t>Purpose</t>
  </si>
  <si>
    <t>Environment label</t>
  </si>
  <si>
    <t>Type</t>
  </si>
  <si>
    <t>Runtime</t>
  </si>
  <si>
    <t>Data</t>
  </si>
  <si>
    <t>Mail</t>
  </si>
  <si>
    <t>API / Integration</t>
  </si>
  <si>
    <t>PHP 8, Laravel 8, PHPUnit 9.6</t>
  </si>
  <si>
    <t>Development MySQL; each case in a rolled-back transaction</t>
  </si>
  <si>
    <t>Array transport, messages captured and inspected</t>
  </si>
  <si>
    <t>Where every executed case in this workbook ran. Asserts stored rows, API payloads and rendered emails.</t>
  </si>
  <si>
    <t>Local - static source review</t>
  </si>
  <si>
    <t>Static</t>
  </si>
  <si>
    <t>File reads over the shipped source</t>
  </si>
  <si>
    <t>frontend-panel, admin-panel, resources/views</t>
  </si>
  <si>
    <t>n/a</t>
  </si>
  <si>
    <t>UI-01 to UI-07: breakpoints, overflow rules and fixed widths in the files that shipped. Evidence about the source, not about a device.</t>
  </si>
  <si>
    <t>Not available - payment gateway sandbox</t>
  </si>
  <si>
    <t>Needed for PAY-01 and PAY-02, and therefore for ORD-01 and INV-01.</t>
  </si>
  <si>
    <t>Not available - browser driver</t>
  </si>
  <si>
    <t>Needed for RESP-01 (device rendering) and BRW-01 (session, tabs, navigation).</t>
  </si>
</sst>
</file>

<file path=xl/styles.xml><?xml version="1.0" encoding="utf-8"?>
<styleSheet xmlns="http://schemas.openxmlformats.org/spreadsheetml/2006/main" xml:space="preserve">
  <numFmts count="1">
    <numFmt numFmtId="164" formatCode="0.0%"/>
  </numFmts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16202E"/>
      <name val="Calibri"/>
    </font>
    <font>
      <b val="0"/>
      <i val="0"/>
      <strike val="0"/>
      <u val="none"/>
      <sz val="11"/>
      <color rgb="FF5A6678"/>
      <name val="Calibri"/>
    </font>
    <font>
      <b val="1"/>
      <i val="0"/>
      <strike val="0"/>
      <u val="none"/>
      <sz val="10"/>
      <color rgb="FF5A6678"/>
      <name val="Calibri"/>
    </font>
    <font>
      <b val="0"/>
      <i val="0"/>
      <strike val="0"/>
      <u val="none"/>
      <sz val="11"/>
      <color rgb="FF16202E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0"/>
      <color rgb="FF2C5AA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6"/>
      <color rgb="FF16202E"/>
      <name val="Calibri"/>
    </font>
    <font>
      <b val="0"/>
      <i val="0"/>
      <strike val="0"/>
      <u val="none"/>
      <sz val="10"/>
      <color rgb="FF5A6678"/>
      <name val="Calibri"/>
    </font>
    <font>
      <b val="0"/>
      <i val="0"/>
      <strike val="0"/>
      <u val="none"/>
      <sz val="10"/>
      <color rgb="FF8A5A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C5AA0"/>
        <bgColor rgb="FF000000"/>
      </patternFill>
    </fill>
    <fill>
      <patternFill patternType="none"/>
    </fill>
    <fill>
      <patternFill patternType="solid">
        <fgColor rgb="FFFBF0DC"/>
        <bgColor rgb="FF000000"/>
      </patternFill>
    </fill>
  </fills>
  <borders count="2">
    <border>
      <left/>
      <right/>
      <top/>
      <bottom/>
      <diagonal/>
    </border>
    <border>
      <left style="thin">
        <color rgb="FFDFE4EB"/>
      </left>
      <right style="thin">
        <color rgb="FFDFE4EB"/>
      </right>
      <top style="thin">
        <color rgb="FFDFE4EB"/>
      </top>
      <bottom style="thin">
        <color rgb="FFDFE4EB"/>
      </bottom>
      <diagonal/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vertical="top" textRotation="0" wrapText="true" shrinkToFit="false"/>
    </xf>
    <xf xfId="0" fontId="6" numFmtId="0" fillId="2" borderId="1" applyFont="1" applyNumberFormat="0" applyFill="1" applyBorder="1" applyAlignment="1">
      <alignment vertical="center" textRotation="0" wrapText="true" shrinkToFit="false"/>
    </xf>
    <xf xfId="0" fontId="7" numFmtId="0" fillId="0" borderId="1" applyFont="1" applyNumberFormat="0" applyFill="0" applyBorder="1" applyAlignment="1">
      <alignment vertical="top" textRotation="0" wrapText="true" shrinkToFit="false"/>
    </xf>
    <xf xfId="0" fontId="8" numFmtId="0" fillId="0" borderId="1" applyFont="1" applyNumberFormat="0" applyFill="0" applyBorder="1" applyAlignment="1">
      <alignment vertical="top" textRotation="0" wrapText="true" shrinkToFit="false"/>
    </xf>
    <xf xfId="0" fontId="8" numFmtId="0" fillId="0" borderId="1" applyFont="1" applyNumberFormat="0" applyFill="0" applyBorder="1" applyAlignment="1">
      <alignment horizontal="center" vertical="top" textRotation="0" wrapText="true" shrinkToFit="false"/>
    </xf>
    <xf xfId="0" fontId="9" numFmtId="0" fillId="0" borderId="0" applyFont="1" applyNumberFormat="0" applyFill="0" applyBorder="0" applyAlignment="0"/>
    <xf xfId="0" fontId="10" numFmtId="0" fillId="0" borderId="0" applyFont="1" applyNumberFormat="0" applyFill="0" applyBorder="0" applyAlignment="0"/>
    <xf xfId="0" fontId="6" numFmtId="0" fillId="3" borderId="0" applyFont="1" applyNumberFormat="0" applyFill="1" applyBorder="0" applyAlignment="1">
      <alignment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164" fillId="0" borderId="1" applyFont="1" applyNumberFormat="1" applyFill="0" applyBorder="1" applyAlignment="0"/>
    <xf xfId="0" fontId="0" numFmtId="164" fillId="0" borderId="1" applyFont="0" applyNumberFormat="1" applyFill="0" applyBorder="1" applyAlignment="0"/>
    <xf xfId="0" fontId="6" numFmtId="0" fillId="2" borderId="1" applyFont="1" applyNumberFormat="0" applyFill="1" applyBorder="1" applyAlignment="0"/>
    <xf xfId="0" fontId="11" numFmtId="0" fillId="4" borderId="0" applyFont="1" applyNumberFormat="0" applyFill="1" applyBorder="0" applyAlignment="1">
      <alignment vertical="top" textRotation="0" wrapText="true" shrinkToFit="false"/>
    </xf>
  </cellXfs>
  <cellStyles count="1">
    <cellStyle name="Normal" xfId="0" builtinId="0"/>
  </cellStyles>
  <dxfs count="8">
    <dxf>
      <font>
        <b val="1"/>
        <color rgb="FF1F7A4D"/>
      </font>
      <fill>
        <patternFill patternType="solid">
          <bgColor rgb="FFE4F2EA"/>
        </patternFill>
      </fill>
      <border/>
    </dxf>
    <dxf>
      <font>
        <b val="1"/>
        <color rgb="FFA8271F"/>
      </font>
      <fill>
        <patternFill patternType="solid">
          <bgColor rgb="FFFBE9E7"/>
        </patternFill>
      </fill>
      <border/>
    </dxf>
    <dxf>
      <font>
        <b val="1"/>
        <color rgb="FF8A5A00"/>
      </font>
      <fill>
        <patternFill patternType="solid">
          <bgColor rgb="FFFBF0DC"/>
        </patternFill>
      </fill>
      <border/>
    </dxf>
    <dxf>
      <font>
        <b val="1"/>
        <color rgb="FF5A6678"/>
      </font>
      <fill>
        <patternFill patternType="solid">
          <bgColor rgb="FFEFF2F6"/>
        </patternFill>
      </fill>
      <border/>
    </dxf>
    <dxf>
      <font>
        <color rgb="FFA8271F"/>
      </font>
      <fill>
        <patternFill patternType="solid">
          <bgColor rgb="FFFBE9E7"/>
        </patternFill>
      </fill>
      <border/>
    </dxf>
    <dxf>
      <font>
        <color rgb="FFA8271F"/>
      </font>
      <fill>
        <patternFill patternType="solid">
          <bgColor rgb="FFFBE9E7"/>
        </patternFill>
      </fill>
      <border/>
    </dxf>
    <dxf>
      <font>
        <color rgb="FF8A5A00"/>
      </font>
      <fill>
        <patternFill patternType="solid">
          <bgColor rgb="FFFBF0DC"/>
        </patternFill>
      </fill>
      <border/>
    </dxf>
    <dxf>
      <font>
        <color rgb="FF5A6678"/>
      </font>
      <fill>
        <patternFill patternType="solid">
          <bgColor rgb="FFEFF2F6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false" showRowColHeaders="1">
      <selection activeCell="C22" sqref="C22"/>
    </sheetView>
  </sheetViews>
  <sheetFormatPr defaultRowHeight="14.4" outlineLevelRow="0" outlineLevelCol="0"/>
  <cols>
    <col min="1" max="1" width="3" customWidth="true" style="0"/>
    <col min="2" max="2" width="34" customWidth="true" style="0"/>
    <col min="3" max="3" width="86" customWidth="true" style="0"/>
  </cols>
  <sheetData>
    <row r="2" spans="1:3">
      <c r="B2" s="2" t="s">
        <v>0</v>
      </c>
    </row>
    <row r="3" spans="1:3" customHeight="1" ht="32">
      <c r="B3" s="3" t="s">
        <v>1</v>
      </c>
    </row>
    <row r="6" spans="1:3">
      <c r="B6" s="4" t="s">
        <v>2</v>
      </c>
      <c r="C6" s="5" t="s">
        <v>3</v>
      </c>
    </row>
    <row r="7" spans="1:3">
      <c r="B7" s="4" t="s">
        <v>4</v>
      </c>
      <c r="C7" s="5" t="s">
        <v>5</v>
      </c>
    </row>
    <row r="8" spans="1:3">
      <c r="B8" s="4" t="s">
        <v>6</v>
      </c>
      <c r="C8" s="5" t="s">
        <v>7</v>
      </c>
    </row>
    <row r="9" spans="1:3">
      <c r="B9" s="4" t="s">
        <v>8</v>
      </c>
      <c r="C9" s="5" t="s">
        <v>9</v>
      </c>
    </row>
    <row r="10" spans="1:3">
      <c r="B10" s="4" t="s">
        <v>10</v>
      </c>
      <c r="C10" s="5" t="s">
        <v>11</v>
      </c>
    </row>
    <row r="12" spans="1:3">
      <c r="B12" s="4" t="s">
        <v>12</v>
      </c>
      <c r="C12" s="5">
        <v>223</v>
      </c>
    </row>
    <row r="13" spans="1:3">
      <c r="B13" s="4" t="s">
        <v>13</v>
      </c>
      <c r="C13" s="5">
        <v>214</v>
      </c>
    </row>
    <row r="14" spans="1:3">
      <c r="B14" s="4" t="s">
        <v>14</v>
      </c>
      <c r="C14" s="5">
        <v>214</v>
      </c>
    </row>
    <row r="15" spans="1:3">
      <c r="B15" s="4" t="s">
        <v>15</v>
      </c>
      <c r="C15" s="5">
        <v>0</v>
      </c>
    </row>
    <row r="16" spans="1:3">
      <c r="B16" s="4" t="s">
        <v>16</v>
      </c>
      <c r="C16" s="5">
        <v>9</v>
      </c>
    </row>
    <row r="17" spans="1:3">
      <c r="B17" s="4" t="s">
        <v>17</v>
      </c>
      <c r="C17" s="5" t="s">
        <v>18</v>
      </c>
    </row>
    <row r="19" spans="1:3" customHeight="1" ht="46">
      <c r="B19" s="4" t="s">
        <v>19</v>
      </c>
      <c r="C19" s="5" t="s">
        <v>20</v>
      </c>
    </row>
    <row r="20" spans="1:3" customHeight="1" ht="46">
      <c r="B20" s="4" t="s">
        <v>21</v>
      </c>
      <c r="C20" s="5" t="s">
        <v>22</v>
      </c>
    </row>
    <row r="21" spans="1:3" customHeight="1" ht="46">
      <c r="B21" s="4" t="s">
        <v>23</v>
      </c>
      <c r="C21" s="5" t="s">
        <v>24</v>
      </c>
    </row>
    <row r="22" spans="1:3" customHeight="1" ht="46">
      <c r="B22" s="4" t="s">
        <v>25</v>
      </c>
      <c r="C22" s="5" t="s">
        <v>26</v>
      </c>
    </row>
  </sheetData>
  <mergeCells>
    <mergeCell ref="B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224"/>
  <sheetViews>
    <sheetView tabSelected="0" workbookViewId="0" showGridLines="true" showRowColHeaders="1">
      <pane xSplit="3" ySplit="1" topLeftCell="D2" activePane="bottomRight" state="frozen"/>
      <selection pane="topRight"/>
      <selection pane="bottomLeft"/>
      <selection pane="bottomRight" activeCell="K2" sqref="K2:K224"/>
    </sheetView>
  </sheetViews>
  <sheetFormatPr defaultRowHeight="14.4" outlineLevelRow="0" outlineLevelCol="0"/>
  <cols>
    <col min="1" max="1" width="14" customWidth="true" style="0"/>
    <col min="2" max="2" width="21" customWidth="true" style="0"/>
    <col min="3" max="3" width="30" customWidth="true" style="0"/>
    <col min="4" max="4" width="46" customWidth="true" style="0"/>
    <col min="5" max="5" width="34" customWidth="true" style="0"/>
    <col min="6" max="6" width="40" customWidth="true" style="0"/>
    <col min="7" max="7" width="34" customWidth="true" style="0"/>
    <col min="8" max="8" width="44" customWidth="true" style="0"/>
    <col min="9" max="9" width="44" customWidth="true" style="0"/>
    <col min="10" max="10" width="10" customWidth="true" style="0"/>
    <col min="11" max="11" width="10" customWidth="true" style="0"/>
    <col min="12" max="12" width="19" customWidth="true" style="0"/>
    <col min="13" max="13" width="28" customWidth="true" style="0"/>
    <col min="14" max="14" width="11" customWidth="true" style="0"/>
    <col min="15" max="15" width="38" customWidth="true" style="0"/>
  </cols>
  <sheetData>
    <row r="1" spans="1:15" customHeight="1" ht="30">
      <c r="A1" s="6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33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38</v>
      </c>
      <c r="L1" s="6" t="s">
        <v>39</v>
      </c>
      <c r="M1" s="6" t="s">
        <v>10</v>
      </c>
      <c r="N1" s="6" t="s">
        <v>40</v>
      </c>
      <c r="O1" s="6" t="s">
        <v>27</v>
      </c>
    </row>
    <row r="2" spans="1:15">
      <c r="A2" s="7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8" t="s">
        <v>47</v>
      </c>
      <c r="H2" s="8" t="s">
        <v>48</v>
      </c>
      <c r="I2" s="8" t="s">
        <v>47</v>
      </c>
      <c r="J2" s="9" t="s">
        <v>49</v>
      </c>
      <c r="K2" s="9" t="s">
        <v>50</v>
      </c>
      <c r="L2" s="9" t="s">
        <v>51</v>
      </c>
      <c r="M2" s="9" t="s">
        <v>52</v>
      </c>
      <c r="N2" s="9" t="s">
        <v>53</v>
      </c>
      <c r="O2" s="8"/>
    </row>
    <row r="3" spans="1:15">
      <c r="A3" s="7" t="s">
        <v>54</v>
      </c>
      <c r="B3" s="8" t="s">
        <v>42</v>
      </c>
      <c r="C3" s="8" t="s">
        <v>43</v>
      </c>
      <c r="D3" s="8" t="s">
        <v>55</v>
      </c>
      <c r="E3" s="8" t="s">
        <v>45</v>
      </c>
      <c r="F3" s="8" t="s">
        <v>46</v>
      </c>
      <c r="G3" s="8" t="s">
        <v>56</v>
      </c>
      <c r="H3" s="8" t="s">
        <v>57</v>
      </c>
      <c r="I3" s="8" t="s">
        <v>56</v>
      </c>
      <c r="J3" s="9" t="s">
        <v>49</v>
      </c>
      <c r="K3" s="9" t="s">
        <v>50</v>
      </c>
      <c r="L3" s="9" t="s">
        <v>51</v>
      </c>
      <c r="M3" s="9" t="s">
        <v>52</v>
      </c>
      <c r="N3" s="9" t="s">
        <v>53</v>
      </c>
      <c r="O3" s="8"/>
    </row>
    <row r="4" spans="1:15">
      <c r="A4" s="7" t="s">
        <v>58</v>
      </c>
      <c r="B4" s="8" t="s">
        <v>42</v>
      </c>
      <c r="C4" s="8" t="s">
        <v>43</v>
      </c>
      <c r="D4" s="8" t="s">
        <v>59</v>
      </c>
      <c r="E4" s="8" t="s">
        <v>45</v>
      </c>
      <c r="F4" s="8" t="s">
        <v>46</v>
      </c>
      <c r="G4" s="8" t="s">
        <v>60</v>
      </c>
      <c r="H4" s="8" t="s">
        <v>61</v>
      </c>
      <c r="I4" s="8" t="s">
        <v>60</v>
      </c>
      <c r="J4" s="9" t="s">
        <v>49</v>
      </c>
      <c r="K4" s="9" t="s">
        <v>50</v>
      </c>
      <c r="L4" s="9" t="s">
        <v>51</v>
      </c>
      <c r="M4" s="9" t="s">
        <v>52</v>
      </c>
      <c r="N4" s="9" t="s">
        <v>53</v>
      </c>
      <c r="O4" s="8"/>
    </row>
    <row r="5" spans="1:15">
      <c r="A5" s="7" t="s">
        <v>62</v>
      </c>
      <c r="B5" s="8" t="s">
        <v>42</v>
      </c>
      <c r="C5" s="8" t="s">
        <v>43</v>
      </c>
      <c r="D5" s="8" t="s">
        <v>63</v>
      </c>
      <c r="E5" s="8" t="s">
        <v>64</v>
      </c>
      <c r="F5" s="8" t="s">
        <v>65</v>
      </c>
      <c r="G5" s="8" t="s">
        <v>66</v>
      </c>
      <c r="H5" s="8" t="s">
        <v>67</v>
      </c>
      <c r="I5" s="8" t="s">
        <v>47</v>
      </c>
      <c r="J5" s="9" t="s">
        <v>68</v>
      </c>
      <c r="K5" s="9" t="s">
        <v>69</v>
      </c>
      <c r="L5" s="9" t="s">
        <v>51</v>
      </c>
      <c r="M5" s="9" t="s">
        <v>52</v>
      </c>
      <c r="N5" s="9" t="s">
        <v>53</v>
      </c>
      <c r="O5" s="8"/>
    </row>
    <row r="6" spans="1:15">
      <c r="A6" s="7" t="s">
        <v>70</v>
      </c>
      <c r="B6" s="8" t="s">
        <v>42</v>
      </c>
      <c r="C6" s="8" t="s">
        <v>43</v>
      </c>
      <c r="D6" s="8" t="s">
        <v>71</v>
      </c>
      <c r="E6" s="8" t="s">
        <v>72</v>
      </c>
      <c r="F6" s="8" t="s">
        <v>73</v>
      </c>
      <c r="G6" s="8" t="s">
        <v>74</v>
      </c>
      <c r="H6" s="8" t="s">
        <v>75</v>
      </c>
      <c r="I6" s="8" t="s">
        <v>76</v>
      </c>
      <c r="J6" s="9" t="s">
        <v>49</v>
      </c>
      <c r="K6" s="9" t="s">
        <v>50</v>
      </c>
      <c r="L6" s="9" t="s">
        <v>77</v>
      </c>
      <c r="M6" s="9" t="s">
        <v>52</v>
      </c>
      <c r="N6" s="9" t="s">
        <v>53</v>
      </c>
      <c r="O6" s="8"/>
    </row>
    <row r="7" spans="1:15">
      <c r="A7" s="7" t="s">
        <v>78</v>
      </c>
      <c r="B7" s="8" t="s">
        <v>42</v>
      </c>
      <c r="C7" s="8" t="s">
        <v>43</v>
      </c>
      <c r="D7" s="8" t="s">
        <v>79</v>
      </c>
      <c r="E7" s="8" t="s">
        <v>72</v>
      </c>
      <c r="F7" s="8" t="s">
        <v>80</v>
      </c>
      <c r="G7" s="8" t="s">
        <v>81</v>
      </c>
      <c r="H7" s="8" t="s">
        <v>82</v>
      </c>
      <c r="I7" s="8" t="s">
        <v>83</v>
      </c>
      <c r="J7" s="9" t="s">
        <v>49</v>
      </c>
      <c r="K7" s="9" t="s">
        <v>50</v>
      </c>
      <c r="L7" s="9" t="s">
        <v>77</v>
      </c>
      <c r="M7" s="9" t="s">
        <v>52</v>
      </c>
      <c r="N7" s="9" t="s">
        <v>53</v>
      </c>
      <c r="O7" s="8"/>
    </row>
    <row r="8" spans="1:15">
      <c r="A8" s="7" t="s">
        <v>84</v>
      </c>
      <c r="B8" s="8" t="s">
        <v>42</v>
      </c>
      <c r="C8" s="8" t="s">
        <v>43</v>
      </c>
      <c r="D8" s="8" t="s">
        <v>85</v>
      </c>
      <c r="E8" s="8" t="s">
        <v>72</v>
      </c>
      <c r="F8" s="8" t="s">
        <v>86</v>
      </c>
      <c r="G8" s="8" t="s">
        <v>87</v>
      </c>
      <c r="H8" s="8" t="s">
        <v>88</v>
      </c>
      <c r="I8" s="8" t="s">
        <v>89</v>
      </c>
      <c r="J8" s="9" t="s">
        <v>49</v>
      </c>
      <c r="K8" s="9" t="s">
        <v>90</v>
      </c>
      <c r="L8" s="9" t="s">
        <v>77</v>
      </c>
      <c r="M8" s="9" t="s">
        <v>52</v>
      </c>
      <c r="N8" s="9" t="s">
        <v>53</v>
      </c>
      <c r="O8" s="8"/>
    </row>
    <row r="9" spans="1:15">
      <c r="A9" s="7" t="s">
        <v>91</v>
      </c>
      <c r="B9" s="8" t="s">
        <v>42</v>
      </c>
      <c r="C9" s="8" t="s">
        <v>43</v>
      </c>
      <c r="D9" s="8" t="s">
        <v>92</v>
      </c>
      <c r="E9" s="8" t="s">
        <v>93</v>
      </c>
      <c r="F9" s="8" t="s">
        <v>94</v>
      </c>
      <c r="G9" s="8" t="s">
        <v>95</v>
      </c>
      <c r="H9" s="8" t="s">
        <v>96</v>
      </c>
      <c r="I9" s="8" t="s">
        <v>97</v>
      </c>
      <c r="J9" s="9" t="s">
        <v>49</v>
      </c>
      <c r="K9" s="9" t="s">
        <v>50</v>
      </c>
      <c r="L9" s="9" t="s">
        <v>51</v>
      </c>
      <c r="M9" s="9" t="s">
        <v>52</v>
      </c>
      <c r="N9" s="9" t="s">
        <v>53</v>
      </c>
      <c r="O9" s="8"/>
    </row>
    <row r="10" spans="1:15">
      <c r="A10" s="7" t="s">
        <v>98</v>
      </c>
      <c r="B10" s="8" t="s">
        <v>42</v>
      </c>
      <c r="C10" s="8" t="s">
        <v>43</v>
      </c>
      <c r="D10" s="8" t="s">
        <v>99</v>
      </c>
      <c r="E10" s="8" t="s">
        <v>100</v>
      </c>
      <c r="F10" s="8" t="s">
        <v>101</v>
      </c>
      <c r="G10" s="8" t="s">
        <v>102</v>
      </c>
      <c r="H10" s="8" t="s">
        <v>103</v>
      </c>
      <c r="I10" s="8" t="s">
        <v>104</v>
      </c>
      <c r="J10" s="9" t="s">
        <v>68</v>
      </c>
      <c r="K10" s="9" t="s">
        <v>69</v>
      </c>
      <c r="L10" s="9" t="s">
        <v>77</v>
      </c>
      <c r="M10" s="9" t="s">
        <v>52</v>
      </c>
      <c r="N10" s="9" t="s">
        <v>53</v>
      </c>
      <c r="O10" s="8"/>
    </row>
    <row r="11" spans="1:15">
      <c r="A11" s="7" t="s">
        <v>105</v>
      </c>
      <c r="B11" s="8" t="s">
        <v>42</v>
      </c>
      <c r="C11" s="8" t="s">
        <v>43</v>
      </c>
      <c r="D11" s="8" t="s">
        <v>106</v>
      </c>
      <c r="E11" s="8" t="s">
        <v>107</v>
      </c>
      <c r="F11" s="8" t="s">
        <v>108</v>
      </c>
      <c r="G11" s="8" t="s">
        <v>109</v>
      </c>
      <c r="H11" s="8" t="s">
        <v>110</v>
      </c>
      <c r="I11" s="8" t="s">
        <v>111</v>
      </c>
      <c r="J11" s="9" t="s">
        <v>49</v>
      </c>
      <c r="K11" s="9" t="s">
        <v>90</v>
      </c>
      <c r="L11" s="9" t="s">
        <v>77</v>
      </c>
      <c r="M11" s="9" t="s">
        <v>52</v>
      </c>
      <c r="N11" s="9" t="s">
        <v>53</v>
      </c>
      <c r="O11" s="8"/>
    </row>
    <row r="12" spans="1:15">
      <c r="A12" s="7" t="s">
        <v>112</v>
      </c>
      <c r="B12" s="8" t="s">
        <v>113</v>
      </c>
      <c r="C12" s="8" t="s">
        <v>114</v>
      </c>
      <c r="D12" s="8" t="s">
        <v>115</v>
      </c>
      <c r="E12" s="8" t="s">
        <v>45</v>
      </c>
      <c r="F12" s="8" t="s">
        <v>116</v>
      </c>
      <c r="G12" s="8" t="s">
        <v>117</v>
      </c>
      <c r="H12" s="8" t="s">
        <v>118</v>
      </c>
      <c r="I12" s="8" t="s">
        <v>119</v>
      </c>
      <c r="J12" s="9" t="s">
        <v>49</v>
      </c>
      <c r="K12" s="9" t="s">
        <v>50</v>
      </c>
      <c r="L12" s="9" t="s">
        <v>51</v>
      </c>
      <c r="M12" s="9" t="s">
        <v>52</v>
      </c>
      <c r="N12" s="9" t="s">
        <v>53</v>
      </c>
      <c r="O12" s="8"/>
    </row>
    <row r="13" spans="1:15">
      <c r="A13" s="7" t="s">
        <v>120</v>
      </c>
      <c r="B13" s="8" t="s">
        <v>113</v>
      </c>
      <c r="C13" s="8" t="s">
        <v>114</v>
      </c>
      <c r="D13" s="8" t="s">
        <v>121</v>
      </c>
      <c r="E13" s="8" t="s">
        <v>45</v>
      </c>
      <c r="F13" s="8" t="s">
        <v>116</v>
      </c>
      <c r="G13" s="8" t="s">
        <v>122</v>
      </c>
      <c r="H13" s="8" t="s">
        <v>123</v>
      </c>
      <c r="I13" s="8" t="s">
        <v>124</v>
      </c>
      <c r="J13" s="9" t="s">
        <v>49</v>
      </c>
      <c r="K13" s="9" t="s">
        <v>50</v>
      </c>
      <c r="L13" s="9" t="s">
        <v>77</v>
      </c>
      <c r="M13" s="9" t="s">
        <v>52</v>
      </c>
      <c r="N13" s="9" t="s">
        <v>53</v>
      </c>
      <c r="O13" s="8"/>
    </row>
    <row r="14" spans="1:15">
      <c r="A14" s="7" t="s">
        <v>125</v>
      </c>
      <c r="B14" s="8" t="s">
        <v>113</v>
      </c>
      <c r="C14" s="8" t="s">
        <v>114</v>
      </c>
      <c r="D14" s="8" t="s">
        <v>126</v>
      </c>
      <c r="E14" s="8" t="s">
        <v>45</v>
      </c>
      <c r="F14" s="8" t="s">
        <v>116</v>
      </c>
      <c r="G14" s="8" t="s">
        <v>127</v>
      </c>
      <c r="H14" s="8" t="s">
        <v>128</v>
      </c>
      <c r="I14" s="8" t="s">
        <v>129</v>
      </c>
      <c r="J14" s="9" t="s">
        <v>68</v>
      </c>
      <c r="K14" s="9" t="s">
        <v>69</v>
      </c>
      <c r="L14" s="9" t="s">
        <v>77</v>
      </c>
      <c r="M14" s="9" t="s">
        <v>52</v>
      </c>
      <c r="N14" s="9" t="s">
        <v>53</v>
      </c>
      <c r="O14" s="8"/>
    </row>
    <row r="15" spans="1:15">
      <c r="A15" s="7" t="s">
        <v>130</v>
      </c>
      <c r="B15" s="8" t="s">
        <v>113</v>
      </c>
      <c r="C15" s="8" t="s">
        <v>114</v>
      </c>
      <c r="D15" s="8" t="s">
        <v>131</v>
      </c>
      <c r="E15" s="8" t="s">
        <v>45</v>
      </c>
      <c r="F15" s="8" t="s">
        <v>116</v>
      </c>
      <c r="G15" s="8" t="s">
        <v>132</v>
      </c>
      <c r="H15" s="8" t="s">
        <v>133</v>
      </c>
      <c r="I15" s="8" t="s">
        <v>134</v>
      </c>
      <c r="J15" s="9" t="s">
        <v>49</v>
      </c>
      <c r="K15" s="9" t="s">
        <v>50</v>
      </c>
      <c r="L15" s="9" t="s">
        <v>77</v>
      </c>
      <c r="M15" s="9" t="s">
        <v>52</v>
      </c>
      <c r="N15" s="9" t="s">
        <v>53</v>
      </c>
      <c r="O15" s="8"/>
    </row>
    <row r="16" spans="1:15">
      <c r="A16" s="7" t="s">
        <v>135</v>
      </c>
      <c r="B16" s="8" t="s">
        <v>113</v>
      </c>
      <c r="C16" s="8" t="s">
        <v>114</v>
      </c>
      <c r="D16" s="8" t="s">
        <v>136</v>
      </c>
      <c r="E16" s="8" t="s">
        <v>45</v>
      </c>
      <c r="F16" s="8" t="s">
        <v>116</v>
      </c>
      <c r="G16" s="8" t="s">
        <v>137</v>
      </c>
      <c r="H16" s="8" t="s">
        <v>138</v>
      </c>
      <c r="I16" s="8" t="s">
        <v>139</v>
      </c>
      <c r="J16" s="9" t="s">
        <v>49</v>
      </c>
      <c r="K16" s="9" t="s">
        <v>50</v>
      </c>
      <c r="L16" s="9" t="s">
        <v>77</v>
      </c>
      <c r="M16" s="9" t="s">
        <v>52</v>
      </c>
      <c r="N16" s="9" t="s">
        <v>53</v>
      </c>
      <c r="O16" s="8"/>
    </row>
    <row r="17" spans="1:15">
      <c r="A17" s="7" t="s">
        <v>140</v>
      </c>
      <c r="B17" s="8" t="s">
        <v>113</v>
      </c>
      <c r="C17" s="8" t="s">
        <v>114</v>
      </c>
      <c r="D17" s="8" t="s">
        <v>141</v>
      </c>
      <c r="E17" s="8" t="s">
        <v>45</v>
      </c>
      <c r="F17" s="8" t="s">
        <v>116</v>
      </c>
      <c r="G17" s="8" t="s">
        <v>142</v>
      </c>
      <c r="H17" s="8" t="s">
        <v>143</v>
      </c>
      <c r="I17" s="8" t="s">
        <v>144</v>
      </c>
      <c r="J17" s="9" t="s">
        <v>68</v>
      </c>
      <c r="K17" s="9" t="s">
        <v>69</v>
      </c>
      <c r="L17" s="9" t="s">
        <v>77</v>
      </c>
      <c r="M17" s="9" t="s">
        <v>52</v>
      </c>
      <c r="N17" s="9" t="s">
        <v>53</v>
      </c>
      <c r="O17" s="8"/>
    </row>
    <row r="18" spans="1:15">
      <c r="A18" s="7" t="s">
        <v>145</v>
      </c>
      <c r="B18" s="8" t="s">
        <v>113</v>
      </c>
      <c r="C18" s="8" t="s">
        <v>114</v>
      </c>
      <c r="D18" s="8" t="s">
        <v>146</v>
      </c>
      <c r="E18" s="8" t="s">
        <v>45</v>
      </c>
      <c r="F18" s="8" t="s">
        <v>116</v>
      </c>
      <c r="G18" s="8" t="s">
        <v>147</v>
      </c>
      <c r="H18" s="8" t="s">
        <v>148</v>
      </c>
      <c r="I18" s="8" t="s">
        <v>149</v>
      </c>
      <c r="J18" s="9" t="s">
        <v>68</v>
      </c>
      <c r="K18" s="9" t="s">
        <v>69</v>
      </c>
      <c r="L18" s="9" t="s">
        <v>77</v>
      </c>
      <c r="M18" s="9" t="s">
        <v>52</v>
      </c>
      <c r="N18" s="9" t="s">
        <v>53</v>
      </c>
      <c r="O18" s="8"/>
    </row>
    <row r="19" spans="1:15">
      <c r="A19" s="7" t="s">
        <v>150</v>
      </c>
      <c r="B19" s="8" t="s">
        <v>113</v>
      </c>
      <c r="C19" s="8" t="s">
        <v>114</v>
      </c>
      <c r="D19" s="8" t="s">
        <v>151</v>
      </c>
      <c r="E19" s="8" t="s">
        <v>45</v>
      </c>
      <c r="F19" s="8" t="s">
        <v>116</v>
      </c>
      <c r="G19" s="8" t="s">
        <v>152</v>
      </c>
      <c r="H19" s="8" t="s">
        <v>153</v>
      </c>
      <c r="I19" s="8" t="s">
        <v>154</v>
      </c>
      <c r="J19" s="9" t="s">
        <v>49</v>
      </c>
      <c r="K19" s="9" t="s">
        <v>50</v>
      </c>
      <c r="L19" s="9" t="s">
        <v>77</v>
      </c>
      <c r="M19" s="9" t="s">
        <v>52</v>
      </c>
      <c r="N19" s="9" t="s">
        <v>53</v>
      </c>
      <c r="O19" s="8"/>
    </row>
    <row r="20" spans="1:15">
      <c r="A20" s="7" t="s">
        <v>155</v>
      </c>
      <c r="B20" s="8" t="s">
        <v>113</v>
      </c>
      <c r="C20" s="8" t="s">
        <v>114</v>
      </c>
      <c r="D20" s="8" t="s">
        <v>156</v>
      </c>
      <c r="E20" s="8" t="s">
        <v>45</v>
      </c>
      <c r="F20" s="8" t="s">
        <v>116</v>
      </c>
      <c r="G20" s="8" t="s">
        <v>157</v>
      </c>
      <c r="H20" s="8" t="s">
        <v>153</v>
      </c>
      <c r="I20" s="8" t="s">
        <v>154</v>
      </c>
      <c r="J20" s="9" t="s">
        <v>49</v>
      </c>
      <c r="K20" s="9" t="s">
        <v>50</v>
      </c>
      <c r="L20" s="9" t="s">
        <v>77</v>
      </c>
      <c r="M20" s="9" t="s">
        <v>52</v>
      </c>
      <c r="N20" s="9" t="s">
        <v>53</v>
      </c>
      <c r="O20" s="8"/>
    </row>
    <row r="21" spans="1:15">
      <c r="A21" s="7" t="s">
        <v>158</v>
      </c>
      <c r="B21" s="8" t="s">
        <v>113</v>
      </c>
      <c r="C21" s="8" t="s">
        <v>114</v>
      </c>
      <c r="D21" s="8" t="s">
        <v>159</v>
      </c>
      <c r="E21" s="8" t="s">
        <v>45</v>
      </c>
      <c r="F21" s="8" t="s">
        <v>116</v>
      </c>
      <c r="G21" s="8" t="s">
        <v>160</v>
      </c>
      <c r="H21" s="8" t="s">
        <v>153</v>
      </c>
      <c r="I21" s="8" t="s">
        <v>154</v>
      </c>
      <c r="J21" s="9" t="s">
        <v>49</v>
      </c>
      <c r="K21" s="9" t="s">
        <v>50</v>
      </c>
      <c r="L21" s="9" t="s">
        <v>77</v>
      </c>
      <c r="M21" s="9" t="s">
        <v>52</v>
      </c>
      <c r="N21" s="9" t="s">
        <v>53</v>
      </c>
      <c r="O21" s="8"/>
    </row>
    <row r="22" spans="1:15">
      <c r="A22" s="7" t="s">
        <v>161</v>
      </c>
      <c r="B22" s="8" t="s">
        <v>113</v>
      </c>
      <c r="C22" s="8" t="s">
        <v>114</v>
      </c>
      <c r="D22" s="8" t="s">
        <v>162</v>
      </c>
      <c r="E22" s="8" t="s">
        <v>45</v>
      </c>
      <c r="F22" s="8" t="s">
        <v>116</v>
      </c>
      <c r="G22" s="8" t="s">
        <v>163</v>
      </c>
      <c r="H22" s="8" t="s">
        <v>164</v>
      </c>
      <c r="I22" s="8" t="s">
        <v>165</v>
      </c>
      <c r="J22" s="9" t="s">
        <v>49</v>
      </c>
      <c r="K22" s="9" t="s">
        <v>50</v>
      </c>
      <c r="L22" s="9" t="s">
        <v>77</v>
      </c>
      <c r="M22" s="9" t="s">
        <v>52</v>
      </c>
      <c r="N22" s="9" t="s">
        <v>53</v>
      </c>
      <c r="O22" s="8"/>
    </row>
    <row r="23" spans="1:15">
      <c r="A23" s="7" t="s">
        <v>166</v>
      </c>
      <c r="B23" s="8" t="s">
        <v>113</v>
      </c>
      <c r="C23" s="8" t="s">
        <v>114</v>
      </c>
      <c r="D23" s="8" t="s">
        <v>167</v>
      </c>
      <c r="E23" s="8" t="s">
        <v>45</v>
      </c>
      <c r="F23" s="8" t="s">
        <v>116</v>
      </c>
      <c r="G23" s="8" t="s">
        <v>168</v>
      </c>
      <c r="H23" s="8" t="s">
        <v>164</v>
      </c>
      <c r="I23" s="8" t="s">
        <v>165</v>
      </c>
      <c r="J23" s="9" t="s">
        <v>49</v>
      </c>
      <c r="K23" s="9" t="s">
        <v>50</v>
      </c>
      <c r="L23" s="9" t="s">
        <v>77</v>
      </c>
      <c r="M23" s="9" t="s">
        <v>52</v>
      </c>
      <c r="N23" s="9" t="s">
        <v>53</v>
      </c>
      <c r="O23" s="8"/>
    </row>
    <row r="24" spans="1:15">
      <c r="A24" s="7" t="s">
        <v>169</v>
      </c>
      <c r="B24" s="8" t="s">
        <v>113</v>
      </c>
      <c r="C24" s="8" t="s">
        <v>114</v>
      </c>
      <c r="D24" s="8" t="s">
        <v>170</v>
      </c>
      <c r="E24" s="8" t="s">
        <v>45</v>
      </c>
      <c r="F24" s="8" t="s">
        <v>116</v>
      </c>
      <c r="G24" s="8" t="s">
        <v>171</v>
      </c>
      <c r="H24" s="8" t="s">
        <v>118</v>
      </c>
      <c r="I24" s="8" t="s">
        <v>119</v>
      </c>
      <c r="J24" s="9" t="s">
        <v>68</v>
      </c>
      <c r="K24" s="9" t="s">
        <v>69</v>
      </c>
      <c r="L24" s="9" t="s">
        <v>51</v>
      </c>
      <c r="M24" s="9" t="s">
        <v>52</v>
      </c>
      <c r="N24" s="9" t="s">
        <v>53</v>
      </c>
      <c r="O24" s="8"/>
    </row>
    <row r="25" spans="1:15">
      <c r="A25" s="7" t="s">
        <v>172</v>
      </c>
      <c r="B25" s="8" t="s">
        <v>113</v>
      </c>
      <c r="C25" s="8" t="s">
        <v>114</v>
      </c>
      <c r="D25" s="8" t="s">
        <v>173</v>
      </c>
      <c r="E25" s="8" t="s">
        <v>45</v>
      </c>
      <c r="F25" s="8" t="s">
        <v>116</v>
      </c>
      <c r="G25" s="8" t="s">
        <v>174</v>
      </c>
      <c r="H25" s="8" t="s">
        <v>175</v>
      </c>
      <c r="I25" s="8" t="s">
        <v>176</v>
      </c>
      <c r="J25" s="9" t="s">
        <v>68</v>
      </c>
      <c r="K25" s="9" t="s">
        <v>69</v>
      </c>
      <c r="L25" s="9" t="s">
        <v>77</v>
      </c>
      <c r="M25" s="9" t="s">
        <v>52</v>
      </c>
      <c r="N25" s="9" t="s">
        <v>53</v>
      </c>
      <c r="O25" s="8"/>
    </row>
    <row r="26" spans="1:15">
      <c r="A26" s="7" t="s">
        <v>177</v>
      </c>
      <c r="B26" s="8" t="s">
        <v>113</v>
      </c>
      <c r="C26" s="8" t="s">
        <v>114</v>
      </c>
      <c r="D26" s="8" t="s">
        <v>178</v>
      </c>
      <c r="E26" s="8" t="s">
        <v>45</v>
      </c>
      <c r="F26" s="8" t="s">
        <v>116</v>
      </c>
      <c r="G26" s="8" t="s">
        <v>179</v>
      </c>
      <c r="H26" s="8" t="s">
        <v>118</v>
      </c>
      <c r="I26" s="8" t="s">
        <v>119</v>
      </c>
      <c r="J26" s="9" t="s">
        <v>180</v>
      </c>
      <c r="K26" s="9" t="s">
        <v>69</v>
      </c>
      <c r="L26" s="9" t="s">
        <v>51</v>
      </c>
      <c r="M26" s="9" t="s">
        <v>52</v>
      </c>
      <c r="N26" s="9" t="s">
        <v>53</v>
      </c>
      <c r="O26" s="8"/>
    </row>
    <row r="27" spans="1:15">
      <c r="A27" s="7" t="s">
        <v>181</v>
      </c>
      <c r="B27" s="8" t="s">
        <v>113</v>
      </c>
      <c r="C27" s="8" t="s">
        <v>114</v>
      </c>
      <c r="D27" s="8" t="s">
        <v>182</v>
      </c>
      <c r="E27" s="8" t="s">
        <v>45</v>
      </c>
      <c r="F27" s="8" t="s">
        <v>116</v>
      </c>
      <c r="G27" s="8" t="s">
        <v>183</v>
      </c>
      <c r="H27" s="8" t="s">
        <v>184</v>
      </c>
      <c r="I27" s="8" t="s">
        <v>185</v>
      </c>
      <c r="J27" s="9" t="s">
        <v>180</v>
      </c>
      <c r="K27" s="9" t="s">
        <v>69</v>
      </c>
      <c r="L27" s="9" t="s">
        <v>77</v>
      </c>
      <c r="M27" s="9" t="s">
        <v>52</v>
      </c>
      <c r="N27" s="9" t="s">
        <v>53</v>
      </c>
      <c r="O27" s="8"/>
    </row>
    <row r="28" spans="1:15">
      <c r="A28" s="7" t="s">
        <v>186</v>
      </c>
      <c r="B28" s="8" t="s">
        <v>113</v>
      </c>
      <c r="C28" s="8" t="s">
        <v>114</v>
      </c>
      <c r="D28" s="8" t="s">
        <v>187</v>
      </c>
      <c r="E28" s="8" t="s">
        <v>45</v>
      </c>
      <c r="F28" s="8" t="s">
        <v>116</v>
      </c>
      <c r="G28" s="8" t="s">
        <v>117</v>
      </c>
      <c r="H28" s="8" t="s">
        <v>118</v>
      </c>
      <c r="I28" s="8" t="s">
        <v>119</v>
      </c>
      <c r="J28" s="9" t="s">
        <v>68</v>
      </c>
      <c r="K28" s="9" t="s">
        <v>69</v>
      </c>
      <c r="L28" s="9" t="s">
        <v>51</v>
      </c>
      <c r="M28" s="9" t="s">
        <v>52</v>
      </c>
      <c r="N28" s="9" t="s">
        <v>53</v>
      </c>
      <c r="O28" s="8"/>
    </row>
    <row r="29" spans="1:15">
      <c r="A29" s="7" t="s">
        <v>188</v>
      </c>
      <c r="B29" s="8" t="s">
        <v>189</v>
      </c>
      <c r="C29" s="8" t="s">
        <v>190</v>
      </c>
      <c r="D29" s="8" t="s">
        <v>191</v>
      </c>
      <c r="E29" s="8" t="s">
        <v>45</v>
      </c>
      <c r="F29" s="8" t="s">
        <v>116</v>
      </c>
      <c r="G29" s="8" t="s">
        <v>117</v>
      </c>
      <c r="H29" s="8" t="s">
        <v>118</v>
      </c>
      <c r="I29" s="8" t="s">
        <v>192</v>
      </c>
      <c r="J29" s="9" t="s">
        <v>49</v>
      </c>
      <c r="K29" s="9" t="s">
        <v>50</v>
      </c>
      <c r="L29" s="9" t="s">
        <v>51</v>
      </c>
      <c r="M29" s="9" t="s">
        <v>52</v>
      </c>
      <c r="N29" s="9" t="s">
        <v>53</v>
      </c>
      <c r="O29" s="8"/>
    </row>
    <row r="30" spans="1:15">
      <c r="A30" s="7" t="s">
        <v>193</v>
      </c>
      <c r="B30" s="8" t="s">
        <v>189</v>
      </c>
      <c r="C30" s="8" t="s">
        <v>190</v>
      </c>
      <c r="D30" s="8" t="s">
        <v>194</v>
      </c>
      <c r="E30" s="8" t="s">
        <v>45</v>
      </c>
      <c r="F30" s="8" t="s">
        <v>116</v>
      </c>
      <c r="G30" s="8" t="s">
        <v>122</v>
      </c>
      <c r="H30" s="8" t="s">
        <v>123</v>
      </c>
      <c r="I30" s="8" t="s">
        <v>124</v>
      </c>
      <c r="J30" s="9" t="s">
        <v>49</v>
      </c>
      <c r="K30" s="9" t="s">
        <v>50</v>
      </c>
      <c r="L30" s="9" t="s">
        <v>77</v>
      </c>
      <c r="M30" s="9" t="s">
        <v>52</v>
      </c>
      <c r="N30" s="9" t="s">
        <v>53</v>
      </c>
      <c r="O30" s="8"/>
    </row>
    <row r="31" spans="1:15">
      <c r="A31" s="7" t="s">
        <v>195</v>
      </c>
      <c r="B31" s="8" t="s">
        <v>189</v>
      </c>
      <c r="C31" s="8" t="s">
        <v>190</v>
      </c>
      <c r="D31" s="8" t="s">
        <v>196</v>
      </c>
      <c r="E31" s="8" t="s">
        <v>45</v>
      </c>
      <c r="F31" s="8" t="s">
        <v>116</v>
      </c>
      <c r="G31" s="8" t="s">
        <v>197</v>
      </c>
      <c r="H31" s="8" t="s">
        <v>198</v>
      </c>
      <c r="I31" s="8" t="s">
        <v>199</v>
      </c>
      <c r="J31" s="9" t="s">
        <v>49</v>
      </c>
      <c r="K31" s="9" t="s">
        <v>50</v>
      </c>
      <c r="L31" s="9" t="s">
        <v>77</v>
      </c>
      <c r="M31" s="9" t="s">
        <v>52</v>
      </c>
      <c r="N31" s="9" t="s">
        <v>53</v>
      </c>
      <c r="O31" s="8"/>
    </row>
    <row r="32" spans="1:15">
      <c r="A32" s="7" t="s">
        <v>200</v>
      </c>
      <c r="B32" s="8" t="s">
        <v>189</v>
      </c>
      <c r="C32" s="8" t="s">
        <v>190</v>
      </c>
      <c r="D32" s="8" t="s">
        <v>201</v>
      </c>
      <c r="E32" s="8" t="s">
        <v>45</v>
      </c>
      <c r="F32" s="8" t="s">
        <v>116</v>
      </c>
      <c r="G32" s="8" t="s">
        <v>202</v>
      </c>
      <c r="H32" s="8" t="s">
        <v>164</v>
      </c>
      <c r="I32" s="8" t="s">
        <v>165</v>
      </c>
      <c r="J32" s="9" t="s">
        <v>49</v>
      </c>
      <c r="K32" s="9" t="s">
        <v>50</v>
      </c>
      <c r="L32" s="9" t="s">
        <v>77</v>
      </c>
      <c r="M32" s="9" t="s">
        <v>52</v>
      </c>
      <c r="N32" s="9" t="s">
        <v>53</v>
      </c>
      <c r="O32" s="8"/>
    </row>
    <row r="33" spans="1:15">
      <c r="A33" s="7" t="s">
        <v>203</v>
      </c>
      <c r="B33" s="8" t="s">
        <v>189</v>
      </c>
      <c r="C33" s="8" t="s">
        <v>190</v>
      </c>
      <c r="D33" s="8" t="s">
        <v>204</v>
      </c>
      <c r="E33" s="8" t="s">
        <v>45</v>
      </c>
      <c r="F33" s="8" t="s">
        <v>116</v>
      </c>
      <c r="G33" s="8" t="s">
        <v>205</v>
      </c>
      <c r="H33" s="8" t="s">
        <v>164</v>
      </c>
      <c r="I33" s="8" t="s">
        <v>165</v>
      </c>
      <c r="J33" s="9" t="s">
        <v>49</v>
      </c>
      <c r="K33" s="9" t="s">
        <v>50</v>
      </c>
      <c r="L33" s="9" t="s">
        <v>77</v>
      </c>
      <c r="M33" s="9" t="s">
        <v>52</v>
      </c>
      <c r="N33" s="9" t="s">
        <v>53</v>
      </c>
      <c r="O33" s="8"/>
    </row>
    <row r="34" spans="1:15">
      <c r="A34" s="7" t="s">
        <v>206</v>
      </c>
      <c r="B34" s="8" t="s">
        <v>189</v>
      </c>
      <c r="C34" s="8" t="s">
        <v>190</v>
      </c>
      <c r="D34" s="8" t="s">
        <v>207</v>
      </c>
      <c r="E34" s="8" t="s">
        <v>45</v>
      </c>
      <c r="F34" s="8" t="s">
        <v>116</v>
      </c>
      <c r="G34" s="8" t="s">
        <v>208</v>
      </c>
      <c r="H34" s="8" t="s">
        <v>209</v>
      </c>
      <c r="I34" s="8" t="s">
        <v>210</v>
      </c>
      <c r="J34" s="9" t="s">
        <v>68</v>
      </c>
      <c r="K34" s="9" t="s">
        <v>69</v>
      </c>
      <c r="L34" s="9" t="s">
        <v>77</v>
      </c>
      <c r="M34" s="9" t="s">
        <v>52</v>
      </c>
      <c r="N34" s="9" t="s">
        <v>53</v>
      </c>
      <c r="O34" s="8"/>
    </row>
    <row r="35" spans="1:15">
      <c r="A35" s="7" t="s">
        <v>211</v>
      </c>
      <c r="B35" s="8" t="s">
        <v>189</v>
      </c>
      <c r="C35" s="8" t="s">
        <v>190</v>
      </c>
      <c r="D35" s="8" t="s">
        <v>212</v>
      </c>
      <c r="E35" s="8" t="s">
        <v>45</v>
      </c>
      <c r="F35" s="8" t="s">
        <v>116</v>
      </c>
      <c r="G35" s="8" t="s">
        <v>213</v>
      </c>
      <c r="H35" s="8" t="s">
        <v>214</v>
      </c>
      <c r="I35" s="8" t="s">
        <v>215</v>
      </c>
      <c r="J35" s="9" t="s">
        <v>49</v>
      </c>
      <c r="K35" s="9" t="s">
        <v>50</v>
      </c>
      <c r="L35" s="9" t="s">
        <v>77</v>
      </c>
      <c r="M35" s="9" t="s">
        <v>52</v>
      </c>
      <c r="N35" s="9" t="s">
        <v>53</v>
      </c>
      <c r="O35" s="8"/>
    </row>
    <row r="36" spans="1:15">
      <c r="A36" s="7" t="s">
        <v>216</v>
      </c>
      <c r="B36" s="8" t="s">
        <v>189</v>
      </c>
      <c r="C36" s="8" t="s">
        <v>190</v>
      </c>
      <c r="D36" s="8" t="s">
        <v>217</v>
      </c>
      <c r="E36" s="8" t="s">
        <v>45</v>
      </c>
      <c r="F36" s="8" t="s">
        <v>116</v>
      </c>
      <c r="G36" s="8" t="s">
        <v>132</v>
      </c>
      <c r="H36" s="8" t="s">
        <v>133</v>
      </c>
      <c r="I36" s="8" t="s">
        <v>134</v>
      </c>
      <c r="J36" s="9" t="s">
        <v>49</v>
      </c>
      <c r="K36" s="9" t="s">
        <v>50</v>
      </c>
      <c r="L36" s="9" t="s">
        <v>77</v>
      </c>
      <c r="M36" s="9" t="s">
        <v>52</v>
      </c>
      <c r="N36" s="9" t="s">
        <v>53</v>
      </c>
      <c r="O36" s="8"/>
    </row>
    <row r="37" spans="1:15">
      <c r="A37" s="7" t="s">
        <v>218</v>
      </c>
      <c r="B37" s="8" t="s">
        <v>219</v>
      </c>
      <c r="C37" s="8" t="s">
        <v>220</v>
      </c>
      <c r="D37" s="8" t="s">
        <v>221</v>
      </c>
      <c r="E37" s="8" t="s">
        <v>222</v>
      </c>
      <c r="F37" s="8" t="s">
        <v>223</v>
      </c>
      <c r="G37" s="8" t="s">
        <v>224</v>
      </c>
      <c r="H37" s="8" t="s">
        <v>225</v>
      </c>
      <c r="I37" s="8" t="s">
        <v>226</v>
      </c>
      <c r="J37" s="9" t="s">
        <v>49</v>
      </c>
      <c r="K37" s="9" t="s">
        <v>50</v>
      </c>
      <c r="L37" s="9" t="s">
        <v>77</v>
      </c>
      <c r="M37" s="9" t="s">
        <v>52</v>
      </c>
      <c r="N37" s="9" t="s">
        <v>53</v>
      </c>
      <c r="O37" s="8"/>
    </row>
    <row r="38" spans="1:15">
      <c r="A38" s="7" t="s">
        <v>227</v>
      </c>
      <c r="B38" s="8" t="s">
        <v>219</v>
      </c>
      <c r="C38" s="8" t="s">
        <v>220</v>
      </c>
      <c r="D38" s="8" t="s">
        <v>228</v>
      </c>
      <c r="E38" s="8" t="s">
        <v>229</v>
      </c>
      <c r="F38" s="8" t="s">
        <v>230</v>
      </c>
      <c r="G38" s="8" t="s">
        <v>231</v>
      </c>
      <c r="H38" s="8" t="s">
        <v>232</v>
      </c>
      <c r="I38" s="8" t="s">
        <v>233</v>
      </c>
      <c r="J38" s="9" t="s">
        <v>49</v>
      </c>
      <c r="K38" s="9" t="s">
        <v>50</v>
      </c>
      <c r="L38" s="9" t="s">
        <v>77</v>
      </c>
      <c r="M38" s="9" t="s">
        <v>52</v>
      </c>
      <c r="N38" s="9" t="s">
        <v>53</v>
      </c>
      <c r="O38" s="8"/>
    </row>
    <row r="39" spans="1:15">
      <c r="A39" s="7" t="s">
        <v>234</v>
      </c>
      <c r="B39" s="8" t="s">
        <v>219</v>
      </c>
      <c r="C39" s="8" t="s">
        <v>220</v>
      </c>
      <c r="D39" s="8" t="s">
        <v>235</v>
      </c>
      <c r="E39" s="8" t="s">
        <v>236</v>
      </c>
      <c r="F39" s="8" t="s">
        <v>237</v>
      </c>
      <c r="G39" s="8" t="s">
        <v>238</v>
      </c>
      <c r="H39" s="8" t="s">
        <v>239</v>
      </c>
      <c r="I39" s="8" t="s">
        <v>240</v>
      </c>
      <c r="J39" s="9" t="s">
        <v>68</v>
      </c>
      <c r="K39" s="9" t="s">
        <v>69</v>
      </c>
      <c r="L39" s="9" t="s">
        <v>77</v>
      </c>
      <c r="M39" s="9" t="s">
        <v>52</v>
      </c>
      <c r="N39" s="9" t="s">
        <v>53</v>
      </c>
      <c r="O39" s="8"/>
    </row>
    <row r="40" spans="1:15">
      <c r="A40" s="7" t="s">
        <v>241</v>
      </c>
      <c r="B40" s="8" t="s">
        <v>219</v>
      </c>
      <c r="C40" s="8" t="s">
        <v>220</v>
      </c>
      <c r="D40" s="8" t="s">
        <v>242</v>
      </c>
      <c r="E40" s="8" t="s">
        <v>243</v>
      </c>
      <c r="F40" s="8" t="s">
        <v>244</v>
      </c>
      <c r="G40" s="8" t="s">
        <v>245</v>
      </c>
      <c r="H40" s="8" t="s">
        <v>246</v>
      </c>
      <c r="I40" s="8" t="s">
        <v>247</v>
      </c>
      <c r="J40" s="9" t="s">
        <v>68</v>
      </c>
      <c r="K40" s="9" t="s">
        <v>69</v>
      </c>
      <c r="L40" s="9" t="s">
        <v>51</v>
      </c>
      <c r="M40" s="9" t="s">
        <v>52</v>
      </c>
      <c r="N40" s="9" t="s">
        <v>53</v>
      </c>
      <c r="O40" s="8" t="s">
        <v>248</v>
      </c>
    </row>
    <row r="41" spans="1:15">
      <c r="A41" s="7" t="s">
        <v>249</v>
      </c>
      <c r="B41" s="8" t="s">
        <v>219</v>
      </c>
      <c r="C41" s="8" t="s">
        <v>220</v>
      </c>
      <c r="D41" s="8" t="s">
        <v>250</v>
      </c>
      <c r="E41" s="8" t="s">
        <v>251</v>
      </c>
      <c r="F41" s="8" t="s">
        <v>252</v>
      </c>
      <c r="G41" s="8" t="s">
        <v>253</v>
      </c>
      <c r="H41" s="8" t="s">
        <v>254</v>
      </c>
      <c r="I41" s="8" t="s">
        <v>255</v>
      </c>
      <c r="J41" s="9" t="s">
        <v>49</v>
      </c>
      <c r="K41" s="9" t="s">
        <v>90</v>
      </c>
      <c r="L41" s="9" t="s">
        <v>77</v>
      </c>
      <c r="M41" s="9" t="s">
        <v>52</v>
      </c>
      <c r="N41" s="9" t="s">
        <v>53</v>
      </c>
      <c r="O41" s="8"/>
    </row>
    <row r="42" spans="1:15">
      <c r="A42" s="7" t="s">
        <v>256</v>
      </c>
      <c r="B42" s="8" t="s">
        <v>219</v>
      </c>
      <c r="C42" s="8" t="s">
        <v>220</v>
      </c>
      <c r="D42" s="8" t="s">
        <v>257</v>
      </c>
      <c r="E42" s="8" t="s">
        <v>72</v>
      </c>
      <c r="F42" s="8" t="s">
        <v>258</v>
      </c>
      <c r="G42" s="8" t="s">
        <v>259</v>
      </c>
      <c r="H42" s="8" t="s">
        <v>260</v>
      </c>
      <c r="I42" s="8" t="s">
        <v>261</v>
      </c>
      <c r="J42" s="9" t="s">
        <v>49</v>
      </c>
      <c r="K42" s="9" t="s">
        <v>50</v>
      </c>
      <c r="L42" s="9" t="s">
        <v>77</v>
      </c>
      <c r="M42" s="9" t="s">
        <v>52</v>
      </c>
      <c r="N42" s="9" t="s">
        <v>53</v>
      </c>
      <c r="O42" s="8"/>
    </row>
    <row r="43" spans="1:15">
      <c r="A43" s="7" t="s">
        <v>262</v>
      </c>
      <c r="B43" s="8" t="s">
        <v>113</v>
      </c>
      <c r="C43" s="8" t="s">
        <v>114</v>
      </c>
      <c r="D43" s="8" t="s">
        <v>263</v>
      </c>
      <c r="E43" s="8" t="s">
        <v>72</v>
      </c>
      <c r="F43" s="8" t="s">
        <v>264</v>
      </c>
      <c r="G43" s="8" t="s">
        <v>265</v>
      </c>
      <c r="H43" s="8" t="s">
        <v>266</v>
      </c>
      <c r="I43" s="8" t="s">
        <v>267</v>
      </c>
      <c r="J43" s="9" t="s">
        <v>180</v>
      </c>
      <c r="K43" s="9" t="s">
        <v>69</v>
      </c>
      <c r="L43" s="9" t="s">
        <v>268</v>
      </c>
      <c r="M43" s="9" t="s">
        <v>52</v>
      </c>
      <c r="N43" s="9" t="s">
        <v>53</v>
      </c>
      <c r="O43" s="8"/>
    </row>
    <row r="44" spans="1:15">
      <c r="A44" s="7" t="s">
        <v>269</v>
      </c>
      <c r="B44" s="8" t="s">
        <v>113</v>
      </c>
      <c r="C44" s="8" t="s">
        <v>114</v>
      </c>
      <c r="D44" s="8" t="s">
        <v>270</v>
      </c>
      <c r="E44" s="8" t="s">
        <v>72</v>
      </c>
      <c r="F44" s="8" t="s">
        <v>264</v>
      </c>
      <c r="G44" s="8" t="s">
        <v>271</v>
      </c>
      <c r="H44" s="8" t="s">
        <v>266</v>
      </c>
      <c r="I44" s="8" t="s">
        <v>272</v>
      </c>
      <c r="J44" s="9" t="s">
        <v>180</v>
      </c>
      <c r="K44" s="9" t="s">
        <v>69</v>
      </c>
      <c r="L44" s="9" t="s">
        <v>268</v>
      </c>
      <c r="M44" s="9" t="s">
        <v>52</v>
      </c>
      <c r="N44" s="9" t="s">
        <v>53</v>
      </c>
      <c r="O44" s="8"/>
    </row>
    <row r="45" spans="1:15">
      <c r="A45" s="7" t="s">
        <v>273</v>
      </c>
      <c r="B45" s="8" t="s">
        <v>113</v>
      </c>
      <c r="C45" s="8" t="s">
        <v>114</v>
      </c>
      <c r="D45" s="8" t="s">
        <v>274</v>
      </c>
      <c r="E45" s="8" t="s">
        <v>72</v>
      </c>
      <c r="F45" s="8" t="s">
        <v>264</v>
      </c>
      <c r="G45" s="8" t="s">
        <v>275</v>
      </c>
      <c r="H45" s="8" t="s">
        <v>266</v>
      </c>
      <c r="I45" s="8" t="s">
        <v>276</v>
      </c>
      <c r="J45" s="9" t="s">
        <v>180</v>
      </c>
      <c r="K45" s="9" t="s">
        <v>69</v>
      </c>
      <c r="L45" s="9" t="s">
        <v>268</v>
      </c>
      <c r="M45" s="9" t="s">
        <v>52</v>
      </c>
      <c r="N45" s="9" t="s">
        <v>53</v>
      </c>
      <c r="O45" s="8"/>
    </row>
    <row r="46" spans="1:15">
      <c r="A46" s="7" t="s">
        <v>277</v>
      </c>
      <c r="B46" s="8" t="s">
        <v>113</v>
      </c>
      <c r="C46" s="8" t="s">
        <v>114</v>
      </c>
      <c r="D46" s="8" t="s">
        <v>278</v>
      </c>
      <c r="E46" s="8" t="s">
        <v>72</v>
      </c>
      <c r="F46" s="8" t="s">
        <v>264</v>
      </c>
      <c r="G46" s="8" t="s">
        <v>279</v>
      </c>
      <c r="H46" s="8" t="s">
        <v>266</v>
      </c>
      <c r="I46" s="8" t="s">
        <v>280</v>
      </c>
      <c r="J46" s="9" t="s">
        <v>180</v>
      </c>
      <c r="K46" s="9" t="s">
        <v>69</v>
      </c>
      <c r="L46" s="9" t="s">
        <v>268</v>
      </c>
      <c r="M46" s="9" t="s">
        <v>52</v>
      </c>
      <c r="N46" s="9" t="s">
        <v>53</v>
      </c>
      <c r="O46" s="8"/>
    </row>
    <row r="47" spans="1:15">
      <c r="A47" s="7" t="s">
        <v>281</v>
      </c>
      <c r="B47" s="8" t="s">
        <v>113</v>
      </c>
      <c r="C47" s="8" t="s">
        <v>114</v>
      </c>
      <c r="D47" s="8" t="s">
        <v>282</v>
      </c>
      <c r="E47" s="8" t="s">
        <v>72</v>
      </c>
      <c r="F47" s="8" t="s">
        <v>264</v>
      </c>
      <c r="G47" s="8" t="s">
        <v>283</v>
      </c>
      <c r="H47" s="8" t="s">
        <v>266</v>
      </c>
      <c r="I47" s="8" t="s">
        <v>284</v>
      </c>
      <c r="J47" s="9" t="s">
        <v>68</v>
      </c>
      <c r="K47" s="9" t="s">
        <v>69</v>
      </c>
      <c r="L47" s="9" t="s">
        <v>285</v>
      </c>
      <c r="M47" s="9" t="s">
        <v>52</v>
      </c>
      <c r="N47" s="9" t="s">
        <v>53</v>
      </c>
      <c r="O47" s="8"/>
    </row>
    <row r="48" spans="1:15">
      <c r="A48" s="7" t="s">
        <v>286</v>
      </c>
      <c r="B48" s="8" t="s">
        <v>113</v>
      </c>
      <c r="C48" s="8" t="s">
        <v>114</v>
      </c>
      <c r="D48" s="8" t="s">
        <v>287</v>
      </c>
      <c r="E48" s="8" t="s">
        <v>72</v>
      </c>
      <c r="F48" s="8" t="s">
        <v>264</v>
      </c>
      <c r="G48" s="8" t="s">
        <v>288</v>
      </c>
      <c r="H48" s="8" t="s">
        <v>266</v>
      </c>
      <c r="I48" s="8" t="s">
        <v>289</v>
      </c>
      <c r="J48" s="9" t="s">
        <v>180</v>
      </c>
      <c r="K48" s="9" t="s">
        <v>69</v>
      </c>
      <c r="L48" s="9" t="s">
        <v>268</v>
      </c>
      <c r="M48" s="9" t="s">
        <v>52</v>
      </c>
      <c r="N48" s="9" t="s">
        <v>53</v>
      </c>
      <c r="O48" s="8"/>
    </row>
    <row r="49" spans="1:15">
      <c r="A49" s="7" t="s">
        <v>290</v>
      </c>
      <c r="B49" s="8" t="s">
        <v>113</v>
      </c>
      <c r="C49" s="8" t="s">
        <v>114</v>
      </c>
      <c r="D49" s="8" t="s">
        <v>291</v>
      </c>
      <c r="E49" s="8" t="s">
        <v>72</v>
      </c>
      <c r="F49" s="8" t="s">
        <v>292</v>
      </c>
      <c r="G49" s="8" t="s">
        <v>293</v>
      </c>
      <c r="H49" s="8" t="s">
        <v>294</v>
      </c>
      <c r="I49" s="8" t="s">
        <v>295</v>
      </c>
      <c r="J49" s="9" t="s">
        <v>68</v>
      </c>
      <c r="K49" s="9" t="s">
        <v>69</v>
      </c>
      <c r="L49" s="9" t="s">
        <v>268</v>
      </c>
      <c r="M49" s="9" t="s">
        <v>52</v>
      </c>
      <c r="N49" s="9" t="s">
        <v>53</v>
      </c>
      <c r="O49" s="8" t="s">
        <v>296</v>
      </c>
    </row>
    <row r="50" spans="1:15">
      <c r="A50" s="7" t="s">
        <v>297</v>
      </c>
      <c r="B50" s="8" t="s">
        <v>113</v>
      </c>
      <c r="C50" s="8" t="s">
        <v>114</v>
      </c>
      <c r="D50" s="8" t="s">
        <v>298</v>
      </c>
      <c r="E50" s="8" t="s">
        <v>72</v>
      </c>
      <c r="F50" s="8" t="s">
        <v>292</v>
      </c>
      <c r="G50" s="8" t="s">
        <v>299</v>
      </c>
      <c r="H50" s="8" t="s">
        <v>300</v>
      </c>
      <c r="I50" s="8" t="s">
        <v>301</v>
      </c>
      <c r="J50" s="9" t="s">
        <v>180</v>
      </c>
      <c r="K50" s="9" t="s">
        <v>69</v>
      </c>
      <c r="L50" s="9" t="s">
        <v>268</v>
      </c>
      <c r="M50" s="9" t="s">
        <v>52</v>
      </c>
      <c r="N50" s="9" t="s">
        <v>53</v>
      </c>
      <c r="O50" s="8"/>
    </row>
    <row r="51" spans="1:15">
      <c r="A51" s="7" t="s">
        <v>302</v>
      </c>
      <c r="B51" s="8" t="s">
        <v>303</v>
      </c>
      <c r="C51" s="8" t="s">
        <v>304</v>
      </c>
      <c r="D51" s="8" t="s">
        <v>305</v>
      </c>
      <c r="E51" s="8" t="s">
        <v>306</v>
      </c>
      <c r="F51" s="8" t="s">
        <v>307</v>
      </c>
      <c r="G51" s="8" t="s">
        <v>308</v>
      </c>
      <c r="H51" s="8" t="s">
        <v>309</v>
      </c>
      <c r="I51" s="8" t="s">
        <v>310</v>
      </c>
      <c r="J51" s="9" t="s">
        <v>49</v>
      </c>
      <c r="K51" s="9" t="s">
        <v>90</v>
      </c>
      <c r="L51" s="9" t="s">
        <v>51</v>
      </c>
      <c r="M51" s="9" t="s">
        <v>52</v>
      </c>
      <c r="N51" s="9" t="s">
        <v>53</v>
      </c>
      <c r="O51" s="8"/>
    </row>
    <row r="52" spans="1:15">
      <c r="A52" s="7" t="s">
        <v>311</v>
      </c>
      <c r="B52" s="8" t="s">
        <v>303</v>
      </c>
      <c r="C52" s="8" t="s">
        <v>304</v>
      </c>
      <c r="D52" s="8" t="s">
        <v>312</v>
      </c>
      <c r="E52" s="8" t="s">
        <v>313</v>
      </c>
      <c r="F52" s="8" t="s">
        <v>314</v>
      </c>
      <c r="G52" s="8" t="s">
        <v>315</v>
      </c>
      <c r="H52" s="8" t="s">
        <v>316</v>
      </c>
      <c r="I52" s="8" t="s">
        <v>317</v>
      </c>
      <c r="J52" s="9" t="s">
        <v>49</v>
      </c>
      <c r="K52" s="9" t="s">
        <v>50</v>
      </c>
      <c r="L52" s="9" t="s">
        <v>51</v>
      </c>
      <c r="M52" s="9" t="s">
        <v>52</v>
      </c>
      <c r="N52" s="9" t="s">
        <v>53</v>
      </c>
      <c r="O52" s="8" t="s">
        <v>318</v>
      </c>
    </row>
    <row r="53" spans="1:15">
      <c r="A53" s="7" t="s">
        <v>319</v>
      </c>
      <c r="B53" s="8" t="s">
        <v>303</v>
      </c>
      <c r="C53" s="8" t="s">
        <v>304</v>
      </c>
      <c r="D53" s="8" t="s">
        <v>320</v>
      </c>
      <c r="E53" s="8" t="s">
        <v>306</v>
      </c>
      <c r="F53" s="8" t="s">
        <v>321</v>
      </c>
      <c r="G53" s="8" t="s">
        <v>322</v>
      </c>
      <c r="H53" s="8" t="s">
        <v>323</v>
      </c>
      <c r="I53" s="8" t="s">
        <v>324</v>
      </c>
      <c r="J53" s="9" t="s">
        <v>49</v>
      </c>
      <c r="K53" s="9" t="s">
        <v>90</v>
      </c>
      <c r="L53" s="9" t="s">
        <v>51</v>
      </c>
      <c r="M53" s="9" t="s">
        <v>52</v>
      </c>
      <c r="N53" s="9" t="s">
        <v>53</v>
      </c>
      <c r="O53" s="8"/>
    </row>
    <row r="54" spans="1:15">
      <c r="A54" s="7" t="s">
        <v>325</v>
      </c>
      <c r="B54" s="8" t="s">
        <v>303</v>
      </c>
      <c r="C54" s="8" t="s">
        <v>304</v>
      </c>
      <c r="D54" s="8" t="s">
        <v>326</v>
      </c>
      <c r="E54" s="8" t="s">
        <v>306</v>
      </c>
      <c r="F54" s="8" t="s">
        <v>327</v>
      </c>
      <c r="G54" s="8" t="s">
        <v>328</v>
      </c>
      <c r="H54" s="8" t="s">
        <v>329</v>
      </c>
      <c r="I54" s="8" t="s">
        <v>330</v>
      </c>
      <c r="J54" s="9" t="s">
        <v>49</v>
      </c>
      <c r="K54" s="9" t="s">
        <v>50</v>
      </c>
      <c r="L54" s="9" t="s">
        <v>51</v>
      </c>
      <c r="M54" s="9" t="s">
        <v>52</v>
      </c>
      <c r="N54" s="9" t="s">
        <v>53</v>
      </c>
      <c r="O54" s="8"/>
    </row>
    <row r="55" spans="1:15">
      <c r="A55" s="7" t="s">
        <v>331</v>
      </c>
      <c r="B55" s="8" t="s">
        <v>303</v>
      </c>
      <c r="C55" s="8" t="s">
        <v>304</v>
      </c>
      <c r="D55" s="8" t="s">
        <v>332</v>
      </c>
      <c r="E55" s="8" t="s">
        <v>333</v>
      </c>
      <c r="F55" s="8" t="s">
        <v>307</v>
      </c>
      <c r="G55" s="8" t="s">
        <v>308</v>
      </c>
      <c r="H55" s="8" t="s">
        <v>334</v>
      </c>
      <c r="I55" s="8" t="s">
        <v>335</v>
      </c>
      <c r="J55" s="9" t="s">
        <v>49</v>
      </c>
      <c r="K55" s="9" t="s">
        <v>90</v>
      </c>
      <c r="L55" s="9" t="s">
        <v>51</v>
      </c>
      <c r="M55" s="9" t="s">
        <v>52</v>
      </c>
      <c r="N55" s="9" t="s">
        <v>53</v>
      </c>
      <c r="O55" s="8"/>
    </row>
    <row r="56" spans="1:15">
      <c r="A56" s="7" t="s">
        <v>336</v>
      </c>
      <c r="B56" s="8" t="s">
        <v>303</v>
      </c>
      <c r="C56" s="8" t="s">
        <v>304</v>
      </c>
      <c r="D56" s="8" t="s">
        <v>337</v>
      </c>
      <c r="E56" s="8" t="s">
        <v>338</v>
      </c>
      <c r="F56" s="8" t="s">
        <v>314</v>
      </c>
      <c r="G56" s="8" t="s">
        <v>315</v>
      </c>
      <c r="H56" s="8" t="s">
        <v>316</v>
      </c>
      <c r="I56" s="8" t="s">
        <v>317</v>
      </c>
      <c r="J56" s="9" t="s">
        <v>49</v>
      </c>
      <c r="K56" s="9" t="s">
        <v>50</v>
      </c>
      <c r="L56" s="9" t="s">
        <v>51</v>
      </c>
      <c r="M56" s="9" t="s">
        <v>52</v>
      </c>
      <c r="N56" s="9" t="s">
        <v>53</v>
      </c>
      <c r="O56" s="8" t="s">
        <v>318</v>
      </c>
    </row>
    <row r="57" spans="1:15">
      <c r="A57" s="7" t="s">
        <v>339</v>
      </c>
      <c r="B57" s="8" t="s">
        <v>303</v>
      </c>
      <c r="C57" s="8" t="s">
        <v>304</v>
      </c>
      <c r="D57" s="8" t="s">
        <v>340</v>
      </c>
      <c r="E57" s="8" t="s">
        <v>333</v>
      </c>
      <c r="F57" s="8" t="s">
        <v>321</v>
      </c>
      <c r="G57" s="8" t="s">
        <v>322</v>
      </c>
      <c r="H57" s="8" t="s">
        <v>341</v>
      </c>
      <c r="I57" s="8" t="s">
        <v>342</v>
      </c>
      <c r="J57" s="9" t="s">
        <v>49</v>
      </c>
      <c r="K57" s="9" t="s">
        <v>90</v>
      </c>
      <c r="L57" s="9" t="s">
        <v>51</v>
      </c>
      <c r="M57" s="9" t="s">
        <v>52</v>
      </c>
      <c r="N57" s="9" t="s">
        <v>53</v>
      </c>
      <c r="O57" s="8"/>
    </row>
    <row r="58" spans="1:15">
      <c r="A58" s="7" t="s">
        <v>343</v>
      </c>
      <c r="B58" s="8" t="s">
        <v>303</v>
      </c>
      <c r="C58" s="8" t="s">
        <v>304</v>
      </c>
      <c r="D58" s="8" t="s">
        <v>344</v>
      </c>
      <c r="E58" s="8" t="s">
        <v>333</v>
      </c>
      <c r="F58" s="8" t="s">
        <v>327</v>
      </c>
      <c r="G58" s="8" t="s">
        <v>328</v>
      </c>
      <c r="H58" s="8" t="s">
        <v>345</v>
      </c>
      <c r="I58" s="8" t="s">
        <v>346</v>
      </c>
      <c r="J58" s="9" t="s">
        <v>49</v>
      </c>
      <c r="K58" s="9" t="s">
        <v>50</v>
      </c>
      <c r="L58" s="9" t="s">
        <v>51</v>
      </c>
      <c r="M58" s="9" t="s">
        <v>52</v>
      </c>
      <c r="N58" s="9" t="s">
        <v>53</v>
      </c>
      <c r="O58" s="8"/>
    </row>
    <row r="59" spans="1:15">
      <c r="A59" s="7" t="s">
        <v>347</v>
      </c>
      <c r="B59" s="8" t="s">
        <v>303</v>
      </c>
      <c r="C59" s="8" t="s">
        <v>304</v>
      </c>
      <c r="D59" s="8" t="s">
        <v>348</v>
      </c>
      <c r="E59" s="8" t="s">
        <v>349</v>
      </c>
      <c r="F59" s="8" t="s">
        <v>307</v>
      </c>
      <c r="G59" s="8" t="s">
        <v>308</v>
      </c>
      <c r="H59" s="8" t="s">
        <v>309</v>
      </c>
      <c r="I59" s="8" t="s">
        <v>310</v>
      </c>
      <c r="J59" s="9" t="s">
        <v>49</v>
      </c>
      <c r="K59" s="9" t="s">
        <v>90</v>
      </c>
      <c r="L59" s="9" t="s">
        <v>51</v>
      </c>
      <c r="M59" s="9" t="s">
        <v>52</v>
      </c>
      <c r="N59" s="9" t="s">
        <v>53</v>
      </c>
      <c r="O59" s="8"/>
    </row>
    <row r="60" spans="1:15">
      <c r="A60" s="7" t="s">
        <v>350</v>
      </c>
      <c r="B60" s="8" t="s">
        <v>303</v>
      </c>
      <c r="C60" s="8" t="s">
        <v>304</v>
      </c>
      <c r="D60" s="8" t="s">
        <v>351</v>
      </c>
      <c r="E60" s="8" t="s">
        <v>352</v>
      </c>
      <c r="F60" s="8" t="s">
        <v>314</v>
      </c>
      <c r="G60" s="8" t="s">
        <v>315</v>
      </c>
      <c r="H60" s="8" t="s">
        <v>316</v>
      </c>
      <c r="I60" s="8" t="s">
        <v>317</v>
      </c>
      <c r="J60" s="9" t="s">
        <v>49</v>
      </c>
      <c r="K60" s="9" t="s">
        <v>50</v>
      </c>
      <c r="L60" s="9" t="s">
        <v>51</v>
      </c>
      <c r="M60" s="9" t="s">
        <v>52</v>
      </c>
      <c r="N60" s="9" t="s">
        <v>53</v>
      </c>
      <c r="O60" s="8" t="s">
        <v>318</v>
      </c>
    </row>
    <row r="61" spans="1:15">
      <c r="A61" s="7" t="s">
        <v>353</v>
      </c>
      <c r="B61" s="8" t="s">
        <v>303</v>
      </c>
      <c r="C61" s="8" t="s">
        <v>304</v>
      </c>
      <c r="D61" s="8" t="s">
        <v>354</v>
      </c>
      <c r="E61" s="8" t="s">
        <v>349</v>
      </c>
      <c r="F61" s="8" t="s">
        <v>321</v>
      </c>
      <c r="G61" s="8" t="s">
        <v>322</v>
      </c>
      <c r="H61" s="8" t="s">
        <v>323</v>
      </c>
      <c r="I61" s="8" t="s">
        <v>324</v>
      </c>
      <c r="J61" s="9" t="s">
        <v>49</v>
      </c>
      <c r="K61" s="9" t="s">
        <v>90</v>
      </c>
      <c r="L61" s="9" t="s">
        <v>51</v>
      </c>
      <c r="M61" s="9" t="s">
        <v>52</v>
      </c>
      <c r="N61" s="9" t="s">
        <v>53</v>
      </c>
      <c r="O61" s="8"/>
    </row>
    <row r="62" spans="1:15">
      <c r="A62" s="7" t="s">
        <v>355</v>
      </c>
      <c r="B62" s="8" t="s">
        <v>303</v>
      </c>
      <c r="C62" s="8" t="s">
        <v>304</v>
      </c>
      <c r="D62" s="8" t="s">
        <v>356</v>
      </c>
      <c r="E62" s="8" t="s">
        <v>349</v>
      </c>
      <c r="F62" s="8" t="s">
        <v>327</v>
      </c>
      <c r="G62" s="8" t="s">
        <v>328</v>
      </c>
      <c r="H62" s="8" t="s">
        <v>329</v>
      </c>
      <c r="I62" s="8" t="s">
        <v>330</v>
      </c>
      <c r="J62" s="9" t="s">
        <v>49</v>
      </c>
      <c r="K62" s="9" t="s">
        <v>50</v>
      </c>
      <c r="L62" s="9" t="s">
        <v>51</v>
      </c>
      <c r="M62" s="9" t="s">
        <v>52</v>
      </c>
      <c r="N62" s="9" t="s">
        <v>53</v>
      </c>
      <c r="O62" s="8"/>
    </row>
    <row r="63" spans="1:15">
      <c r="A63" s="7" t="s">
        <v>357</v>
      </c>
      <c r="B63" s="8" t="s">
        <v>303</v>
      </c>
      <c r="C63" s="8" t="s">
        <v>304</v>
      </c>
      <c r="D63" s="8" t="s">
        <v>358</v>
      </c>
      <c r="E63" s="8" t="s">
        <v>359</v>
      </c>
      <c r="F63" s="8" t="s">
        <v>307</v>
      </c>
      <c r="G63" s="8" t="s">
        <v>308</v>
      </c>
      <c r="H63" s="8" t="s">
        <v>334</v>
      </c>
      <c r="I63" s="8" t="s">
        <v>335</v>
      </c>
      <c r="J63" s="9" t="s">
        <v>49</v>
      </c>
      <c r="K63" s="9" t="s">
        <v>90</v>
      </c>
      <c r="L63" s="9" t="s">
        <v>51</v>
      </c>
      <c r="M63" s="9" t="s">
        <v>52</v>
      </c>
      <c r="N63" s="9" t="s">
        <v>53</v>
      </c>
      <c r="O63" s="8"/>
    </row>
    <row r="64" spans="1:15">
      <c r="A64" s="7" t="s">
        <v>360</v>
      </c>
      <c r="B64" s="8" t="s">
        <v>303</v>
      </c>
      <c r="C64" s="8" t="s">
        <v>304</v>
      </c>
      <c r="D64" s="8" t="s">
        <v>361</v>
      </c>
      <c r="E64" s="8" t="s">
        <v>362</v>
      </c>
      <c r="F64" s="8" t="s">
        <v>314</v>
      </c>
      <c r="G64" s="8" t="s">
        <v>315</v>
      </c>
      <c r="H64" s="8" t="s">
        <v>316</v>
      </c>
      <c r="I64" s="8" t="s">
        <v>317</v>
      </c>
      <c r="J64" s="9" t="s">
        <v>49</v>
      </c>
      <c r="K64" s="9" t="s">
        <v>50</v>
      </c>
      <c r="L64" s="9" t="s">
        <v>51</v>
      </c>
      <c r="M64" s="9" t="s">
        <v>52</v>
      </c>
      <c r="N64" s="9" t="s">
        <v>53</v>
      </c>
      <c r="O64" s="8" t="s">
        <v>318</v>
      </c>
    </row>
    <row r="65" spans="1:15">
      <c r="A65" s="7" t="s">
        <v>363</v>
      </c>
      <c r="B65" s="8" t="s">
        <v>303</v>
      </c>
      <c r="C65" s="8" t="s">
        <v>304</v>
      </c>
      <c r="D65" s="8" t="s">
        <v>364</v>
      </c>
      <c r="E65" s="8" t="s">
        <v>359</v>
      </c>
      <c r="F65" s="8" t="s">
        <v>321</v>
      </c>
      <c r="G65" s="8" t="s">
        <v>322</v>
      </c>
      <c r="H65" s="8" t="s">
        <v>341</v>
      </c>
      <c r="I65" s="8" t="s">
        <v>342</v>
      </c>
      <c r="J65" s="9" t="s">
        <v>49</v>
      </c>
      <c r="K65" s="9" t="s">
        <v>90</v>
      </c>
      <c r="L65" s="9" t="s">
        <v>51</v>
      </c>
      <c r="M65" s="9" t="s">
        <v>52</v>
      </c>
      <c r="N65" s="9" t="s">
        <v>53</v>
      </c>
      <c r="O65" s="8"/>
    </row>
    <row r="66" spans="1:15">
      <c r="A66" s="7" t="s">
        <v>365</v>
      </c>
      <c r="B66" s="8" t="s">
        <v>303</v>
      </c>
      <c r="C66" s="8" t="s">
        <v>304</v>
      </c>
      <c r="D66" s="8" t="s">
        <v>366</v>
      </c>
      <c r="E66" s="8" t="s">
        <v>359</v>
      </c>
      <c r="F66" s="8" t="s">
        <v>327</v>
      </c>
      <c r="G66" s="8" t="s">
        <v>328</v>
      </c>
      <c r="H66" s="8" t="s">
        <v>345</v>
      </c>
      <c r="I66" s="8" t="s">
        <v>346</v>
      </c>
      <c r="J66" s="9" t="s">
        <v>49</v>
      </c>
      <c r="K66" s="9" t="s">
        <v>50</v>
      </c>
      <c r="L66" s="9" t="s">
        <v>51</v>
      </c>
      <c r="M66" s="9" t="s">
        <v>52</v>
      </c>
      <c r="N66" s="9" t="s">
        <v>53</v>
      </c>
      <c r="O66" s="8"/>
    </row>
    <row r="67" spans="1:15">
      <c r="A67" s="7" t="s">
        <v>367</v>
      </c>
      <c r="B67" s="8" t="s">
        <v>303</v>
      </c>
      <c r="C67" s="8" t="s">
        <v>304</v>
      </c>
      <c r="D67" s="8" t="s">
        <v>368</v>
      </c>
      <c r="E67" s="8" t="s">
        <v>369</v>
      </c>
      <c r="F67" s="8" t="s">
        <v>307</v>
      </c>
      <c r="G67" s="8" t="s">
        <v>308</v>
      </c>
      <c r="H67" s="8" t="s">
        <v>309</v>
      </c>
      <c r="I67" s="8" t="s">
        <v>310</v>
      </c>
      <c r="J67" s="9" t="s">
        <v>49</v>
      </c>
      <c r="K67" s="9" t="s">
        <v>90</v>
      </c>
      <c r="L67" s="9" t="s">
        <v>77</v>
      </c>
      <c r="M67" s="9" t="s">
        <v>52</v>
      </c>
      <c r="N67" s="9" t="s">
        <v>53</v>
      </c>
      <c r="O67" s="8"/>
    </row>
    <row r="68" spans="1:15">
      <c r="A68" s="7" t="s">
        <v>370</v>
      </c>
      <c r="B68" s="8" t="s">
        <v>303</v>
      </c>
      <c r="C68" s="8" t="s">
        <v>304</v>
      </c>
      <c r="D68" s="8" t="s">
        <v>371</v>
      </c>
      <c r="E68" s="8" t="s">
        <v>372</v>
      </c>
      <c r="F68" s="8" t="s">
        <v>314</v>
      </c>
      <c r="G68" s="8" t="s">
        <v>315</v>
      </c>
      <c r="H68" s="8" t="s">
        <v>316</v>
      </c>
      <c r="I68" s="8" t="s">
        <v>317</v>
      </c>
      <c r="J68" s="9" t="s">
        <v>49</v>
      </c>
      <c r="K68" s="9" t="s">
        <v>50</v>
      </c>
      <c r="L68" s="9" t="s">
        <v>77</v>
      </c>
      <c r="M68" s="9" t="s">
        <v>52</v>
      </c>
      <c r="N68" s="9" t="s">
        <v>53</v>
      </c>
      <c r="O68" s="8" t="s">
        <v>318</v>
      </c>
    </row>
    <row r="69" spans="1:15">
      <c r="A69" s="7" t="s">
        <v>373</v>
      </c>
      <c r="B69" s="8" t="s">
        <v>303</v>
      </c>
      <c r="C69" s="8" t="s">
        <v>304</v>
      </c>
      <c r="D69" s="8" t="s">
        <v>374</v>
      </c>
      <c r="E69" s="8" t="s">
        <v>369</v>
      </c>
      <c r="F69" s="8" t="s">
        <v>321</v>
      </c>
      <c r="G69" s="8" t="s">
        <v>322</v>
      </c>
      <c r="H69" s="8" t="s">
        <v>323</v>
      </c>
      <c r="I69" s="8" t="s">
        <v>324</v>
      </c>
      <c r="J69" s="9" t="s">
        <v>49</v>
      </c>
      <c r="K69" s="9" t="s">
        <v>90</v>
      </c>
      <c r="L69" s="9" t="s">
        <v>77</v>
      </c>
      <c r="M69" s="9" t="s">
        <v>52</v>
      </c>
      <c r="N69" s="9" t="s">
        <v>53</v>
      </c>
      <c r="O69" s="8"/>
    </row>
    <row r="70" spans="1:15">
      <c r="A70" s="7" t="s">
        <v>375</v>
      </c>
      <c r="B70" s="8" t="s">
        <v>303</v>
      </c>
      <c r="C70" s="8" t="s">
        <v>304</v>
      </c>
      <c r="D70" s="8" t="s">
        <v>376</v>
      </c>
      <c r="E70" s="8" t="s">
        <v>369</v>
      </c>
      <c r="F70" s="8" t="s">
        <v>327</v>
      </c>
      <c r="G70" s="8" t="s">
        <v>328</v>
      </c>
      <c r="H70" s="8" t="s">
        <v>329</v>
      </c>
      <c r="I70" s="8" t="s">
        <v>330</v>
      </c>
      <c r="J70" s="9" t="s">
        <v>49</v>
      </c>
      <c r="K70" s="9" t="s">
        <v>50</v>
      </c>
      <c r="L70" s="9" t="s">
        <v>77</v>
      </c>
      <c r="M70" s="9" t="s">
        <v>52</v>
      </c>
      <c r="N70" s="9" t="s">
        <v>53</v>
      </c>
      <c r="O70" s="8"/>
    </row>
    <row r="71" spans="1:15">
      <c r="A71" s="7" t="s">
        <v>377</v>
      </c>
      <c r="B71" s="8" t="s">
        <v>303</v>
      </c>
      <c r="C71" s="8" t="s">
        <v>304</v>
      </c>
      <c r="D71" s="8" t="s">
        <v>378</v>
      </c>
      <c r="E71" s="8" t="s">
        <v>379</v>
      </c>
      <c r="F71" s="8" t="s">
        <v>307</v>
      </c>
      <c r="G71" s="8" t="s">
        <v>308</v>
      </c>
      <c r="H71" s="8" t="s">
        <v>309</v>
      </c>
      <c r="I71" s="8" t="s">
        <v>310</v>
      </c>
      <c r="J71" s="9" t="s">
        <v>49</v>
      </c>
      <c r="K71" s="9" t="s">
        <v>90</v>
      </c>
      <c r="L71" s="9" t="s">
        <v>51</v>
      </c>
      <c r="M71" s="9" t="s">
        <v>52</v>
      </c>
      <c r="N71" s="9" t="s">
        <v>53</v>
      </c>
      <c r="O71" s="8"/>
    </row>
    <row r="72" spans="1:15">
      <c r="A72" s="7" t="s">
        <v>380</v>
      </c>
      <c r="B72" s="8" t="s">
        <v>303</v>
      </c>
      <c r="C72" s="8" t="s">
        <v>304</v>
      </c>
      <c r="D72" s="8" t="s">
        <v>381</v>
      </c>
      <c r="E72" s="8" t="s">
        <v>382</v>
      </c>
      <c r="F72" s="8" t="s">
        <v>314</v>
      </c>
      <c r="G72" s="8" t="s">
        <v>315</v>
      </c>
      <c r="H72" s="8" t="s">
        <v>316</v>
      </c>
      <c r="I72" s="8" t="s">
        <v>317</v>
      </c>
      <c r="J72" s="9" t="s">
        <v>49</v>
      </c>
      <c r="K72" s="9" t="s">
        <v>50</v>
      </c>
      <c r="L72" s="9" t="s">
        <v>51</v>
      </c>
      <c r="M72" s="9" t="s">
        <v>52</v>
      </c>
      <c r="N72" s="9" t="s">
        <v>53</v>
      </c>
      <c r="O72" s="8" t="s">
        <v>318</v>
      </c>
    </row>
    <row r="73" spans="1:15">
      <c r="A73" s="7" t="s">
        <v>383</v>
      </c>
      <c r="B73" s="8" t="s">
        <v>303</v>
      </c>
      <c r="C73" s="8" t="s">
        <v>304</v>
      </c>
      <c r="D73" s="8" t="s">
        <v>384</v>
      </c>
      <c r="E73" s="8" t="s">
        <v>379</v>
      </c>
      <c r="F73" s="8" t="s">
        <v>321</v>
      </c>
      <c r="G73" s="8" t="s">
        <v>322</v>
      </c>
      <c r="H73" s="8" t="s">
        <v>323</v>
      </c>
      <c r="I73" s="8" t="s">
        <v>324</v>
      </c>
      <c r="J73" s="9" t="s">
        <v>49</v>
      </c>
      <c r="K73" s="9" t="s">
        <v>90</v>
      </c>
      <c r="L73" s="9" t="s">
        <v>51</v>
      </c>
      <c r="M73" s="9" t="s">
        <v>52</v>
      </c>
      <c r="N73" s="9" t="s">
        <v>53</v>
      </c>
      <c r="O73" s="8"/>
    </row>
    <row r="74" spans="1:15">
      <c r="A74" s="7" t="s">
        <v>385</v>
      </c>
      <c r="B74" s="8" t="s">
        <v>303</v>
      </c>
      <c r="C74" s="8" t="s">
        <v>304</v>
      </c>
      <c r="D74" s="8" t="s">
        <v>386</v>
      </c>
      <c r="E74" s="8" t="s">
        <v>379</v>
      </c>
      <c r="F74" s="8" t="s">
        <v>327</v>
      </c>
      <c r="G74" s="8" t="s">
        <v>328</v>
      </c>
      <c r="H74" s="8" t="s">
        <v>329</v>
      </c>
      <c r="I74" s="8" t="s">
        <v>330</v>
      </c>
      <c r="J74" s="9" t="s">
        <v>49</v>
      </c>
      <c r="K74" s="9" t="s">
        <v>50</v>
      </c>
      <c r="L74" s="9" t="s">
        <v>51</v>
      </c>
      <c r="M74" s="9" t="s">
        <v>52</v>
      </c>
      <c r="N74" s="9" t="s">
        <v>53</v>
      </c>
      <c r="O74" s="8"/>
    </row>
    <row r="75" spans="1:15">
      <c r="A75" s="7" t="s">
        <v>387</v>
      </c>
      <c r="B75" s="8" t="s">
        <v>303</v>
      </c>
      <c r="C75" s="8" t="s">
        <v>304</v>
      </c>
      <c r="D75" s="8" t="s">
        <v>388</v>
      </c>
      <c r="E75" s="8" t="s">
        <v>389</v>
      </c>
      <c r="F75" s="8" t="s">
        <v>307</v>
      </c>
      <c r="G75" s="8" t="s">
        <v>308</v>
      </c>
      <c r="H75" s="8" t="s">
        <v>309</v>
      </c>
      <c r="I75" s="8" t="s">
        <v>310</v>
      </c>
      <c r="J75" s="9" t="s">
        <v>49</v>
      </c>
      <c r="K75" s="9" t="s">
        <v>90</v>
      </c>
      <c r="L75" s="9" t="s">
        <v>51</v>
      </c>
      <c r="M75" s="9" t="s">
        <v>52</v>
      </c>
      <c r="N75" s="9" t="s">
        <v>53</v>
      </c>
      <c r="O75" s="8"/>
    </row>
    <row r="76" spans="1:15">
      <c r="A76" s="7" t="s">
        <v>390</v>
      </c>
      <c r="B76" s="8" t="s">
        <v>303</v>
      </c>
      <c r="C76" s="8" t="s">
        <v>304</v>
      </c>
      <c r="D76" s="8" t="s">
        <v>391</v>
      </c>
      <c r="E76" s="8" t="s">
        <v>392</v>
      </c>
      <c r="F76" s="8" t="s">
        <v>314</v>
      </c>
      <c r="G76" s="8" t="s">
        <v>315</v>
      </c>
      <c r="H76" s="8" t="s">
        <v>316</v>
      </c>
      <c r="I76" s="8" t="s">
        <v>317</v>
      </c>
      <c r="J76" s="9" t="s">
        <v>49</v>
      </c>
      <c r="K76" s="9" t="s">
        <v>50</v>
      </c>
      <c r="L76" s="9" t="s">
        <v>51</v>
      </c>
      <c r="M76" s="9" t="s">
        <v>52</v>
      </c>
      <c r="N76" s="9" t="s">
        <v>53</v>
      </c>
      <c r="O76" s="8" t="s">
        <v>318</v>
      </c>
    </row>
    <row r="77" spans="1:15">
      <c r="A77" s="7" t="s">
        <v>393</v>
      </c>
      <c r="B77" s="8" t="s">
        <v>303</v>
      </c>
      <c r="C77" s="8" t="s">
        <v>304</v>
      </c>
      <c r="D77" s="8" t="s">
        <v>394</v>
      </c>
      <c r="E77" s="8" t="s">
        <v>389</v>
      </c>
      <c r="F77" s="8" t="s">
        <v>321</v>
      </c>
      <c r="G77" s="8" t="s">
        <v>322</v>
      </c>
      <c r="H77" s="8" t="s">
        <v>323</v>
      </c>
      <c r="I77" s="8" t="s">
        <v>324</v>
      </c>
      <c r="J77" s="9" t="s">
        <v>49</v>
      </c>
      <c r="K77" s="9" t="s">
        <v>90</v>
      </c>
      <c r="L77" s="9" t="s">
        <v>51</v>
      </c>
      <c r="M77" s="9" t="s">
        <v>52</v>
      </c>
      <c r="N77" s="9" t="s">
        <v>53</v>
      </c>
      <c r="O77" s="8"/>
    </row>
    <row r="78" spans="1:15">
      <c r="A78" s="7" t="s">
        <v>395</v>
      </c>
      <c r="B78" s="8" t="s">
        <v>303</v>
      </c>
      <c r="C78" s="8" t="s">
        <v>304</v>
      </c>
      <c r="D78" s="8" t="s">
        <v>396</v>
      </c>
      <c r="E78" s="8" t="s">
        <v>389</v>
      </c>
      <c r="F78" s="8" t="s">
        <v>327</v>
      </c>
      <c r="G78" s="8" t="s">
        <v>328</v>
      </c>
      <c r="H78" s="8" t="s">
        <v>329</v>
      </c>
      <c r="I78" s="8" t="s">
        <v>330</v>
      </c>
      <c r="J78" s="9" t="s">
        <v>49</v>
      </c>
      <c r="K78" s="9" t="s">
        <v>50</v>
      </c>
      <c r="L78" s="9" t="s">
        <v>51</v>
      </c>
      <c r="M78" s="9" t="s">
        <v>52</v>
      </c>
      <c r="N78" s="9" t="s">
        <v>53</v>
      </c>
      <c r="O78" s="8"/>
    </row>
    <row r="79" spans="1:15">
      <c r="A79" s="7" t="s">
        <v>397</v>
      </c>
      <c r="B79" s="8" t="s">
        <v>398</v>
      </c>
      <c r="C79" s="8" t="s">
        <v>399</v>
      </c>
      <c r="D79" s="8" t="s">
        <v>400</v>
      </c>
      <c r="E79" s="8" t="s">
        <v>401</v>
      </c>
      <c r="F79" s="8" t="s">
        <v>402</v>
      </c>
      <c r="G79" s="8" t="s">
        <v>403</v>
      </c>
      <c r="H79" s="8" t="s">
        <v>404</v>
      </c>
      <c r="I79" s="8" t="s">
        <v>405</v>
      </c>
      <c r="J79" s="9" t="s">
        <v>49</v>
      </c>
      <c r="K79" s="9" t="s">
        <v>50</v>
      </c>
      <c r="L79" s="9" t="s">
        <v>406</v>
      </c>
      <c r="M79" s="9" t="s">
        <v>52</v>
      </c>
      <c r="N79" s="9" t="s">
        <v>53</v>
      </c>
      <c r="O79" s="8"/>
    </row>
    <row r="80" spans="1:15">
      <c r="A80" s="7" t="s">
        <v>407</v>
      </c>
      <c r="B80" s="8" t="s">
        <v>398</v>
      </c>
      <c r="C80" s="8" t="s">
        <v>399</v>
      </c>
      <c r="D80" s="8" t="s">
        <v>408</v>
      </c>
      <c r="E80" s="8" t="s">
        <v>401</v>
      </c>
      <c r="F80" s="8" t="s">
        <v>402</v>
      </c>
      <c r="G80" s="8" t="s">
        <v>409</v>
      </c>
      <c r="H80" s="8" t="s">
        <v>404</v>
      </c>
      <c r="I80" s="8" t="s">
        <v>405</v>
      </c>
      <c r="J80" s="9" t="s">
        <v>49</v>
      </c>
      <c r="K80" s="9" t="s">
        <v>50</v>
      </c>
      <c r="L80" s="9" t="s">
        <v>406</v>
      </c>
      <c r="M80" s="9" t="s">
        <v>52</v>
      </c>
      <c r="N80" s="9" t="s">
        <v>53</v>
      </c>
      <c r="O80" s="8"/>
    </row>
    <row r="81" spans="1:15">
      <c r="A81" s="7" t="s">
        <v>410</v>
      </c>
      <c r="B81" s="8" t="s">
        <v>398</v>
      </c>
      <c r="C81" s="8" t="s">
        <v>399</v>
      </c>
      <c r="D81" s="8" t="s">
        <v>411</v>
      </c>
      <c r="E81" s="8" t="s">
        <v>401</v>
      </c>
      <c r="F81" s="8" t="s">
        <v>402</v>
      </c>
      <c r="G81" s="8" t="s">
        <v>412</v>
      </c>
      <c r="H81" s="8" t="s">
        <v>404</v>
      </c>
      <c r="I81" s="8" t="s">
        <v>405</v>
      </c>
      <c r="J81" s="9" t="s">
        <v>49</v>
      </c>
      <c r="K81" s="9" t="s">
        <v>50</v>
      </c>
      <c r="L81" s="9" t="s">
        <v>406</v>
      </c>
      <c r="M81" s="9" t="s">
        <v>52</v>
      </c>
      <c r="N81" s="9" t="s">
        <v>53</v>
      </c>
      <c r="O81" s="8"/>
    </row>
    <row r="82" spans="1:15">
      <c r="A82" s="7" t="s">
        <v>413</v>
      </c>
      <c r="B82" s="8" t="s">
        <v>398</v>
      </c>
      <c r="C82" s="8" t="s">
        <v>399</v>
      </c>
      <c r="D82" s="8" t="s">
        <v>414</v>
      </c>
      <c r="E82" s="8" t="s">
        <v>401</v>
      </c>
      <c r="F82" s="8" t="s">
        <v>402</v>
      </c>
      <c r="G82" s="8" t="s">
        <v>415</v>
      </c>
      <c r="H82" s="8" t="s">
        <v>416</v>
      </c>
      <c r="I82" s="8" t="s">
        <v>417</v>
      </c>
      <c r="J82" s="9" t="s">
        <v>49</v>
      </c>
      <c r="K82" s="9" t="s">
        <v>50</v>
      </c>
      <c r="L82" s="9" t="s">
        <v>406</v>
      </c>
      <c r="M82" s="9" t="s">
        <v>52</v>
      </c>
      <c r="N82" s="9" t="s">
        <v>53</v>
      </c>
      <c r="O82" s="8"/>
    </row>
    <row r="83" spans="1:15">
      <c r="A83" s="7" t="s">
        <v>418</v>
      </c>
      <c r="B83" s="8" t="s">
        <v>398</v>
      </c>
      <c r="C83" s="8" t="s">
        <v>399</v>
      </c>
      <c r="D83" s="8" t="s">
        <v>419</v>
      </c>
      <c r="E83" s="8" t="s">
        <v>401</v>
      </c>
      <c r="F83" s="8" t="s">
        <v>402</v>
      </c>
      <c r="G83" s="8" t="s">
        <v>420</v>
      </c>
      <c r="H83" s="8" t="s">
        <v>416</v>
      </c>
      <c r="I83" s="8" t="s">
        <v>417</v>
      </c>
      <c r="J83" s="9" t="s">
        <v>49</v>
      </c>
      <c r="K83" s="9" t="s">
        <v>50</v>
      </c>
      <c r="L83" s="9" t="s">
        <v>406</v>
      </c>
      <c r="M83" s="9" t="s">
        <v>52</v>
      </c>
      <c r="N83" s="9" t="s">
        <v>53</v>
      </c>
      <c r="O83" s="8"/>
    </row>
    <row r="84" spans="1:15">
      <c r="A84" s="7" t="s">
        <v>421</v>
      </c>
      <c r="B84" s="8" t="s">
        <v>398</v>
      </c>
      <c r="C84" s="8" t="s">
        <v>399</v>
      </c>
      <c r="D84" s="8" t="s">
        <v>422</v>
      </c>
      <c r="E84" s="8" t="s">
        <v>401</v>
      </c>
      <c r="F84" s="8" t="s">
        <v>402</v>
      </c>
      <c r="G84" s="8" t="s">
        <v>423</v>
      </c>
      <c r="H84" s="8" t="s">
        <v>416</v>
      </c>
      <c r="I84" s="8" t="s">
        <v>417</v>
      </c>
      <c r="J84" s="9" t="s">
        <v>49</v>
      </c>
      <c r="K84" s="9" t="s">
        <v>50</v>
      </c>
      <c r="L84" s="9" t="s">
        <v>406</v>
      </c>
      <c r="M84" s="9" t="s">
        <v>52</v>
      </c>
      <c r="N84" s="9" t="s">
        <v>53</v>
      </c>
      <c r="O84" s="8"/>
    </row>
    <row r="85" spans="1:15">
      <c r="A85" s="7" t="s">
        <v>424</v>
      </c>
      <c r="B85" s="8" t="s">
        <v>398</v>
      </c>
      <c r="C85" s="8" t="s">
        <v>399</v>
      </c>
      <c r="D85" s="8" t="s">
        <v>425</v>
      </c>
      <c r="E85" s="8" t="s">
        <v>401</v>
      </c>
      <c r="F85" s="8" t="s">
        <v>402</v>
      </c>
      <c r="G85" s="8" t="s">
        <v>426</v>
      </c>
      <c r="H85" s="8" t="s">
        <v>416</v>
      </c>
      <c r="I85" s="8" t="s">
        <v>417</v>
      </c>
      <c r="J85" s="9" t="s">
        <v>49</v>
      </c>
      <c r="K85" s="9" t="s">
        <v>50</v>
      </c>
      <c r="L85" s="9" t="s">
        <v>406</v>
      </c>
      <c r="M85" s="9" t="s">
        <v>52</v>
      </c>
      <c r="N85" s="9" t="s">
        <v>53</v>
      </c>
      <c r="O85" s="8"/>
    </row>
    <row r="86" spans="1:15">
      <c r="A86" s="7" t="s">
        <v>427</v>
      </c>
      <c r="B86" s="8" t="s">
        <v>398</v>
      </c>
      <c r="C86" s="8" t="s">
        <v>399</v>
      </c>
      <c r="D86" s="8" t="s">
        <v>428</v>
      </c>
      <c r="E86" s="8" t="s">
        <v>401</v>
      </c>
      <c r="F86" s="8" t="s">
        <v>402</v>
      </c>
      <c r="G86" s="8" t="s">
        <v>429</v>
      </c>
      <c r="H86" s="8" t="s">
        <v>430</v>
      </c>
      <c r="I86" s="8" t="s">
        <v>431</v>
      </c>
      <c r="J86" s="9" t="s">
        <v>49</v>
      </c>
      <c r="K86" s="9" t="s">
        <v>50</v>
      </c>
      <c r="L86" s="9" t="s">
        <v>406</v>
      </c>
      <c r="M86" s="9" t="s">
        <v>52</v>
      </c>
      <c r="N86" s="9" t="s">
        <v>53</v>
      </c>
      <c r="O86" s="8"/>
    </row>
    <row r="87" spans="1:15">
      <c r="A87" s="7" t="s">
        <v>432</v>
      </c>
      <c r="B87" s="8" t="s">
        <v>398</v>
      </c>
      <c r="C87" s="8" t="s">
        <v>399</v>
      </c>
      <c r="D87" s="8" t="s">
        <v>433</v>
      </c>
      <c r="E87" s="8" t="s">
        <v>401</v>
      </c>
      <c r="F87" s="8" t="s">
        <v>402</v>
      </c>
      <c r="G87" s="8" t="s">
        <v>434</v>
      </c>
      <c r="H87" s="8" t="s">
        <v>430</v>
      </c>
      <c r="I87" s="8" t="s">
        <v>431</v>
      </c>
      <c r="J87" s="9" t="s">
        <v>49</v>
      </c>
      <c r="K87" s="9" t="s">
        <v>50</v>
      </c>
      <c r="L87" s="9" t="s">
        <v>406</v>
      </c>
      <c r="M87" s="9" t="s">
        <v>52</v>
      </c>
      <c r="N87" s="9" t="s">
        <v>53</v>
      </c>
      <c r="O87" s="8"/>
    </row>
    <row r="88" spans="1:15">
      <c r="A88" s="7" t="s">
        <v>435</v>
      </c>
      <c r="B88" s="8" t="s">
        <v>398</v>
      </c>
      <c r="C88" s="8" t="s">
        <v>399</v>
      </c>
      <c r="D88" s="8" t="s">
        <v>436</v>
      </c>
      <c r="E88" s="8" t="s">
        <v>401</v>
      </c>
      <c r="F88" s="8" t="s">
        <v>402</v>
      </c>
      <c r="G88" s="8" t="s">
        <v>437</v>
      </c>
      <c r="H88" s="8" t="s">
        <v>438</v>
      </c>
      <c r="I88" s="8" t="s">
        <v>439</v>
      </c>
      <c r="J88" s="9" t="s">
        <v>49</v>
      </c>
      <c r="K88" s="9" t="s">
        <v>50</v>
      </c>
      <c r="L88" s="9" t="s">
        <v>406</v>
      </c>
      <c r="M88" s="9" t="s">
        <v>52</v>
      </c>
      <c r="N88" s="9" t="s">
        <v>53</v>
      </c>
      <c r="O88" s="8"/>
    </row>
    <row r="89" spans="1:15">
      <c r="A89" s="7" t="s">
        <v>440</v>
      </c>
      <c r="B89" s="8" t="s">
        <v>398</v>
      </c>
      <c r="C89" s="8" t="s">
        <v>399</v>
      </c>
      <c r="D89" s="8" t="s">
        <v>441</v>
      </c>
      <c r="E89" s="8" t="s">
        <v>401</v>
      </c>
      <c r="F89" s="8" t="s">
        <v>402</v>
      </c>
      <c r="G89" s="8" t="s">
        <v>442</v>
      </c>
      <c r="H89" s="8" t="s">
        <v>438</v>
      </c>
      <c r="I89" s="8" t="s">
        <v>439</v>
      </c>
      <c r="J89" s="9" t="s">
        <v>49</v>
      </c>
      <c r="K89" s="9" t="s">
        <v>50</v>
      </c>
      <c r="L89" s="9" t="s">
        <v>406</v>
      </c>
      <c r="M89" s="9" t="s">
        <v>52</v>
      </c>
      <c r="N89" s="9" t="s">
        <v>53</v>
      </c>
      <c r="O89" s="8"/>
    </row>
    <row r="90" spans="1:15">
      <c r="A90" s="7" t="s">
        <v>443</v>
      </c>
      <c r="B90" s="8" t="s">
        <v>398</v>
      </c>
      <c r="C90" s="8" t="s">
        <v>399</v>
      </c>
      <c r="D90" s="8" t="s">
        <v>444</v>
      </c>
      <c r="E90" s="8" t="s">
        <v>401</v>
      </c>
      <c r="F90" s="8" t="s">
        <v>402</v>
      </c>
      <c r="G90" s="8" t="s">
        <v>445</v>
      </c>
      <c r="H90" s="8" t="s">
        <v>404</v>
      </c>
      <c r="I90" s="8" t="s">
        <v>405</v>
      </c>
      <c r="J90" s="9" t="s">
        <v>49</v>
      </c>
      <c r="K90" s="9" t="s">
        <v>50</v>
      </c>
      <c r="L90" s="9" t="s">
        <v>406</v>
      </c>
      <c r="M90" s="9" t="s">
        <v>52</v>
      </c>
      <c r="N90" s="9" t="s">
        <v>53</v>
      </c>
      <c r="O90" s="8"/>
    </row>
    <row r="91" spans="1:15">
      <c r="A91" s="7" t="s">
        <v>446</v>
      </c>
      <c r="B91" s="8" t="s">
        <v>398</v>
      </c>
      <c r="C91" s="8" t="s">
        <v>399</v>
      </c>
      <c r="D91" s="8" t="s">
        <v>447</v>
      </c>
      <c r="E91" s="8" t="s">
        <v>401</v>
      </c>
      <c r="F91" s="8" t="s">
        <v>402</v>
      </c>
      <c r="G91" s="8" t="s">
        <v>448</v>
      </c>
      <c r="H91" s="8" t="s">
        <v>404</v>
      </c>
      <c r="I91" s="8" t="s">
        <v>405</v>
      </c>
      <c r="J91" s="9" t="s">
        <v>49</v>
      </c>
      <c r="K91" s="9" t="s">
        <v>50</v>
      </c>
      <c r="L91" s="9" t="s">
        <v>406</v>
      </c>
      <c r="M91" s="9" t="s">
        <v>52</v>
      </c>
      <c r="N91" s="9" t="s">
        <v>53</v>
      </c>
      <c r="O91" s="8"/>
    </row>
    <row r="92" spans="1:15">
      <c r="A92" s="7" t="s">
        <v>449</v>
      </c>
      <c r="B92" s="8" t="s">
        <v>398</v>
      </c>
      <c r="C92" s="8" t="s">
        <v>399</v>
      </c>
      <c r="D92" s="8" t="s">
        <v>450</v>
      </c>
      <c r="E92" s="8" t="s">
        <v>401</v>
      </c>
      <c r="F92" s="8" t="s">
        <v>402</v>
      </c>
      <c r="G92" s="8" t="s">
        <v>451</v>
      </c>
      <c r="H92" s="8" t="s">
        <v>404</v>
      </c>
      <c r="I92" s="8" t="s">
        <v>405</v>
      </c>
      <c r="J92" s="9" t="s">
        <v>49</v>
      </c>
      <c r="K92" s="9" t="s">
        <v>50</v>
      </c>
      <c r="L92" s="9" t="s">
        <v>406</v>
      </c>
      <c r="M92" s="9" t="s">
        <v>52</v>
      </c>
      <c r="N92" s="9" t="s">
        <v>53</v>
      </c>
      <c r="O92" s="8"/>
    </row>
    <row r="93" spans="1:15">
      <c r="A93" s="7" t="s">
        <v>452</v>
      </c>
      <c r="B93" s="8" t="s">
        <v>398</v>
      </c>
      <c r="C93" s="8" t="s">
        <v>399</v>
      </c>
      <c r="D93" s="8" t="s">
        <v>453</v>
      </c>
      <c r="E93" s="8" t="s">
        <v>454</v>
      </c>
      <c r="F93" s="8" t="s">
        <v>455</v>
      </c>
      <c r="G93" s="8" t="s">
        <v>415</v>
      </c>
      <c r="H93" s="8" t="s">
        <v>456</v>
      </c>
      <c r="I93" s="8" t="s">
        <v>405</v>
      </c>
      <c r="J93" s="9" t="s">
        <v>49</v>
      </c>
      <c r="K93" s="9" t="s">
        <v>90</v>
      </c>
      <c r="L93" s="9" t="s">
        <v>406</v>
      </c>
      <c r="M93" s="9" t="s">
        <v>52</v>
      </c>
      <c r="N93" s="9" t="s">
        <v>53</v>
      </c>
      <c r="O93" s="8" t="s">
        <v>457</v>
      </c>
    </row>
    <row r="94" spans="1:15">
      <c r="A94" s="7" t="s">
        <v>458</v>
      </c>
      <c r="B94" s="8" t="s">
        <v>398</v>
      </c>
      <c r="C94" s="8" t="s">
        <v>399</v>
      </c>
      <c r="D94" s="8" t="s">
        <v>459</v>
      </c>
      <c r="E94" s="8" t="s">
        <v>454</v>
      </c>
      <c r="F94" s="8" t="s">
        <v>455</v>
      </c>
      <c r="G94" s="8" t="s">
        <v>429</v>
      </c>
      <c r="H94" s="8" t="s">
        <v>456</v>
      </c>
      <c r="I94" s="8" t="s">
        <v>405</v>
      </c>
      <c r="J94" s="9" t="s">
        <v>49</v>
      </c>
      <c r="K94" s="9" t="s">
        <v>90</v>
      </c>
      <c r="L94" s="9" t="s">
        <v>406</v>
      </c>
      <c r="M94" s="9" t="s">
        <v>52</v>
      </c>
      <c r="N94" s="9" t="s">
        <v>53</v>
      </c>
      <c r="O94" s="8" t="s">
        <v>457</v>
      </c>
    </row>
    <row r="95" spans="1:15">
      <c r="A95" s="7" t="s">
        <v>460</v>
      </c>
      <c r="B95" s="8" t="s">
        <v>398</v>
      </c>
      <c r="C95" s="8" t="s">
        <v>399</v>
      </c>
      <c r="D95" s="8" t="s">
        <v>461</v>
      </c>
      <c r="E95" s="8" t="s">
        <v>454</v>
      </c>
      <c r="F95" s="8" t="s">
        <v>455</v>
      </c>
      <c r="G95" s="8" t="s">
        <v>437</v>
      </c>
      <c r="H95" s="8" t="s">
        <v>456</v>
      </c>
      <c r="I95" s="8" t="s">
        <v>405</v>
      </c>
      <c r="J95" s="9" t="s">
        <v>49</v>
      </c>
      <c r="K95" s="9" t="s">
        <v>90</v>
      </c>
      <c r="L95" s="9" t="s">
        <v>406</v>
      </c>
      <c r="M95" s="9" t="s">
        <v>52</v>
      </c>
      <c r="N95" s="9" t="s">
        <v>53</v>
      </c>
      <c r="O95" s="8" t="s">
        <v>457</v>
      </c>
    </row>
    <row r="96" spans="1:15">
      <c r="A96" s="7" t="s">
        <v>462</v>
      </c>
      <c r="B96" s="8" t="s">
        <v>398</v>
      </c>
      <c r="C96" s="8" t="s">
        <v>399</v>
      </c>
      <c r="D96" s="8" t="s">
        <v>463</v>
      </c>
      <c r="E96" s="8" t="s">
        <v>454</v>
      </c>
      <c r="F96" s="8" t="s">
        <v>455</v>
      </c>
      <c r="G96" s="8" t="s">
        <v>448</v>
      </c>
      <c r="H96" s="8" t="s">
        <v>456</v>
      </c>
      <c r="I96" s="8" t="s">
        <v>405</v>
      </c>
      <c r="J96" s="9" t="s">
        <v>49</v>
      </c>
      <c r="K96" s="9" t="s">
        <v>90</v>
      </c>
      <c r="L96" s="9" t="s">
        <v>406</v>
      </c>
      <c r="M96" s="9" t="s">
        <v>52</v>
      </c>
      <c r="N96" s="9" t="s">
        <v>53</v>
      </c>
      <c r="O96" s="8" t="s">
        <v>457</v>
      </c>
    </row>
    <row r="97" spans="1:15">
      <c r="A97" s="7" t="s">
        <v>464</v>
      </c>
      <c r="B97" s="8" t="s">
        <v>398</v>
      </c>
      <c r="C97" s="8" t="s">
        <v>399</v>
      </c>
      <c r="D97" s="8" t="s">
        <v>465</v>
      </c>
      <c r="E97" s="8" t="s">
        <v>466</v>
      </c>
      <c r="F97" s="8" t="s">
        <v>467</v>
      </c>
      <c r="G97" s="8" t="s">
        <v>468</v>
      </c>
      <c r="H97" s="8" t="s">
        <v>469</v>
      </c>
      <c r="I97" s="8" t="s">
        <v>470</v>
      </c>
      <c r="J97" s="9" t="s">
        <v>49</v>
      </c>
      <c r="K97" s="9" t="s">
        <v>50</v>
      </c>
      <c r="L97" s="9" t="s">
        <v>406</v>
      </c>
      <c r="M97" s="9" t="s">
        <v>52</v>
      </c>
      <c r="N97" s="9" t="s">
        <v>53</v>
      </c>
      <c r="O97" s="8"/>
    </row>
    <row r="98" spans="1:15">
      <c r="A98" s="7" t="s">
        <v>471</v>
      </c>
      <c r="B98" s="8" t="s">
        <v>472</v>
      </c>
      <c r="C98" s="8" t="s">
        <v>473</v>
      </c>
      <c r="D98" s="8" t="s">
        <v>474</v>
      </c>
      <c r="E98" s="8" t="s">
        <v>475</v>
      </c>
      <c r="F98" s="8" t="s">
        <v>476</v>
      </c>
      <c r="G98" s="8" t="s">
        <v>477</v>
      </c>
      <c r="H98" s="8" t="s">
        <v>478</v>
      </c>
      <c r="I98" s="8" t="s">
        <v>479</v>
      </c>
      <c r="J98" s="9" t="s">
        <v>49</v>
      </c>
      <c r="K98" s="9" t="s">
        <v>90</v>
      </c>
      <c r="L98" s="9" t="s">
        <v>51</v>
      </c>
      <c r="M98" s="9" t="s">
        <v>52</v>
      </c>
      <c r="N98" s="9" t="s">
        <v>53</v>
      </c>
      <c r="O98" s="8"/>
    </row>
    <row r="99" spans="1:15">
      <c r="A99" s="7" t="s">
        <v>480</v>
      </c>
      <c r="B99" s="8" t="s">
        <v>472</v>
      </c>
      <c r="C99" s="8" t="s">
        <v>473</v>
      </c>
      <c r="D99" s="8" t="s">
        <v>481</v>
      </c>
      <c r="E99" s="8" t="s">
        <v>482</v>
      </c>
      <c r="F99" s="8" t="s">
        <v>483</v>
      </c>
      <c r="G99" s="8" t="s">
        <v>484</v>
      </c>
      <c r="H99" s="8" t="s">
        <v>485</v>
      </c>
      <c r="I99" s="8" t="s">
        <v>486</v>
      </c>
      <c r="J99" s="9" t="s">
        <v>49</v>
      </c>
      <c r="K99" s="9" t="s">
        <v>90</v>
      </c>
      <c r="L99" s="9" t="s">
        <v>51</v>
      </c>
      <c r="M99" s="9" t="s">
        <v>52</v>
      </c>
      <c r="N99" s="9" t="s">
        <v>53</v>
      </c>
      <c r="O99" s="8"/>
    </row>
    <row r="100" spans="1:15">
      <c r="A100" s="7" t="s">
        <v>487</v>
      </c>
      <c r="B100" s="8" t="s">
        <v>472</v>
      </c>
      <c r="C100" s="8" t="s">
        <v>473</v>
      </c>
      <c r="D100" s="8" t="s">
        <v>488</v>
      </c>
      <c r="E100" s="8" t="s">
        <v>489</v>
      </c>
      <c r="F100" s="8" t="s">
        <v>490</v>
      </c>
      <c r="G100" s="8" t="s">
        <v>491</v>
      </c>
      <c r="H100" s="8" t="s">
        <v>492</v>
      </c>
      <c r="I100" s="8" t="s">
        <v>479</v>
      </c>
      <c r="J100" s="9" t="s">
        <v>49</v>
      </c>
      <c r="K100" s="9" t="s">
        <v>90</v>
      </c>
      <c r="L100" s="9" t="s">
        <v>51</v>
      </c>
      <c r="M100" s="9" t="s">
        <v>52</v>
      </c>
      <c r="N100" s="9" t="s">
        <v>53</v>
      </c>
      <c r="O100" s="8"/>
    </row>
    <row r="101" spans="1:15">
      <c r="A101" s="7" t="s">
        <v>493</v>
      </c>
      <c r="B101" s="8" t="s">
        <v>472</v>
      </c>
      <c r="C101" s="8" t="s">
        <v>473</v>
      </c>
      <c r="D101" s="8" t="s">
        <v>494</v>
      </c>
      <c r="E101" s="8" t="s">
        <v>495</v>
      </c>
      <c r="F101" s="8" t="s">
        <v>496</v>
      </c>
      <c r="G101" s="8" t="s">
        <v>497</v>
      </c>
      <c r="H101" s="8" t="s">
        <v>498</v>
      </c>
      <c r="I101" s="8" t="s">
        <v>499</v>
      </c>
      <c r="J101" s="9" t="s">
        <v>49</v>
      </c>
      <c r="K101" s="9" t="s">
        <v>90</v>
      </c>
      <c r="L101" s="9" t="s">
        <v>51</v>
      </c>
      <c r="M101" s="9" t="s">
        <v>52</v>
      </c>
      <c r="N101" s="9" t="s">
        <v>53</v>
      </c>
      <c r="O101" s="8"/>
    </row>
    <row r="102" spans="1:15">
      <c r="A102" s="7" t="s">
        <v>500</v>
      </c>
      <c r="B102" s="8" t="s">
        <v>472</v>
      </c>
      <c r="C102" s="8" t="s">
        <v>473</v>
      </c>
      <c r="D102" s="8" t="s">
        <v>501</v>
      </c>
      <c r="E102" s="8" t="s">
        <v>495</v>
      </c>
      <c r="F102" s="8" t="s">
        <v>502</v>
      </c>
      <c r="G102" s="8" t="s">
        <v>503</v>
      </c>
      <c r="H102" s="8" t="s">
        <v>504</v>
      </c>
      <c r="I102" s="8" t="s">
        <v>505</v>
      </c>
      <c r="J102" s="9" t="s">
        <v>49</v>
      </c>
      <c r="K102" s="9" t="s">
        <v>90</v>
      </c>
      <c r="L102" s="9" t="s">
        <v>51</v>
      </c>
      <c r="M102" s="9" t="s">
        <v>52</v>
      </c>
      <c r="N102" s="9" t="s">
        <v>53</v>
      </c>
      <c r="O102" s="8"/>
    </row>
    <row r="103" spans="1:15">
      <c r="A103" s="7" t="s">
        <v>506</v>
      </c>
      <c r="B103" s="8" t="s">
        <v>472</v>
      </c>
      <c r="C103" s="8" t="s">
        <v>473</v>
      </c>
      <c r="D103" s="8" t="s">
        <v>507</v>
      </c>
      <c r="E103" s="8" t="s">
        <v>508</v>
      </c>
      <c r="F103" s="8" t="s">
        <v>509</v>
      </c>
      <c r="G103" s="8" t="s">
        <v>510</v>
      </c>
      <c r="H103" s="8" t="s">
        <v>511</v>
      </c>
      <c r="I103" s="8" t="s">
        <v>512</v>
      </c>
      <c r="J103" s="9" t="s">
        <v>49</v>
      </c>
      <c r="K103" s="9" t="s">
        <v>50</v>
      </c>
      <c r="L103" s="9" t="s">
        <v>51</v>
      </c>
      <c r="M103" s="9" t="s">
        <v>52</v>
      </c>
      <c r="N103" s="9" t="s">
        <v>53</v>
      </c>
      <c r="O103" s="8"/>
    </row>
    <row r="104" spans="1:15">
      <c r="A104" s="7" t="s">
        <v>513</v>
      </c>
      <c r="B104" s="8" t="s">
        <v>472</v>
      </c>
      <c r="C104" s="8" t="s">
        <v>473</v>
      </c>
      <c r="D104" s="8" t="s">
        <v>514</v>
      </c>
      <c r="E104" s="8" t="s">
        <v>515</v>
      </c>
      <c r="F104" s="8" t="s">
        <v>516</v>
      </c>
      <c r="G104" s="8" t="s">
        <v>517</v>
      </c>
      <c r="H104" s="8" t="s">
        <v>518</v>
      </c>
      <c r="I104" s="8" t="s">
        <v>519</v>
      </c>
      <c r="J104" s="9" t="s">
        <v>49</v>
      </c>
      <c r="K104" s="9" t="s">
        <v>50</v>
      </c>
      <c r="L104" s="9" t="s">
        <v>77</v>
      </c>
      <c r="M104" s="9" t="s">
        <v>52</v>
      </c>
      <c r="N104" s="9" t="s">
        <v>53</v>
      </c>
      <c r="O104" s="8" t="s">
        <v>520</v>
      </c>
    </row>
    <row r="105" spans="1:15">
      <c r="A105" s="7" t="s">
        <v>521</v>
      </c>
      <c r="B105" s="8" t="s">
        <v>472</v>
      </c>
      <c r="C105" s="8" t="s">
        <v>473</v>
      </c>
      <c r="D105" s="8" t="s">
        <v>522</v>
      </c>
      <c r="E105" s="8" t="s">
        <v>523</v>
      </c>
      <c r="F105" s="8" t="s">
        <v>524</v>
      </c>
      <c r="G105" s="8" t="s">
        <v>525</v>
      </c>
      <c r="H105" s="8" t="s">
        <v>526</v>
      </c>
      <c r="I105" s="8" t="s">
        <v>527</v>
      </c>
      <c r="J105" s="9" t="s">
        <v>49</v>
      </c>
      <c r="K105" s="9" t="s">
        <v>90</v>
      </c>
      <c r="L105" s="9" t="s">
        <v>51</v>
      </c>
      <c r="M105" s="9" t="s">
        <v>52</v>
      </c>
      <c r="N105" s="9" t="s">
        <v>53</v>
      </c>
      <c r="O105" s="8"/>
    </row>
    <row r="106" spans="1:15">
      <c r="A106" s="7" t="s">
        <v>528</v>
      </c>
      <c r="B106" s="8" t="s">
        <v>472</v>
      </c>
      <c r="C106" s="8" t="s">
        <v>473</v>
      </c>
      <c r="D106" s="8" t="s">
        <v>529</v>
      </c>
      <c r="E106" s="8" t="s">
        <v>530</v>
      </c>
      <c r="F106" s="8" t="s">
        <v>531</v>
      </c>
      <c r="G106" s="8" t="s">
        <v>532</v>
      </c>
      <c r="H106" s="8" t="s">
        <v>533</v>
      </c>
      <c r="I106" s="8" t="s">
        <v>534</v>
      </c>
      <c r="J106" s="9" t="s">
        <v>49</v>
      </c>
      <c r="K106" s="9" t="s">
        <v>90</v>
      </c>
      <c r="L106" s="9" t="s">
        <v>51</v>
      </c>
      <c r="M106" s="9" t="s">
        <v>52</v>
      </c>
      <c r="N106" s="9" t="s">
        <v>53</v>
      </c>
      <c r="O106" s="8"/>
    </row>
    <row r="107" spans="1:15">
      <c r="A107" s="7" t="s">
        <v>535</v>
      </c>
      <c r="B107" s="8" t="s">
        <v>536</v>
      </c>
      <c r="C107" s="8" t="s">
        <v>537</v>
      </c>
      <c r="D107" s="8" t="s">
        <v>538</v>
      </c>
      <c r="E107" s="8" t="s">
        <v>539</v>
      </c>
      <c r="F107" s="8" t="s">
        <v>540</v>
      </c>
      <c r="G107" s="8" t="s">
        <v>541</v>
      </c>
      <c r="H107" s="8" t="s">
        <v>542</v>
      </c>
      <c r="I107" s="8" t="s">
        <v>543</v>
      </c>
      <c r="J107" s="9" t="s">
        <v>49</v>
      </c>
      <c r="K107" s="9" t="s">
        <v>90</v>
      </c>
      <c r="L107" s="9" t="s">
        <v>77</v>
      </c>
      <c r="M107" s="9" t="s">
        <v>52</v>
      </c>
      <c r="N107" s="9" t="s">
        <v>53</v>
      </c>
      <c r="O107" s="8"/>
    </row>
    <row r="108" spans="1:15">
      <c r="A108" s="7" t="s">
        <v>544</v>
      </c>
      <c r="B108" s="8" t="s">
        <v>545</v>
      </c>
      <c r="C108" s="8" t="s">
        <v>546</v>
      </c>
      <c r="D108" s="8" t="s">
        <v>547</v>
      </c>
      <c r="E108" s="8" t="s">
        <v>548</v>
      </c>
      <c r="F108" s="8" t="s">
        <v>549</v>
      </c>
      <c r="G108" s="8" t="s">
        <v>550</v>
      </c>
      <c r="H108" s="8" t="s">
        <v>551</v>
      </c>
      <c r="I108" s="8" t="s">
        <v>552</v>
      </c>
      <c r="J108" s="9" t="s">
        <v>49</v>
      </c>
      <c r="K108" s="9" t="s">
        <v>50</v>
      </c>
      <c r="L108" s="9" t="s">
        <v>51</v>
      </c>
      <c r="M108" s="9" t="s">
        <v>52</v>
      </c>
      <c r="N108" s="9" t="s">
        <v>53</v>
      </c>
      <c r="O108" s="8" t="s">
        <v>553</v>
      </c>
    </row>
    <row r="109" spans="1:15">
      <c r="A109" s="7" t="s">
        <v>554</v>
      </c>
      <c r="B109" s="8" t="s">
        <v>545</v>
      </c>
      <c r="C109" s="8" t="s">
        <v>546</v>
      </c>
      <c r="D109" s="8" t="s">
        <v>555</v>
      </c>
      <c r="E109" s="8" t="s">
        <v>556</v>
      </c>
      <c r="F109" s="8" t="s">
        <v>557</v>
      </c>
      <c r="G109" s="8" t="s">
        <v>558</v>
      </c>
      <c r="H109" s="8" t="s">
        <v>559</v>
      </c>
      <c r="I109" s="8" t="s">
        <v>560</v>
      </c>
      <c r="J109" s="9" t="s">
        <v>49</v>
      </c>
      <c r="K109" s="9" t="s">
        <v>50</v>
      </c>
      <c r="L109" s="9" t="s">
        <v>51</v>
      </c>
      <c r="M109" s="9" t="s">
        <v>52</v>
      </c>
      <c r="N109" s="9" t="s">
        <v>53</v>
      </c>
      <c r="O109" s="8"/>
    </row>
    <row r="110" spans="1:15">
      <c r="A110" s="7" t="s">
        <v>561</v>
      </c>
      <c r="B110" s="8" t="s">
        <v>545</v>
      </c>
      <c r="C110" s="8" t="s">
        <v>546</v>
      </c>
      <c r="D110" s="8" t="s">
        <v>562</v>
      </c>
      <c r="E110" s="8" t="s">
        <v>563</v>
      </c>
      <c r="F110" s="8" t="s">
        <v>564</v>
      </c>
      <c r="G110" s="8" t="s">
        <v>565</v>
      </c>
      <c r="H110" s="8" t="s">
        <v>566</v>
      </c>
      <c r="I110" s="8" t="s">
        <v>567</v>
      </c>
      <c r="J110" s="9" t="s">
        <v>49</v>
      </c>
      <c r="K110" s="9" t="s">
        <v>50</v>
      </c>
      <c r="L110" s="9" t="s">
        <v>77</v>
      </c>
      <c r="M110" s="9" t="s">
        <v>52</v>
      </c>
      <c r="N110" s="9" t="s">
        <v>53</v>
      </c>
      <c r="O110" s="8" t="s">
        <v>568</v>
      </c>
    </row>
    <row r="111" spans="1:15">
      <c r="A111" s="7" t="s">
        <v>569</v>
      </c>
      <c r="B111" s="8" t="s">
        <v>545</v>
      </c>
      <c r="C111" s="8" t="s">
        <v>546</v>
      </c>
      <c r="D111" s="8" t="s">
        <v>570</v>
      </c>
      <c r="E111" s="8" t="s">
        <v>571</v>
      </c>
      <c r="F111" s="8" t="s">
        <v>572</v>
      </c>
      <c r="G111" s="8" t="s">
        <v>573</v>
      </c>
      <c r="H111" s="8" t="s">
        <v>574</v>
      </c>
      <c r="I111" s="8" t="s">
        <v>575</v>
      </c>
      <c r="J111" s="9" t="s">
        <v>49</v>
      </c>
      <c r="K111" s="9" t="s">
        <v>90</v>
      </c>
      <c r="L111" s="9" t="s">
        <v>77</v>
      </c>
      <c r="M111" s="9" t="s">
        <v>52</v>
      </c>
      <c r="N111" s="9" t="s">
        <v>53</v>
      </c>
      <c r="O111" s="8"/>
    </row>
    <row r="112" spans="1:15">
      <c r="A112" s="7" t="s">
        <v>576</v>
      </c>
      <c r="B112" s="8" t="s">
        <v>545</v>
      </c>
      <c r="C112" s="8" t="s">
        <v>546</v>
      </c>
      <c r="D112" s="8" t="s">
        <v>577</v>
      </c>
      <c r="E112" s="8" t="s">
        <v>578</v>
      </c>
      <c r="F112" s="8" t="s">
        <v>579</v>
      </c>
      <c r="G112" s="8" t="s">
        <v>580</v>
      </c>
      <c r="H112" s="8" t="s">
        <v>581</v>
      </c>
      <c r="I112" s="8" t="s">
        <v>582</v>
      </c>
      <c r="J112" s="9" t="s">
        <v>68</v>
      </c>
      <c r="K112" s="9" t="s">
        <v>69</v>
      </c>
      <c r="L112" s="9" t="s">
        <v>77</v>
      </c>
      <c r="M112" s="9" t="s">
        <v>52</v>
      </c>
      <c r="N112" s="9" t="s">
        <v>53</v>
      </c>
      <c r="O112" s="8"/>
    </row>
    <row r="113" spans="1:15">
      <c r="A113" s="7" t="s">
        <v>583</v>
      </c>
      <c r="B113" s="8" t="s">
        <v>545</v>
      </c>
      <c r="C113" s="8" t="s">
        <v>546</v>
      </c>
      <c r="D113" s="8" t="s">
        <v>584</v>
      </c>
      <c r="E113" s="8" t="s">
        <v>585</v>
      </c>
      <c r="F113" s="8" t="s">
        <v>586</v>
      </c>
      <c r="G113" s="8" t="s">
        <v>587</v>
      </c>
      <c r="H113" s="8" t="s">
        <v>588</v>
      </c>
      <c r="I113" s="8" t="s">
        <v>552</v>
      </c>
      <c r="J113" s="9" t="s">
        <v>68</v>
      </c>
      <c r="K113" s="9" t="s">
        <v>69</v>
      </c>
      <c r="L113" s="9" t="s">
        <v>51</v>
      </c>
      <c r="M113" s="9" t="s">
        <v>52</v>
      </c>
      <c r="N113" s="9" t="s">
        <v>53</v>
      </c>
      <c r="O113" s="8"/>
    </row>
    <row r="114" spans="1:15">
      <c r="A114" s="7" t="s">
        <v>589</v>
      </c>
      <c r="B114" s="8" t="s">
        <v>545</v>
      </c>
      <c r="C114" s="8" t="s">
        <v>546</v>
      </c>
      <c r="D114" s="8" t="s">
        <v>590</v>
      </c>
      <c r="E114" s="8" t="s">
        <v>591</v>
      </c>
      <c r="F114" s="8" t="s">
        <v>592</v>
      </c>
      <c r="G114" s="8" t="s">
        <v>593</v>
      </c>
      <c r="H114" s="8" t="s">
        <v>594</v>
      </c>
      <c r="I114" s="8" t="s">
        <v>595</v>
      </c>
      <c r="J114" s="9" t="s">
        <v>49</v>
      </c>
      <c r="K114" s="9" t="s">
        <v>50</v>
      </c>
      <c r="L114" s="9" t="s">
        <v>77</v>
      </c>
      <c r="M114" s="9" t="s">
        <v>52</v>
      </c>
      <c r="N114" s="9" t="s">
        <v>53</v>
      </c>
      <c r="O114" s="8"/>
    </row>
    <row r="115" spans="1:15">
      <c r="A115" s="7" t="s">
        <v>596</v>
      </c>
      <c r="B115" s="8" t="s">
        <v>597</v>
      </c>
      <c r="C115" s="8" t="s">
        <v>598</v>
      </c>
      <c r="D115" s="8" t="s">
        <v>599</v>
      </c>
      <c r="E115" s="8" t="s">
        <v>600</v>
      </c>
      <c r="F115" s="8" t="s">
        <v>601</v>
      </c>
      <c r="G115" s="8" t="s">
        <v>602</v>
      </c>
      <c r="H115" s="8" t="s">
        <v>603</v>
      </c>
      <c r="I115" s="8" t="s">
        <v>604</v>
      </c>
      <c r="J115" s="9" t="s">
        <v>49</v>
      </c>
      <c r="K115" s="9" t="s">
        <v>90</v>
      </c>
      <c r="L115" s="9" t="s">
        <v>51</v>
      </c>
      <c r="M115" s="9" t="s">
        <v>52</v>
      </c>
      <c r="N115" s="9" t="s">
        <v>53</v>
      </c>
      <c r="O115" s="8"/>
    </row>
    <row r="116" spans="1:15">
      <c r="A116" s="7" t="s">
        <v>605</v>
      </c>
      <c r="B116" s="8" t="s">
        <v>597</v>
      </c>
      <c r="C116" s="8" t="s">
        <v>598</v>
      </c>
      <c r="D116" s="8" t="s">
        <v>606</v>
      </c>
      <c r="E116" s="8" t="s">
        <v>607</v>
      </c>
      <c r="F116" s="8" t="s">
        <v>608</v>
      </c>
      <c r="G116" s="8" t="s">
        <v>609</v>
      </c>
      <c r="H116" s="8" t="s">
        <v>610</v>
      </c>
      <c r="I116" s="8" t="s">
        <v>611</v>
      </c>
      <c r="J116" s="9" t="s">
        <v>49</v>
      </c>
      <c r="K116" s="9" t="s">
        <v>50</v>
      </c>
      <c r="L116" s="9" t="s">
        <v>51</v>
      </c>
      <c r="M116" s="9" t="s">
        <v>52</v>
      </c>
      <c r="N116" s="9" t="s">
        <v>53</v>
      </c>
      <c r="O116" s="8"/>
    </row>
    <row r="117" spans="1:15">
      <c r="A117" s="7" t="s">
        <v>612</v>
      </c>
      <c r="B117" s="8" t="s">
        <v>597</v>
      </c>
      <c r="C117" s="8" t="s">
        <v>598</v>
      </c>
      <c r="D117" s="8" t="s">
        <v>613</v>
      </c>
      <c r="E117" s="8" t="s">
        <v>614</v>
      </c>
      <c r="F117" s="8" t="s">
        <v>615</v>
      </c>
      <c r="G117" s="8" t="s">
        <v>616</v>
      </c>
      <c r="H117" s="8" t="s">
        <v>617</v>
      </c>
      <c r="I117" s="8" t="s">
        <v>618</v>
      </c>
      <c r="J117" s="9" t="s">
        <v>180</v>
      </c>
      <c r="K117" s="9" t="s">
        <v>69</v>
      </c>
      <c r="L117" s="9" t="s">
        <v>51</v>
      </c>
      <c r="M117" s="9" t="s">
        <v>52</v>
      </c>
      <c r="N117" s="9" t="s">
        <v>53</v>
      </c>
      <c r="O117" s="8"/>
    </row>
    <row r="118" spans="1:15">
      <c r="A118" s="7" t="s">
        <v>619</v>
      </c>
      <c r="B118" s="8" t="s">
        <v>620</v>
      </c>
      <c r="C118" s="8" t="s">
        <v>621</v>
      </c>
      <c r="D118" s="8" t="s">
        <v>622</v>
      </c>
      <c r="E118" s="8" t="s">
        <v>623</v>
      </c>
      <c r="F118" s="8" t="s">
        <v>624</v>
      </c>
      <c r="G118" s="8" t="s">
        <v>625</v>
      </c>
      <c r="H118" s="8" t="s">
        <v>626</v>
      </c>
      <c r="I118" s="8" t="s">
        <v>627</v>
      </c>
      <c r="J118" s="9" t="s">
        <v>49</v>
      </c>
      <c r="K118" s="9" t="s">
        <v>90</v>
      </c>
      <c r="L118" s="9" t="s">
        <v>77</v>
      </c>
      <c r="M118" s="9" t="s">
        <v>52</v>
      </c>
      <c r="N118" s="9" t="s">
        <v>53</v>
      </c>
      <c r="O118" s="8"/>
    </row>
    <row r="119" spans="1:15">
      <c r="A119" s="7" t="s">
        <v>628</v>
      </c>
      <c r="B119" s="8" t="s">
        <v>620</v>
      </c>
      <c r="C119" s="8" t="s">
        <v>621</v>
      </c>
      <c r="D119" s="8" t="s">
        <v>629</v>
      </c>
      <c r="E119" s="8" t="s">
        <v>630</v>
      </c>
      <c r="F119" s="8" t="s">
        <v>631</v>
      </c>
      <c r="G119" s="8" t="s">
        <v>632</v>
      </c>
      <c r="H119" s="8" t="s">
        <v>633</v>
      </c>
      <c r="I119" s="8" t="s">
        <v>634</v>
      </c>
      <c r="J119" s="9" t="s">
        <v>49</v>
      </c>
      <c r="K119" s="9" t="s">
        <v>50</v>
      </c>
      <c r="L119" s="9" t="s">
        <v>77</v>
      </c>
      <c r="M119" s="9" t="s">
        <v>52</v>
      </c>
      <c r="N119" s="9" t="s">
        <v>53</v>
      </c>
      <c r="O119" s="8"/>
    </row>
    <row r="120" spans="1:15">
      <c r="A120" s="7" t="s">
        <v>635</v>
      </c>
      <c r="B120" s="8" t="s">
        <v>620</v>
      </c>
      <c r="C120" s="8" t="s">
        <v>621</v>
      </c>
      <c r="D120" s="8" t="s">
        <v>636</v>
      </c>
      <c r="E120" s="8" t="s">
        <v>637</v>
      </c>
      <c r="F120" s="8" t="s">
        <v>638</v>
      </c>
      <c r="G120" s="8" t="s">
        <v>639</v>
      </c>
      <c r="H120" s="8" t="s">
        <v>640</v>
      </c>
      <c r="I120" s="8" t="s">
        <v>641</v>
      </c>
      <c r="J120" s="9" t="s">
        <v>49</v>
      </c>
      <c r="K120" s="9" t="s">
        <v>50</v>
      </c>
      <c r="L120" s="9" t="s">
        <v>77</v>
      </c>
      <c r="M120" s="9" t="s">
        <v>52</v>
      </c>
      <c r="N120" s="9" t="s">
        <v>53</v>
      </c>
      <c r="O120" s="8"/>
    </row>
    <row r="121" spans="1:15">
      <c r="A121" s="7" t="s">
        <v>642</v>
      </c>
      <c r="B121" s="8" t="s">
        <v>620</v>
      </c>
      <c r="C121" s="8" t="s">
        <v>621</v>
      </c>
      <c r="D121" s="8" t="s">
        <v>643</v>
      </c>
      <c r="E121" s="8" t="s">
        <v>630</v>
      </c>
      <c r="F121" s="8" t="s">
        <v>644</v>
      </c>
      <c r="G121" s="8" t="s">
        <v>645</v>
      </c>
      <c r="H121" s="8" t="s">
        <v>646</v>
      </c>
      <c r="I121" s="8" t="s">
        <v>647</v>
      </c>
      <c r="J121" s="9" t="s">
        <v>180</v>
      </c>
      <c r="K121" s="9" t="s">
        <v>69</v>
      </c>
      <c r="L121" s="9" t="s">
        <v>77</v>
      </c>
      <c r="M121" s="9" t="s">
        <v>52</v>
      </c>
      <c r="N121" s="9" t="s">
        <v>53</v>
      </c>
      <c r="O121" s="8"/>
    </row>
    <row r="122" spans="1:15">
      <c r="A122" s="7" t="s">
        <v>648</v>
      </c>
      <c r="B122" s="8" t="s">
        <v>649</v>
      </c>
      <c r="C122" s="8" t="s">
        <v>650</v>
      </c>
      <c r="D122" s="8" t="s">
        <v>651</v>
      </c>
      <c r="E122" s="8" t="s">
        <v>630</v>
      </c>
      <c r="F122" s="8" t="s">
        <v>652</v>
      </c>
      <c r="G122" s="8" t="s">
        <v>653</v>
      </c>
      <c r="H122" s="8" t="s">
        <v>654</v>
      </c>
      <c r="I122" s="8" t="s">
        <v>655</v>
      </c>
      <c r="J122" s="9" t="s">
        <v>49</v>
      </c>
      <c r="K122" s="9" t="s">
        <v>50</v>
      </c>
      <c r="L122" s="9" t="s">
        <v>77</v>
      </c>
      <c r="M122" s="9" t="s">
        <v>52</v>
      </c>
      <c r="N122" s="9" t="s">
        <v>53</v>
      </c>
      <c r="O122" s="8"/>
    </row>
    <row r="123" spans="1:15">
      <c r="A123" s="7" t="s">
        <v>656</v>
      </c>
      <c r="B123" s="8" t="s">
        <v>649</v>
      </c>
      <c r="C123" s="8" t="s">
        <v>650</v>
      </c>
      <c r="D123" s="8" t="s">
        <v>657</v>
      </c>
      <c r="E123" s="8" t="s">
        <v>658</v>
      </c>
      <c r="F123" s="8" t="s">
        <v>659</v>
      </c>
      <c r="G123" s="8" t="s">
        <v>660</v>
      </c>
      <c r="H123" s="8" t="s">
        <v>661</v>
      </c>
      <c r="I123" s="8" t="s">
        <v>662</v>
      </c>
      <c r="J123" s="9" t="s">
        <v>49</v>
      </c>
      <c r="K123" s="9" t="s">
        <v>50</v>
      </c>
      <c r="L123" s="9" t="s">
        <v>51</v>
      </c>
      <c r="M123" s="9" t="s">
        <v>52</v>
      </c>
      <c r="N123" s="9" t="s">
        <v>53</v>
      </c>
      <c r="O123" s="8"/>
    </row>
    <row r="124" spans="1:15">
      <c r="A124" s="7" t="s">
        <v>663</v>
      </c>
      <c r="B124" s="8" t="s">
        <v>649</v>
      </c>
      <c r="C124" s="8" t="s">
        <v>650</v>
      </c>
      <c r="D124" s="8" t="s">
        <v>664</v>
      </c>
      <c r="E124" s="8" t="s">
        <v>630</v>
      </c>
      <c r="F124" s="8" t="s">
        <v>665</v>
      </c>
      <c r="G124" s="8" t="s">
        <v>666</v>
      </c>
      <c r="H124" s="8" t="s">
        <v>667</v>
      </c>
      <c r="I124" s="8" t="s">
        <v>662</v>
      </c>
      <c r="J124" s="9" t="s">
        <v>49</v>
      </c>
      <c r="K124" s="9" t="s">
        <v>50</v>
      </c>
      <c r="L124" s="9" t="s">
        <v>77</v>
      </c>
      <c r="M124" s="9" t="s">
        <v>52</v>
      </c>
      <c r="N124" s="9" t="s">
        <v>53</v>
      </c>
      <c r="O124" s="8"/>
    </row>
    <row r="125" spans="1:15">
      <c r="A125" s="7" t="s">
        <v>668</v>
      </c>
      <c r="B125" s="8" t="s">
        <v>649</v>
      </c>
      <c r="C125" s="8" t="s">
        <v>650</v>
      </c>
      <c r="D125" s="8" t="s">
        <v>669</v>
      </c>
      <c r="E125" s="8" t="s">
        <v>630</v>
      </c>
      <c r="F125" s="8" t="s">
        <v>670</v>
      </c>
      <c r="G125" s="8" t="s">
        <v>671</v>
      </c>
      <c r="H125" s="8" t="s">
        <v>672</v>
      </c>
      <c r="I125" s="8" t="s">
        <v>673</v>
      </c>
      <c r="J125" s="9" t="s">
        <v>49</v>
      </c>
      <c r="K125" s="9" t="s">
        <v>50</v>
      </c>
      <c r="L125" s="9" t="s">
        <v>77</v>
      </c>
      <c r="M125" s="9" t="s">
        <v>52</v>
      </c>
      <c r="N125" s="9" t="s">
        <v>53</v>
      </c>
      <c r="O125" s="8" t="s">
        <v>674</v>
      </c>
    </row>
    <row r="126" spans="1:15">
      <c r="A126" s="7" t="s">
        <v>675</v>
      </c>
      <c r="B126" s="8" t="s">
        <v>649</v>
      </c>
      <c r="C126" s="8" t="s">
        <v>650</v>
      </c>
      <c r="D126" s="8" t="s">
        <v>676</v>
      </c>
      <c r="E126" s="8" t="s">
        <v>677</v>
      </c>
      <c r="F126" s="8" t="s">
        <v>678</v>
      </c>
      <c r="G126" s="8" t="s">
        <v>679</v>
      </c>
      <c r="H126" s="8" t="s">
        <v>680</v>
      </c>
      <c r="I126" s="8" t="s">
        <v>681</v>
      </c>
      <c r="J126" s="9" t="s">
        <v>49</v>
      </c>
      <c r="K126" s="9" t="s">
        <v>50</v>
      </c>
      <c r="L126" s="9" t="s">
        <v>77</v>
      </c>
      <c r="M126" s="9" t="s">
        <v>52</v>
      </c>
      <c r="N126" s="9" t="s">
        <v>53</v>
      </c>
      <c r="O126" s="8"/>
    </row>
    <row r="127" spans="1:15">
      <c r="A127" s="7" t="s">
        <v>682</v>
      </c>
      <c r="B127" s="8" t="s">
        <v>683</v>
      </c>
      <c r="C127" s="8" t="s">
        <v>684</v>
      </c>
      <c r="D127" s="8" t="s">
        <v>685</v>
      </c>
      <c r="E127" s="8" t="s">
        <v>686</v>
      </c>
      <c r="F127" s="8" t="s">
        <v>687</v>
      </c>
      <c r="G127" s="8" t="s">
        <v>688</v>
      </c>
      <c r="H127" s="8" t="s">
        <v>689</v>
      </c>
      <c r="I127" s="8" t="s">
        <v>690</v>
      </c>
      <c r="J127" s="9" t="s">
        <v>49</v>
      </c>
      <c r="K127" s="9" t="s">
        <v>90</v>
      </c>
      <c r="L127" s="9" t="s">
        <v>77</v>
      </c>
      <c r="M127" s="9" t="s">
        <v>52</v>
      </c>
      <c r="N127" s="9" t="s">
        <v>53</v>
      </c>
      <c r="O127" s="8"/>
    </row>
    <row r="128" spans="1:15">
      <c r="A128" s="7" t="s">
        <v>691</v>
      </c>
      <c r="B128" s="8" t="s">
        <v>683</v>
      </c>
      <c r="C128" s="8" t="s">
        <v>684</v>
      </c>
      <c r="D128" s="8" t="s">
        <v>692</v>
      </c>
      <c r="E128" s="8" t="s">
        <v>693</v>
      </c>
      <c r="F128" s="8" t="s">
        <v>694</v>
      </c>
      <c r="G128" s="8" t="s">
        <v>695</v>
      </c>
      <c r="H128" s="8" t="s">
        <v>696</v>
      </c>
      <c r="I128" s="8" t="s">
        <v>697</v>
      </c>
      <c r="J128" s="9" t="s">
        <v>49</v>
      </c>
      <c r="K128" s="9" t="s">
        <v>50</v>
      </c>
      <c r="L128" s="9" t="s">
        <v>77</v>
      </c>
      <c r="M128" s="9" t="s">
        <v>52</v>
      </c>
      <c r="N128" s="9" t="s">
        <v>53</v>
      </c>
      <c r="O128" s="8"/>
    </row>
    <row r="129" spans="1:15">
      <c r="A129" s="7" t="s">
        <v>698</v>
      </c>
      <c r="B129" s="8" t="s">
        <v>683</v>
      </c>
      <c r="C129" s="8" t="s">
        <v>684</v>
      </c>
      <c r="D129" s="8" t="s">
        <v>699</v>
      </c>
      <c r="E129" s="8" t="s">
        <v>700</v>
      </c>
      <c r="F129" s="8" t="s">
        <v>701</v>
      </c>
      <c r="G129" s="8" t="s">
        <v>702</v>
      </c>
      <c r="H129" s="8" t="s">
        <v>703</v>
      </c>
      <c r="I129" s="8" t="s">
        <v>704</v>
      </c>
      <c r="J129" s="9" t="s">
        <v>49</v>
      </c>
      <c r="K129" s="9" t="s">
        <v>50</v>
      </c>
      <c r="L129" s="9" t="s">
        <v>77</v>
      </c>
      <c r="M129" s="9" t="s">
        <v>52</v>
      </c>
      <c r="N129" s="9" t="s">
        <v>53</v>
      </c>
      <c r="O129" s="8"/>
    </row>
    <row r="130" spans="1:15">
      <c r="A130" s="7" t="s">
        <v>705</v>
      </c>
      <c r="B130" s="8" t="s">
        <v>683</v>
      </c>
      <c r="C130" s="8" t="s">
        <v>684</v>
      </c>
      <c r="D130" s="8" t="s">
        <v>706</v>
      </c>
      <c r="E130" s="8" t="s">
        <v>630</v>
      </c>
      <c r="F130" s="8" t="s">
        <v>707</v>
      </c>
      <c r="G130" s="8" t="s">
        <v>708</v>
      </c>
      <c r="H130" s="8" t="s">
        <v>709</v>
      </c>
      <c r="I130" s="8" t="s">
        <v>710</v>
      </c>
      <c r="J130" s="9" t="s">
        <v>49</v>
      </c>
      <c r="K130" s="9" t="s">
        <v>50</v>
      </c>
      <c r="L130" s="9" t="s">
        <v>77</v>
      </c>
      <c r="M130" s="9" t="s">
        <v>52</v>
      </c>
      <c r="N130" s="9" t="s">
        <v>53</v>
      </c>
      <c r="O130" s="8"/>
    </row>
    <row r="131" spans="1:15">
      <c r="A131" s="7" t="s">
        <v>711</v>
      </c>
      <c r="B131" s="8" t="s">
        <v>683</v>
      </c>
      <c r="C131" s="8" t="s">
        <v>684</v>
      </c>
      <c r="D131" s="8" t="s">
        <v>712</v>
      </c>
      <c r="E131" s="8" t="s">
        <v>713</v>
      </c>
      <c r="F131" s="8" t="s">
        <v>714</v>
      </c>
      <c r="G131" s="8" t="s">
        <v>715</v>
      </c>
      <c r="H131" s="8" t="s">
        <v>716</v>
      </c>
      <c r="I131" s="8" t="s">
        <v>717</v>
      </c>
      <c r="J131" s="9" t="s">
        <v>68</v>
      </c>
      <c r="K131" s="9" t="s">
        <v>69</v>
      </c>
      <c r="L131" s="9" t="s">
        <v>77</v>
      </c>
      <c r="M131" s="9" t="s">
        <v>52</v>
      </c>
      <c r="N131" s="9" t="s">
        <v>53</v>
      </c>
      <c r="O131" s="8"/>
    </row>
    <row r="132" spans="1:15">
      <c r="A132" s="7" t="s">
        <v>718</v>
      </c>
      <c r="B132" s="8" t="s">
        <v>719</v>
      </c>
      <c r="C132" s="8" t="s">
        <v>720</v>
      </c>
      <c r="D132" s="8" t="s">
        <v>721</v>
      </c>
      <c r="E132" s="8" t="s">
        <v>722</v>
      </c>
      <c r="F132" s="8" t="s">
        <v>723</v>
      </c>
      <c r="G132" s="8" t="s">
        <v>724</v>
      </c>
      <c r="H132" s="8" t="s">
        <v>725</v>
      </c>
      <c r="I132" s="8" t="s">
        <v>726</v>
      </c>
      <c r="J132" s="9" t="s">
        <v>49</v>
      </c>
      <c r="K132" s="9" t="s">
        <v>90</v>
      </c>
      <c r="L132" s="9" t="s">
        <v>727</v>
      </c>
      <c r="M132" s="9" t="s">
        <v>52</v>
      </c>
      <c r="N132" s="9" t="s">
        <v>53</v>
      </c>
      <c r="O132" s="8"/>
    </row>
    <row r="133" spans="1:15">
      <c r="A133" s="7" t="s">
        <v>728</v>
      </c>
      <c r="B133" s="8" t="s">
        <v>719</v>
      </c>
      <c r="C133" s="8" t="s">
        <v>720</v>
      </c>
      <c r="D133" s="8" t="s">
        <v>729</v>
      </c>
      <c r="E133" s="8" t="s">
        <v>722</v>
      </c>
      <c r="F133" s="8" t="s">
        <v>723</v>
      </c>
      <c r="G133" s="8" t="s">
        <v>730</v>
      </c>
      <c r="H133" s="8" t="s">
        <v>725</v>
      </c>
      <c r="I133" s="8" t="s">
        <v>726</v>
      </c>
      <c r="J133" s="9" t="s">
        <v>49</v>
      </c>
      <c r="K133" s="9" t="s">
        <v>90</v>
      </c>
      <c r="L133" s="9" t="s">
        <v>727</v>
      </c>
      <c r="M133" s="9" t="s">
        <v>52</v>
      </c>
      <c r="N133" s="9" t="s">
        <v>53</v>
      </c>
      <c r="O133" s="8"/>
    </row>
    <row r="134" spans="1:15">
      <c r="A134" s="7" t="s">
        <v>731</v>
      </c>
      <c r="B134" s="8" t="s">
        <v>719</v>
      </c>
      <c r="C134" s="8" t="s">
        <v>720</v>
      </c>
      <c r="D134" s="8" t="s">
        <v>732</v>
      </c>
      <c r="E134" s="8" t="s">
        <v>722</v>
      </c>
      <c r="F134" s="8" t="s">
        <v>723</v>
      </c>
      <c r="G134" s="8" t="s">
        <v>733</v>
      </c>
      <c r="H134" s="8" t="s">
        <v>725</v>
      </c>
      <c r="I134" s="8" t="s">
        <v>726</v>
      </c>
      <c r="J134" s="9" t="s">
        <v>49</v>
      </c>
      <c r="K134" s="9" t="s">
        <v>90</v>
      </c>
      <c r="L134" s="9" t="s">
        <v>727</v>
      </c>
      <c r="M134" s="9" t="s">
        <v>52</v>
      </c>
      <c r="N134" s="9" t="s">
        <v>53</v>
      </c>
      <c r="O134" s="8"/>
    </row>
    <row r="135" spans="1:15">
      <c r="A135" s="7" t="s">
        <v>734</v>
      </c>
      <c r="B135" s="8" t="s">
        <v>719</v>
      </c>
      <c r="C135" s="8" t="s">
        <v>720</v>
      </c>
      <c r="D135" s="8" t="s">
        <v>735</v>
      </c>
      <c r="E135" s="8" t="s">
        <v>722</v>
      </c>
      <c r="F135" s="8" t="s">
        <v>723</v>
      </c>
      <c r="G135" s="8" t="s">
        <v>736</v>
      </c>
      <c r="H135" s="8" t="s">
        <v>725</v>
      </c>
      <c r="I135" s="8" t="s">
        <v>726</v>
      </c>
      <c r="J135" s="9" t="s">
        <v>49</v>
      </c>
      <c r="K135" s="9" t="s">
        <v>90</v>
      </c>
      <c r="L135" s="9" t="s">
        <v>727</v>
      </c>
      <c r="M135" s="9" t="s">
        <v>52</v>
      </c>
      <c r="N135" s="9" t="s">
        <v>53</v>
      </c>
      <c r="O135" s="8"/>
    </row>
    <row r="136" spans="1:15">
      <c r="A136" s="7" t="s">
        <v>737</v>
      </c>
      <c r="B136" s="8" t="s">
        <v>719</v>
      </c>
      <c r="C136" s="8" t="s">
        <v>720</v>
      </c>
      <c r="D136" s="8" t="s">
        <v>738</v>
      </c>
      <c r="E136" s="8" t="s">
        <v>739</v>
      </c>
      <c r="F136" s="8" t="s">
        <v>740</v>
      </c>
      <c r="G136" s="8" t="s">
        <v>741</v>
      </c>
      <c r="H136" s="8" t="s">
        <v>742</v>
      </c>
      <c r="I136" s="8" t="s">
        <v>743</v>
      </c>
      <c r="J136" s="9" t="s">
        <v>49</v>
      </c>
      <c r="K136" s="9" t="s">
        <v>90</v>
      </c>
      <c r="L136" s="9" t="s">
        <v>727</v>
      </c>
      <c r="M136" s="9" t="s">
        <v>52</v>
      </c>
      <c r="N136" s="9" t="s">
        <v>53</v>
      </c>
      <c r="O136" s="8"/>
    </row>
    <row r="137" spans="1:15">
      <c r="A137" s="7" t="s">
        <v>744</v>
      </c>
      <c r="B137" s="8" t="s">
        <v>719</v>
      </c>
      <c r="C137" s="8" t="s">
        <v>720</v>
      </c>
      <c r="D137" s="8" t="s">
        <v>745</v>
      </c>
      <c r="E137" s="8" t="s">
        <v>746</v>
      </c>
      <c r="F137" s="8" t="s">
        <v>747</v>
      </c>
      <c r="G137" s="8" t="s">
        <v>748</v>
      </c>
      <c r="H137" s="8" t="s">
        <v>749</v>
      </c>
      <c r="I137" s="8" t="s">
        <v>750</v>
      </c>
      <c r="J137" s="9" t="s">
        <v>49</v>
      </c>
      <c r="K137" s="9" t="s">
        <v>90</v>
      </c>
      <c r="L137" s="9" t="s">
        <v>727</v>
      </c>
      <c r="M137" s="9" t="s">
        <v>52</v>
      </c>
      <c r="N137" s="9" t="s">
        <v>53</v>
      </c>
      <c r="O137" s="8"/>
    </row>
    <row r="138" spans="1:15">
      <c r="A138" s="7" t="s">
        <v>751</v>
      </c>
      <c r="B138" s="8" t="s">
        <v>719</v>
      </c>
      <c r="C138" s="8" t="s">
        <v>720</v>
      </c>
      <c r="D138" s="8" t="s">
        <v>752</v>
      </c>
      <c r="E138" s="8" t="s">
        <v>753</v>
      </c>
      <c r="F138" s="8" t="s">
        <v>754</v>
      </c>
      <c r="G138" s="8" t="s">
        <v>755</v>
      </c>
      <c r="H138" s="8" t="s">
        <v>756</v>
      </c>
      <c r="I138" s="8" t="s">
        <v>330</v>
      </c>
      <c r="J138" s="9" t="s">
        <v>49</v>
      </c>
      <c r="K138" s="9" t="s">
        <v>90</v>
      </c>
      <c r="L138" s="9" t="s">
        <v>727</v>
      </c>
      <c r="M138" s="9" t="s">
        <v>52</v>
      </c>
      <c r="N138" s="9" t="s">
        <v>53</v>
      </c>
      <c r="O138" s="8"/>
    </row>
    <row r="139" spans="1:15">
      <c r="A139" s="7" t="s">
        <v>757</v>
      </c>
      <c r="B139" s="8" t="s">
        <v>719</v>
      </c>
      <c r="C139" s="8" t="s">
        <v>720</v>
      </c>
      <c r="D139" s="8" t="s">
        <v>758</v>
      </c>
      <c r="E139" s="8" t="s">
        <v>759</v>
      </c>
      <c r="F139" s="8" t="s">
        <v>760</v>
      </c>
      <c r="G139" s="8" t="s">
        <v>761</v>
      </c>
      <c r="H139" s="8" t="s">
        <v>762</v>
      </c>
      <c r="I139" s="8" t="s">
        <v>763</v>
      </c>
      <c r="J139" s="9" t="s">
        <v>49</v>
      </c>
      <c r="K139" s="9" t="s">
        <v>90</v>
      </c>
      <c r="L139" s="9" t="s">
        <v>727</v>
      </c>
      <c r="M139" s="9" t="s">
        <v>52</v>
      </c>
      <c r="N139" s="9" t="s">
        <v>53</v>
      </c>
      <c r="O139" s="8"/>
    </row>
    <row r="140" spans="1:15">
      <c r="A140" s="7" t="s">
        <v>764</v>
      </c>
      <c r="B140" s="8" t="s">
        <v>719</v>
      </c>
      <c r="C140" s="8" t="s">
        <v>720</v>
      </c>
      <c r="D140" s="8" t="s">
        <v>765</v>
      </c>
      <c r="E140" s="8" t="s">
        <v>766</v>
      </c>
      <c r="F140" s="8" t="s">
        <v>767</v>
      </c>
      <c r="G140" s="8" t="s">
        <v>768</v>
      </c>
      <c r="H140" s="8" t="s">
        <v>769</v>
      </c>
      <c r="I140" s="8" t="s">
        <v>770</v>
      </c>
      <c r="J140" s="9" t="s">
        <v>49</v>
      </c>
      <c r="K140" s="9" t="s">
        <v>50</v>
      </c>
      <c r="L140" s="9" t="s">
        <v>727</v>
      </c>
      <c r="M140" s="9" t="s">
        <v>52</v>
      </c>
      <c r="N140" s="9" t="s">
        <v>53</v>
      </c>
      <c r="O140" s="8" t="s">
        <v>771</v>
      </c>
    </row>
    <row r="141" spans="1:15">
      <c r="A141" s="7" t="s">
        <v>772</v>
      </c>
      <c r="B141" s="8" t="s">
        <v>719</v>
      </c>
      <c r="C141" s="8" t="s">
        <v>720</v>
      </c>
      <c r="D141" s="8" t="s">
        <v>773</v>
      </c>
      <c r="E141" s="8" t="s">
        <v>739</v>
      </c>
      <c r="F141" s="8" t="s">
        <v>774</v>
      </c>
      <c r="G141" s="8" t="s">
        <v>755</v>
      </c>
      <c r="H141" s="8" t="s">
        <v>756</v>
      </c>
      <c r="I141" s="8" t="s">
        <v>330</v>
      </c>
      <c r="J141" s="9" t="s">
        <v>49</v>
      </c>
      <c r="K141" s="9" t="s">
        <v>50</v>
      </c>
      <c r="L141" s="9" t="s">
        <v>727</v>
      </c>
      <c r="M141" s="9" t="s">
        <v>52</v>
      </c>
      <c r="N141" s="9" t="s">
        <v>53</v>
      </c>
      <c r="O141" s="8"/>
    </row>
    <row r="142" spans="1:15">
      <c r="A142" s="7" t="s">
        <v>775</v>
      </c>
      <c r="B142" s="8" t="s">
        <v>719</v>
      </c>
      <c r="C142" s="8" t="s">
        <v>720</v>
      </c>
      <c r="D142" s="8" t="s">
        <v>776</v>
      </c>
      <c r="E142" s="8" t="s">
        <v>72</v>
      </c>
      <c r="F142" s="8" t="s">
        <v>777</v>
      </c>
      <c r="G142" s="8" t="s">
        <v>778</v>
      </c>
      <c r="H142" s="8" t="s">
        <v>779</v>
      </c>
      <c r="I142" s="8" t="s">
        <v>780</v>
      </c>
      <c r="J142" s="9" t="s">
        <v>49</v>
      </c>
      <c r="K142" s="9" t="s">
        <v>50</v>
      </c>
      <c r="L142" s="9" t="s">
        <v>727</v>
      </c>
      <c r="M142" s="9" t="s">
        <v>52</v>
      </c>
      <c r="N142" s="9" t="s">
        <v>53</v>
      </c>
      <c r="O142" s="8"/>
    </row>
    <row r="143" spans="1:15">
      <c r="A143" s="7" t="s">
        <v>781</v>
      </c>
      <c r="B143" s="8" t="s">
        <v>782</v>
      </c>
      <c r="C143" s="8" t="s">
        <v>783</v>
      </c>
      <c r="D143" s="8" t="s">
        <v>784</v>
      </c>
      <c r="E143" s="8" t="s">
        <v>785</v>
      </c>
      <c r="F143" s="8" t="s">
        <v>786</v>
      </c>
      <c r="G143" s="8" t="s">
        <v>787</v>
      </c>
      <c r="H143" s="8" t="s">
        <v>788</v>
      </c>
      <c r="I143" s="8" t="s">
        <v>789</v>
      </c>
      <c r="J143" s="9" t="s">
        <v>49</v>
      </c>
      <c r="K143" s="9" t="s">
        <v>50</v>
      </c>
      <c r="L143" s="9" t="s">
        <v>790</v>
      </c>
      <c r="M143" s="9" t="s">
        <v>52</v>
      </c>
      <c r="N143" s="9" t="s">
        <v>53</v>
      </c>
      <c r="O143" s="8"/>
    </row>
    <row r="144" spans="1:15">
      <c r="A144" s="7" t="s">
        <v>791</v>
      </c>
      <c r="B144" s="8" t="s">
        <v>782</v>
      </c>
      <c r="C144" s="8" t="s">
        <v>783</v>
      </c>
      <c r="D144" s="8" t="s">
        <v>792</v>
      </c>
      <c r="E144" s="8" t="s">
        <v>785</v>
      </c>
      <c r="F144" s="8" t="s">
        <v>786</v>
      </c>
      <c r="G144" s="8" t="s">
        <v>793</v>
      </c>
      <c r="H144" s="8" t="s">
        <v>788</v>
      </c>
      <c r="I144" s="8" t="s">
        <v>789</v>
      </c>
      <c r="J144" s="9" t="s">
        <v>49</v>
      </c>
      <c r="K144" s="9" t="s">
        <v>50</v>
      </c>
      <c r="L144" s="9" t="s">
        <v>790</v>
      </c>
      <c r="M144" s="9" t="s">
        <v>52</v>
      </c>
      <c r="N144" s="9" t="s">
        <v>53</v>
      </c>
      <c r="O144" s="8"/>
    </row>
    <row r="145" spans="1:15">
      <c r="A145" s="7" t="s">
        <v>794</v>
      </c>
      <c r="B145" s="8" t="s">
        <v>782</v>
      </c>
      <c r="C145" s="8" t="s">
        <v>783</v>
      </c>
      <c r="D145" s="8" t="s">
        <v>795</v>
      </c>
      <c r="E145" s="8" t="s">
        <v>785</v>
      </c>
      <c r="F145" s="8" t="s">
        <v>786</v>
      </c>
      <c r="G145" s="8" t="s">
        <v>796</v>
      </c>
      <c r="H145" s="8" t="s">
        <v>797</v>
      </c>
      <c r="I145" s="8" t="s">
        <v>798</v>
      </c>
      <c r="J145" s="9" t="s">
        <v>49</v>
      </c>
      <c r="K145" s="9" t="s">
        <v>50</v>
      </c>
      <c r="L145" s="9" t="s">
        <v>790</v>
      </c>
      <c r="M145" s="9" t="s">
        <v>52</v>
      </c>
      <c r="N145" s="9" t="s">
        <v>53</v>
      </c>
      <c r="O145" s="8"/>
    </row>
    <row r="146" spans="1:15">
      <c r="A146" s="7" t="s">
        <v>799</v>
      </c>
      <c r="B146" s="8" t="s">
        <v>782</v>
      </c>
      <c r="C146" s="8" t="s">
        <v>783</v>
      </c>
      <c r="D146" s="8" t="s">
        <v>800</v>
      </c>
      <c r="E146" s="8" t="s">
        <v>801</v>
      </c>
      <c r="F146" s="8" t="s">
        <v>786</v>
      </c>
      <c r="G146" s="8" t="s">
        <v>796</v>
      </c>
      <c r="H146" s="8" t="s">
        <v>788</v>
      </c>
      <c r="I146" s="8" t="s">
        <v>789</v>
      </c>
      <c r="J146" s="9" t="s">
        <v>49</v>
      </c>
      <c r="K146" s="9" t="s">
        <v>50</v>
      </c>
      <c r="L146" s="9" t="s">
        <v>790</v>
      </c>
      <c r="M146" s="9" t="s">
        <v>52</v>
      </c>
      <c r="N146" s="9" t="s">
        <v>53</v>
      </c>
      <c r="O146" s="8"/>
    </row>
    <row r="147" spans="1:15">
      <c r="A147" s="7" t="s">
        <v>802</v>
      </c>
      <c r="B147" s="8" t="s">
        <v>782</v>
      </c>
      <c r="C147" s="8" t="s">
        <v>783</v>
      </c>
      <c r="D147" s="8" t="s">
        <v>803</v>
      </c>
      <c r="E147" s="8" t="s">
        <v>801</v>
      </c>
      <c r="F147" s="8" t="s">
        <v>786</v>
      </c>
      <c r="G147" s="8" t="s">
        <v>793</v>
      </c>
      <c r="H147" s="8" t="s">
        <v>788</v>
      </c>
      <c r="I147" s="8" t="s">
        <v>789</v>
      </c>
      <c r="J147" s="9" t="s">
        <v>68</v>
      </c>
      <c r="K147" s="9" t="s">
        <v>69</v>
      </c>
      <c r="L147" s="9" t="s">
        <v>790</v>
      </c>
      <c r="M147" s="9" t="s">
        <v>52</v>
      </c>
      <c r="N147" s="9" t="s">
        <v>53</v>
      </c>
      <c r="O147" s="8"/>
    </row>
    <row r="148" spans="1:15">
      <c r="A148" s="7" t="s">
        <v>804</v>
      </c>
      <c r="B148" s="8" t="s">
        <v>782</v>
      </c>
      <c r="C148" s="8" t="s">
        <v>783</v>
      </c>
      <c r="D148" s="8" t="s">
        <v>805</v>
      </c>
      <c r="E148" s="8" t="s">
        <v>801</v>
      </c>
      <c r="F148" s="8" t="s">
        <v>786</v>
      </c>
      <c r="G148" s="8" t="s">
        <v>806</v>
      </c>
      <c r="H148" s="8" t="s">
        <v>797</v>
      </c>
      <c r="I148" s="8" t="s">
        <v>807</v>
      </c>
      <c r="J148" s="9" t="s">
        <v>68</v>
      </c>
      <c r="K148" s="9" t="s">
        <v>69</v>
      </c>
      <c r="L148" s="9" t="s">
        <v>790</v>
      </c>
      <c r="M148" s="9" t="s">
        <v>52</v>
      </c>
      <c r="N148" s="9" t="s">
        <v>53</v>
      </c>
      <c r="O148" s="8"/>
    </row>
    <row r="149" spans="1:15">
      <c r="A149" s="7" t="s">
        <v>808</v>
      </c>
      <c r="B149" s="8" t="s">
        <v>782</v>
      </c>
      <c r="C149" s="8" t="s">
        <v>783</v>
      </c>
      <c r="D149" s="8" t="s">
        <v>809</v>
      </c>
      <c r="E149" s="8" t="s">
        <v>810</v>
      </c>
      <c r="F149" s="8" t="s">
        <v>786</v>
      </c>
      <c r="G149" s="8" t="s">
        <v>787</v>
      </c>
      <c r="H149" s="8" t="s">
        <v>788</v>
      </c>
      <c r="I149" s="8" t="s">
        <v>789</v>
      </c>
      <c r="J149" s="9" t="s">
        <v>49</v>
      </c>
      <c r="K149" s="9" t="s">
        <v>50</v>
      </c>
      <c r="L149" s="9" t="s">
        <v>790</v>
      </c>
      <c r="M149" s="9" t="s">
        <v>52</v>
      </c>
      <c r="N149" s="9" t="s">
        <v>53</v>
      </c>
      <c r="O149" s="8"/>
    </row>
    <row r="150" spans="1:15">
      <c r="A150" s="7" t="s">
        <v>811</v>
      </c>
      <c r="B150" s="8" t="s">
        <v>782</v>
      </c>
      <c r="C150" s="8" t="s">
        <v>783</v>
      </c>
      <c r="D150" s="8" t="s">
        <v>812</v>
      </c>
      <c r="E150" s="8" t="s">
        <v>810</v>
      </c>
      <c r="F150" s="8" t="s">
        <v>786</v>
      </c>
      <c r="G150" s="8" t="s">
        <v>793</v>
      </c>
      <c r="H150" s="8" t="s">
        <v>788</v>
      </c>
      <c r="I150" s="8" t="s">
        <v>789</v>
      </c>
      <c r="J150" s="9" t="s">
        <v>68</v>
      </c>
      <c r="K150" s="9" t="s">
        <v>69</v>
      </c>
      <c r="L150" s="9" t="s">
        <v>790</v>
      </c>
      <c r="M150" s="9" t="s">
        <v>52</v>
      </c>
      <c r="N150" s="9" t="s">
        <v>53</v>
      </c>
      <c r="O150" s="8"/>
    </row>
    <row r="151" spans="1:15">
      <c r="A151" s="7" t="s">
        <v>813</v>
      </c>
      <c r="B151" s="8" t="s">
        <v>782</v>
      </c>
      <c r="C151" s="8" t="s">
        <v>783</v>
      </c>
      <c r="D151" s="8" t="s">
        <v>814</v>
      </c>
      <c r="E151" s="8" t="s">
        <v>810</v>
      </c>
      <c r="F151" s="8" t="s">
        <v>786</v>
      </c>
      <c r="G151" s="8" t="s">
        <v>806</v>
      </c>
      <c r="H151" s="8" t="s">
        <v>797</v>
      </c>
      <c r="I151" s="8" t="s">
        <v>815</v>
      </c>
      <c r="J151" s="9" t="s">
        <v>180</v>
      </c>
      <c r="K151" s="9" t="s">
        <v>69</v>
      </c>
      <c r="L151" s="9" t="s">
        <v>790</v>
      </c>
      <c r="M151" s="9" t="s">
        <v>52</v>
      </c>
      <c r="N151" s="9" t="s">
        <v>53</v>
      </c>
      <c r="O151" s="8"/>
    </row>
    <row r="152" spans="1:15">
      <c r="A152" s="7" t="s">
        <v>816</v>
      </c>
      <c r="B152" s="8" t="s">
        <v>782</v>
      </c>
      <c r="C152" s="8" t="s">
        <v>783</v>
      </c>
      <c r="D152" s="8" t="s">
        <v>817</v>
      </c>
      <c r="E152" s="8" t="s">
        <v>818</v>
      </c>
      <c r="F152" s="8" t="s">
        <v>786</v>
      </c>
      <c r="G152" s="8" t="s">
        <v>806</v>
      </c>
      <c r="H152" s="8" t="s">
        <v>788</v>
      </c>
      <c r="I152" s="8" t="s">
        <v>789</v>
      </c>
      <c r="J152" s="9" t="s">
        <v>68</v>
      </c>
      <c r="K152" s="9" t="s">
        <v>69</v>
      </c>
      <c r="L152" s="9" t="s">
        <v>790</v>
      </c>
      <c r="M152" s="9" t="s">
        <v>52</v>
      </c>
      <c r="N152" s="9" t="s">
        <v>53</v>
      </c>
      <c r="O152" s="8"/>
    </row>
    <row r="153" spans="1:15">
      <c r="A153" s="7" t="s">
        <v>819</v>
      </c>
      <c r="B153" s="8" t="s">
        <v>782</v>
      </c>
      <c r="C153" s="8" t="s">
        <v>783</v>
      </c>
      <c r="D153" s="8" t="s">
        <v>820</v>
      </c>
      <c r="E153" s="8" t="s">
        <v>818</v>
      </c>
      <c r="F153" s="8" t="s">
        <v>786</v>
      </c>
      <c r="G153" s="8" t="s">
        <v>787</v>
      </c>
      <c r="H153" s="8" t="s">
        <v>788</v>
      </c>
      <c r="I153" s="8" t="s">
        <v>789</v>
      </c>
      <c r="J153" s="9" t="s">
        <v>68</v>
      </c>
      <c r="K153" s="9" t="s">
        <v>69</v>
      </c>
      <c r="L153" s="9" t="s">
        <v>790</v>
      </c>
      <c r="M153" s="9" t="s">
        <v>52</v>
      </c>
      <c r="N153" s="9" t="s">
        <v>53</v>
      </c>
      <c r="O153" s="8"/>
    </row>
    <row r="154" spans="1:15">
      <c r="A154" s="7" t="s">
        <v>821</v>
      </c>
      <c r="B154" s="8" t="s">
        <v>782</v>
      </c>
      <c r="C154" s="8" t="s">
        <v>783</v>
      </c>
      <c r="D154" s="8" t="s">
        <v>822</v>
      </c>
      <c r="E154" s="8" t="s">
        <v>818</v>
      </c>
      <c r="F154" s="8" t="s">
        <v>786</v>
      </c>
      <c r="G154" s="8" t="s">
        <v>796</v>
      </c>
      <c r="H154" s="8" t="s">
        <v>797</v>
      </c>
      <c r="I154" s="8" t="s">
        <v>823</v>
      </c>
      <c r="J154" s="9" t="s">
        <v>180</v>
      </c>
      <c r="K154" s="9" t="s">
        <v>69</v>
      </c>
      <c r="L154" s="9" t="s">
        <v>790</v>
      </c>
      <c r="M154" s="9" t="s">
        <v>52</v>
      </c>
      <c r="N154" s="9" t="s">
        <v>53</v>
      </c>
      <c r="O154" s="8"/>
    </row>
    <row r="155" spans="1:15">
      <c r="A155" s="7" t="s">
        <v>824</v>
      </c>
      <c r="B155" s="8" t="s">
        <v>782</v>
      </c>
      <c r="C155" s="8" t="s">
        <v>783</v>
      </c>
      <c r="D155" s="8" t="s">
        <v>825</v>
      </c>
      <c r="E155" s="8" t="s">
        <v>826</v>
      </c>
      <c r="F155" s="8" t="s">
        <v>827</v>
      </c>
      <c r="G155" s="8" t="s">
        <v>828</v>
      </c>
      <c r="H155" s="8" t="s">
        <v>788</v>
      </c>
      <c r="I155" s="8" t="s">
        <v>789</v>
      </c>
      <c r="J155" s="9" t="s">
        <v>68</v>
      </c>
      <c r="K155" s="9" t="s">
        <v>69</v>
      </c>
      <c r="L155" s="9" t="s">
        <v>790</v>
      </c>
      <c r="M155" s="9" t="s">
        <v>52</v>
      </c>
      <c r="N155" s="9" t="s">
        <v>53</v>
      </c>
      <c r="O155" s="8"/>
    </row>
    <row r="156" spans="1:15">
      <c r="A156" s="7" t="s">
        <v>829</v>
      </c>
      <c r="B156" s="8" t="s">
        <v>782</v>
      </c>
      <c r="C156" s="8" t="s">
        <v>783</v>
      </c>
      <c r="D156" s="8" t="s">
        <v>830</v>
      </c>
      <c r="E156" s="8" t="s">
        <v>826</v>
      </c>
      <c r="F156" s="8" t="s">
        <v>827</v>
      </c>
      <c r="G156" s="8" t="s">
        <v>831</v>
      </c>
      <c r="H156" s="8" t="s">
        <v>788</v>
      </c>
      <c r="I156" s="8" t="s">
        <v>789</v>
      </c>
      <c r="J156" s="9" t="s">
        <v>68</v>
      </c>
      <c r="K156" s="9" t="s">
        <v>69</v>
      </c>
      <c r="L156" s="9" t="s">
        <v>790</v>
      </c>
      <c r="M156" s="9" t="s">
        <v>52</v>
      </c>
      <c r="N156" s="9" t="s">
        <v>53</v>
      </c>
      <c r="O156" s="8"/>
    </row>
    <row r="157" spans="1:15">
      <c r="A157" s="7" t="s">
        <v>832</v>
      </c>
      <c r="B157" s="8" t="s">
        <v>782</v>
      </c>
      <c r="C157" s="8" t="s">
        <v>783</v>
      </c>
      <c r="D157" s="8" t="s">
        <v>833</v>
      </c>
      <c r="E157" s="8" t="s">
        <v>826</v>
      </c>
      <c r="F157" s="8" t="s">
        <v>827</v>
      </c>
      <c r="G157" s="8" t="s">
        <v>834</v>
      </c>
      <c r="H157" s="8" t="s">
        <v>788</v>
      </c>
      <c r="I157" s="8" t="s">
        <v>789</v>
      </c>
      <c r="J157" s="9" t="s">
        <v>180</v>
      </c>
      <c r="K157" s="9" t="s">
        <v>69</v>
      </c>
      <c r="L157" s="9" t="s">
        <v>790</v>
      </c>
      <c r="M157" s="9" t="s">
        <v>52</v>
      </c>
      <c r="N157" s="9" t="s">
        <v>53</v>
      </c>
      <c r="O157" s="8"/>
    </row>
    <row r="158" spans="1:15">
      <c r="A158" s="7" t="s">
        <v>835</v>
      </c>
      <c r="B158" s="8" t="s">
        <v>782</v>
      </c>
      <c r="C158" s="8" t="s">
        <v>783</v>
      </c>
      <c r="D158" s="8" t="s">
        <v>836</v>
      </c>
      <c r="E158" s="8" t="s">
        <v>837</v>
      </c>
      <c r="F158" s="8" t="s">
        <v>827</v>
      </c>
      <c r="G158" s="8" t="s">
        <v>834</v>
      </c>
      <c r="H158" s="8" t="s">
        <v>788</v>
      </c>
      <c r="I158" s="8" t="s">
        <v>789</v>
      </c>
      <c r="J158" s="9" t="s">
        <v>49</v>
      </c>
      <c r="K158" s="9" t="s">
        <v>50</v>
      </c>
      <c r="L158" s="9" t="s">
        <v>790</v>
      </c>
      <c r="M158" s="9" t="s">
        <v>52</v>
      </c>
      <c r="N158" s="9" t="s">
        <v>53</v>
      </c>
      <c r="O158" s="8"/>
    </row>
    <row r="159" spans="1:15">
      <c r="A159" s="7" t="s">
        <v>838</v>
      </c>
      <c r="B159" s="8" t="s">
        <v>782</v>
      </c>
      <c r="C159" s="8" t="s">
        <v>783</v>
      </c>
      <c r="D159" s="8" t="s">
        <v>839</v>
      </c>
      <c r="E159" s="8" t="s">
        <v>837</v>
      </c>
      <c r="F159" s="8" t="s">
        <v>827</v>
      </c>
      <c r="G159" s="8" t="s">
        <v>831</v>
      </c>
      <c r="H159" s="8" t="s">
        <v>797</v>
      </c>
      <c r="I159" s="8" t="s">
        <v>840</v>
      </c>
      <c r="J159" s="9" t="s">
        <v>68</v>
      </c>
      <c r="K159" s="9" t="s">
        <v>69</v>
      </c>
      <c r="L159" s="9" t="s">
        <v>790</v>
      </c>
      <c r="M159" s="9" t="s">
        <v>52</v>
      </c>
      <c r="N159" s="9" t="s">
        <v>53</v>
      </c>
      <c r="O159" s="8"/>
    </row>
    <row r="160" spans="1:15">
      <c r="A160" s="7" t="s">
        <v>841</v>
      </c>
      <c r="B160" s="8" t="s">
        <v>782</v>
      </c>
      <c r="C160" s="8" t="s">
        <v>783</v>
      </c>
      <c r="D160" s="8" t="s">
        <v>842</v>
      </c>
      <c r="E160" s="8" t="s">
        <v>837</v>
      </c>
      <c r="F160" s="8" t="s">
        <v>827</v>
      </c>
      <c r="G160" s="8" t="s">
        <v>843</v>
      </c>
      <c r="H160" s="8" t="s">
        <v>797</v>
      </c>
      <c r="I160" s="8" t="s">
        <v>844</v>
      </c>
      <c r="J160" s="9" t="s">
        <v>180</v>
      </c>
      <c r="K160" s="9" t="s">
        <v>69</v>
      </c>
      <c r="L160" s="9" t="s">
        <v>790</v>
      </c>
      <c r="M160" s="9" t="s">
        <v>52</v>
      </c>
      <c r="N160" s="9" t="s">
        <v>53</v>
      </c>
      <c r="O160" s="8"/>
    </row>
    <row r="161" spans="1:15">
      <c r="A161" s="7" t="s">
        <v>845</v>
      </c>
      <c r="B161" s="8" t="s">
        <v>782</v>
      </c>
      <c r="C161" s="8" t="s">
        <v>783</v>
      </c>
      <c r="D161" s="8" t="s">
        <v>846</v>
      </c>
      <c r="E161" s="8" t="s">
        <v>847</v>
      </c>
      <c r="F161" s="8" t="s">
        <v>827</v>
      </c>
      <c r="G161" s="8" t="s">
        <v>828</v>
      </c>
      <c r="H161" s="8" t="s">
        <v>788</v>
      </c>
      <c r="I161" s="8" t="s">
        <v>789</v>
      </c>
      <c r="J161" s="9" t="s">
        <v>49</v>
      </c>
      <c r="K161" s="9" t="s">
        <v>50</v>
      </c>
      <c r="L161" s="9" t="s">
        <v>790</v>
      </c>
      <c r="M161" s="9" t="s">
        <v>52</v>
      </c>
      <c r="N161" s="9" t="s">
        <v>53</v>
      </c>
      <c r="O161" s="8"/>
    </row>
    <row r="162" spans="1:15">
      <c r="A162" s="7" t="s">
        <v>848</v>
      </c>
      <c r="B162" s="8" t="s">
        <v>782</v>
      </c>
      <c r="C162" s="8" t="s">
        <v>783</v>
      </c>
      <c r="D162" s="8" t="s">
        <v>849</v>
      </c>
      <c r="E162" s="8" t="s">
        <v>847</v>
      </c>
      <c r="F162" s="8" t="s">
        <v>827</v>
      </c>
      <c r="G162" s="8" t="s">
        <v>831</v>
      </c>
      <c r="H162" s="8" t="s">
        <v>797</v>
      </c>
      <c r="I162" s="8" t="s">
        <v>850</v>
      </c>
      <c r="J162" s="9" t="s">
        <v>180</v>
      </c>
      <c r="K162" s="9" t="s">
        <v>69</v>
      </c>
      <c r="L162" s="9" t="s">
        <v>790</v>
      </c>
      <c r="M162" s="9" t="s">
        <v>52</v>
      </c>
      <c r="N162" s="9" t="s">
        <v>53</v>
      </c>
      <c r="O162" s="8"/>
    </row>
    <row r="163" spans="1:15">
      <c r="A163" s="7" t="s">
        <v>851</v>
      </c>
      <c r="B163" s="8" t="s">
        <v>782</v>
      </c>
      <c r="C163" s="8" t="s">
        <v>783</v>
      </c>
      <c r="D163" s="8" t="s">
        <v>852</v>
      </c>
      <c r="E163" s="8" t="s">
        <v>853</v>
      </c>
      <c r="F163" s="8" t="s">
        <v>827</v>
      </c>
      <c r="G163" s="8" t="s">
        <v>828</v>
      </c>
      <c r="H163" s="8" t="s">
        <v>797</v>
      </c>
      <c r="I163" s="8" t="s">
        <v>854</v>
      </c>
      <c r="J163" s="9" t="s">
        <v>49</v>
      </c>
      <c r="K163" s="9" t="s">
        <v>50</v>
      </c>
      <c r="L163" s="9" t="s">
        <v>790</v>
      </c>
      <c r="M163" s="9" t="s">
        <v>52</v>
      </c>
      <c r="N163" s="9" t="s">
        <v>53</v>
      </c>
      <c r="O163" s="8"/>
    </row>
    <row r="164" spans="1:15">
      <c r="A164" s="7" t="s">
        <v>855</v>
      </c>
      <c r="B164" s="8" t="s">
        <v>782</v>
      </c>
      <c r="C164" s="8" t="s">
        <v>783</v>
      </c>
      <c r="D164" s="8" t="s">
        <v>856</v>
      </c>
      <c r="E164" s="8" t="s">
        <v>853</v>
      </c>
      <c r="F164" s="8" t="s">
        <v>827</v>
      </c>
      <c r="G164" s="8" t="s">
        <v>843</v>
      </c>
      <c r="H164" s="8" t="s">
        <v>797</v>
      </c>
      <c r="I164" s="8" t="s">
        <v>857</v>
      </c>
      <c r="J164" s="9" t="s">
        <v>68</v>
      </c>
      <c r="K164" s="9" t="s">
        <v>69</v>
      </c>
      <c r="L164" s="9" t="s">
        <v>790</v>
      </c>
      <c r="M164" s="9" t="s">
        <v>52</v>
      </c>
      <c r="N164" s="9" t="s">
        <v>53</v>
      </c>
      <c r="O164" s="8"/>
    </row>
    <row r="165" spans="1:15">
      <c r="A165" s="7" t="s">
        <v>858</v>
      </c>
      <c r="B165" s="8" t="s">
        <v>782</v>
      </c>
      <c r="C165" s="8" t="s">
        <v>783</v>
      </c>
      <c r="D165" s="8" t="s">
        <v>859</v>
      </c>
      <c r="E165" s="8" t="s">
        <v>860</v>
      </c>
      <c r="F165" s="8" t="s">
        <v>861</v>
      </c>
      <c r="G165" s="8" t="s">
        <v>862</v>
      </c>
      <c r="H165" s="8" t="s">
        <v>863</v>
      </c>
      <c r="I165" s="8" t="s">
        <v>864</v>
      </c>
      <c r="J165" s="9" t="s">
        <v>49</v>
      </c>
      <c r="K165" s="9" t="s">
        <v>50</v>
      </c>
      <c r="L165" s="9" t="s">
        <v>790</v>
      </c>
      <c r="M165" s="9" t="s">
        <v>52</v>
      </c>
      <c r="N165" s="9" t="s">
        <v>53</v>
      </c>
      <c r="O165" s="8"/>
    </row>
    <row r="166" spans="1:15">
      <c r="A166" s="7" t="s">
        <v>865</v>
      </c>
      <c r="B166" s="8" t="s">
        <v>782</v>
      </c>
      <c r="C166" s="8" t="s">
        <v>783</v>
      </c>
      <c r="D166" s="8" t="s">
        <v>866</v>
      </c>
      <c r="E166" s="8" t="s">
        <v>867</v>
      </c>
      <c r="F166" s="8" t="s">
        <v>868</v>
      </c>
      <c r="G166" s="8" t="s">
        <v>869</v>
      </c>
      <c r="H166" s="8" t="s">
        <v>870</v>
      </c>
      <c r="I166" s="8" t="s">
        <v>871</v>
      </c>
      <c r="J166" s="9" t="s">
        <v>68</v>
      </c>
      <c r="K166" s="9" t="s">
        <v>69</v>
      </c>
      <c r="L166" s="9" t="s">
        <v>790</v>
      </c>
      <c r="M166" s="9" t="s">
        <v>52</v>
      </c>
      <c r="N166" s="9" t="s">
        <v>53</v>
      </c>
      <c r="O166" s="8"/>
    </row>
    <row r="167" spans="1:15">
      <c r="A167" s="7" t="s">
        <v>872</v>
      </c>
      <c r="B167" s="8" t="s">
        <v>782</v>
      </c>
      <c r="C167" s="8" t="s">
        <v>783</v>
      </c>
      <c r="D167" s="8" t="s">
        <v>873</v>
      </c>
      <c r="E167" s="8" t="s">
        <v>874</v>
      </c>
      <c r="F167" s="8" t="s">
        <v>875</v>
      </c>
      <c r="G167" s="8" t="s">
        <v>876</v>
      </c>
      <c r="H167" s="8" t="s">
        <v>877</v>
      </c>
      <c r="I167" s="8" t="s">
        <v>878</v>
      </c>
      <c r="J167" s="9" t="s">
        <v>49</v>
      </c>
      <c r="K167" s="9" t="s">
        <v>50</v>
      </c>
      <c r="L167" s="9" t="s">
        <v>790</v>
      </c>
      <c r="M167" s="9" t="s">
        <v>52</v>
      </c>
      <c r="N167" s="9" t="s">
        <v>53</v>
      </c>
      <c r="O167" s="8" t="s">
        <v>879</v>
      </c>
    </row>
    <row r="168" spans="1:15">
      <c r="A168" s="7" t="s">
        <v>880</v>
      </c>
      <c r="B168" s="8" t="s">
        <v>881</v>
      </c>
      <c r="C168" s="8" t="s">
        <v>882</v>
      </c>
      <c r="D168" s="8" t="s">
        <v>883</v>
      </c>
      <c r="E168" s="8" t="s">
        <v>306</v>
      </c>
      <c r="F168" s="8" t="s">
        <v>884</v>
      </c>
      <c r="G168" s="8" t="s">
        <v>885</v>
      </c>
      <c r="H168" s="8" t="s">
        <v>886</v>
      </c>
      <c r="I168" s="8" t="s">
        <v>887</v>
      </c>
      <c r="J168" s="9" t="s">
        <v>49</v>
      </c>
      <c r="K168" s="9" t="s">
        <v>50</v>
      </c>
      <c r="L168" s="9" t="s">
        <v>51</v>
      </c>
      <c r="M168" s="9" t="s">
        <v>52</v>
      </c>
      <c r="N168" s="9" t="s">
        <v>53</v>
      </c>
      <c r="O168" s="8"/>
    </row>
    <row r="169" spans="1:15">
      <c r="A169" s="7" t="s">
        <v>888</v>
      </c>
      <c r="B169" s="8" t="s">
        <v>881</v>
      </c>
      <c r="C169" s="8" t="s">
        <v>882</v>
      </c>
      <c r="D169" s="8" t="s">
        <v>889</v>
      </c>
      <c r="E169" s="8" t="s">
        <v>333</v>
      </c>
      <c r="F169" s="8" t="s">
        <v>884</v>
      </c>
      <c r="G169" s="8" t="s">
        <v>885</v>
      </c>
      <c r="H169" s="8" t="s">
        <v>890</v>
      </c>
      <c r="I169" s="8" t="s">
        <v>891</v>
      </c>
      <c r="J169" s="9" t="s">
        <v>49</v>
      </c>
      <c r="K169" s="9" t="s">
        <v>50</v>
      </c>
      <c r="L169" s="9" t="s">
        <v>51</v>
      </c>
      <c r="M169" s="9" t="s">
        <v>52</v>
      </c>
      <c r="N169" s="9" t="s">
        <v>53</v>
      </c>
      <c r="O169" s="8"/>
    </row>
    <row r="170" spans="1:15">
      <c r="A170" s="7" t="s">
        <v>892</v>
      </c>
      <c r="B170" s="8" t="s">
        <v>881</v>
      </c>
      <c r="C170" s="8" t="s">
        <v>882</v>
      </c>
      <c r="D170" s="8" t="s">
        <v>893</v>
      </c>
      <c r="E170" s="8" t="s">
        <v>349</v>
      </c>
      <c r="F170" s="8" t="s">
        <v>884</v>
      </c>
      <c r="G170" s="8" t="s">
        <v>885</v>
      </c>
      <c r="H170" s="8" t="s">
        <v>894</v>
      </c>
      <c r="I170" s="8" t="s">
        <v>895</v>
      </c>
      <c r="J170" s="9" t="s">
        <v>49</v>
      </c>
      <c r="K170" s="9" t="s">
        <v>50</v>
      </c>
      <c r="L170" s="9" t="s">
        <v>51</v>
      </c>
      <c r="M170" s="9" t="s">
        <v>52</v>
      </c>
      <c r="N170" s="9" t="s">
        <v>53</v>
      </c>
      <c r="O170" s="8"/>
    </row>
    <row r="171" spans="1:15">
      <c r="A171" s="7" t="s">
        <v>896</v>
      </c>
      <c r="B171" s="8" t="s">
        <v>881</v>
      </c>
      <c r="C171" s="8" t="s">
        <v>882</v>
      </c>
      <c r="D171" s="8" t="s">
        <v>897</v>
      </c>
      <c r="E171" s="8" t="s">
        <v>359</v>
      </c>
      <c r="F171" s="8" t="s">
        <v>884</v>
      </c>
      <c r="G171" s="8" t="s">
        <v>885</v>
      </c>
      <c r="H171" s="8" t="s">
        <v>898</v>
      </c>
      <c r="I171" s="8" t="s">
        <v>899</v>
      </c>
      <c r="J171" s="9" t="s">
        <v>49</v>
      </c>
      <c r="K171" s="9" t="s">
        <v>50</v>
      </c>
      <c r="L171" s="9" t="s">
        <v>51</v>
      </c>
      <c r="M171" s="9" t="s">
        <v>52</v>
      </c>
      <c r="N171" s="9" t="s">
        <v>53</v>
      </c>
      <c r="O171" s="8"/>
    </row>
    <row r="172" spans="1:15">
      <c r="A172" s="7" t="s">
        <v>900</v>
      </c>
      <c r="B172" s="8" t="s">
        <v>881</v>
      </c>
      <c r="C172" s="8" t="s">
        <v>882</v>
      </c>
      <c r="D172" s="8" t="s">
        <v>901</v>
      </c>
      <c r="E172" s="8" t="s">
        <v>369</v>
      </c>
      <c r="F172" s="8" t="s">
        <v>884</v>
      </c>
      <c r="G172" s="8" t="s">
        <v>885</v>
      </c>
      <c r="H172" s="8" t="s">
        <v>902</v>
      </c>
      <c r="I172" s="8" t="s">
        <v>903</v>
      </c>
      <c r="J172" s="9" t="s">
        <v>49</v>
      </c>
      <c r="K172" s="9" t="s">
        <v>50</v>
      </c>
      <c r="L172" s="9" t="s">
        <v>77</v>
      </c>
      <c r="M172" s="9" t="s">
        <v>52</v>
      </c>
      <c r="N172" s="9" t="s">
        <v>53</v>
      </c>
      <c r="O172" s="8"/>
    </row>
    <row r="173" spans="1:15">
      <c r="A173" s="7" t="s">
        <v>904</v>
      </c>
      <c r="B173" s="8" t="s">
        <v>881</v>
      </c>
      <c r="C173" s="8" t="s">
        <v>882</v>
      </c>
      <c r="D173" s="8" t="s">
        <v>905</v>
      </c>
      <c r="E173" s="8" t="s">
        <v>379</v>
      </c>
      <c r="F173" s="8" t="s">
        <v>884</v>
      </c>
      <c r="G173" s="8" t="s">
        <v>885</v>
      </c>
      <c r="H173" s="8" t="s">
        <v>906</v>
      </c>
      <c r="I173" s="8" t="s">
        <v>907</v>
      </c>
      <c r="J173" s="9" t="s">
        <v>49</v>
      </c>
      <c r="K173" s="9" t="s">
        <v>50</v>
      </c>
      <c r="L173" s="9" t="s">
        <v>51</v>
      </c>
      <c r="M173" s="9" t="s">
        <v>52</v>
      </c>
      <c r="N173" s="9" t="s">
        <v>53</v>
      </c>
      <c r="O173" s="8"/>
    </row>
    <row r="174" spans="1:15">
      <c r="A174" s="7" t="s">
        <v>908</v>
      </c>
      <c r="B174" s="8" t="s">
        <v>881</v>
      </c>
      <c r="C174" s="8" t="s">
        <v>882</v>
      </c>
      <c r="D174" s="8" t="s">
        <v>909</v>
      </c>
      <c r="E174" s="8" t="s">
        <v>389</v>
      </c>
      <c r="F174" s="8" t="s">
        <v>884</v>
      </c>
      <c r="G174" s="8" t="s">
        <v>885</v>
      </c>
      <c r="H174" s="8" t="s">
        <v>910</v>
      </c>
      <c r="I174" s="8" t="s">
        <v>911</v>
      </c>
      <c r="J174" s="9" t="s">
        <v>49</v>
      </c>
      <c r="K174" s="9" t="s">
        <v>50</v>
      </c>
      <c r="L174" s="9" t="s">
        <v>51</v>
      </c>
      <c r="M174" s="9" t="s">
        <v>52</v>
      </c>
      <c r="N174" s="9" t="s">
        <v>53</v>
      </c>
      <c r="O174" s="8"/>
    </row>
    <row r="175" spans="1:15">
      <c r="A175" s="7" t="s">
        <v>912</v>
      </c>
      <c r="B175" s="8" t="s">
        <v>881</v>
      </c>
      <c r="C175" s="8" t="s">
        <v>882</v>
      </c>
      <c r="D175" s="8" t="s">
        <v>913</v>
      </c>
      <c r="E175" s="8" t="s">
        <v>759</v>
      </c>
      <c r="F175" s="8" t="s">
        <v>914</v>
      </c>
      <c r="G175" s="8" t="s">
        <v>885</v>
      </c>
      <c r="H175" s="8" t="s">
        <v>915</v>
      </c>
      <c r="I175" s="8" t="s">
        <v>916</v>
      </c>
      <c r="J175" s="9" t="s">
        <v>49</v>
      </c>
      <c r="K175" s="9" t="s">
        <v>50</v>
      </c>
      <c r="L175" s="9" t="s">
        <v>77</v>
      </c>
      <c r="M175" s="9" t="s">
        <v>52</v>
      </c>
      <c r="N175" s="9" t="s">
        <v>53</v>
      </c>
      <c r="O175" s="8"/>
    </row>
    <row r="176" spans="1:15">
      <c r="A176" s="7" t="s">
        <v>917</v>
      </c>
      <c r="B176" s="8" t="s">
        <v>881</v>
      </c>
      <c r="C176" s="8" t="s">
        <v>882</v>
      </c>
      <c r="D176" s="8" t="s">
        <v>918</v>
      </c>
      <c r="E176" s="8" t="s">
        <v>919</v>
      </c>
      <c r="F176" s="8" t="s">
        <v>920</v>
      </c>
      <c r="G176" s="8" t="s">
        <v>921</v>
      </c>
      <c r="H176" s="8" t="s">
        <v>922</v>
      </c>
      <c r="I176" s="8" t="s">
        <v>923</v>
      </c>
      <c r="J176" s="9" t="s">
        <v>68</v>
      </c>
      <c r="K176" s="9" t="s">
        <v>69</v>
      </c>
      <c r="L176" s="9" t="s">
        <v>77</v>
      </c>
      <c r="M176" s="9" t="s">
        <v>52</v>
      </c>
      <c r="N176" s="9" t="s">
        <v>53</v>
      </c>
      <c r="O176" s="8"/>
    </row>
    <row r="177" spans="1:15">
      <c r="A177" s="7" t="s">
        <v>924</v>
      </c>
      <c r="B177" s="8" t="s">
        <v>881</v>
      </c>
      <c r="C177" s="8" t="s">
        <v>882</v>
      </c>
      <c r="D177" s="8" t="s">
        <v>925</v>
      </c>
      <c r="E177" s="8" t="s">
        <v>926</v>
      </c>
      <c r="F177" s="8" t="s">
        <v>927</v>
      </c>
      <c r="G177" s="8" t="s">
        <v>885</v>
      </c>
      <c r="H177" s="8" t="s">
        <v>928</v>
      </c>
      <c r="I177" s="8" t="s">
        <v>929</v>
      </c>
      <c r="J177" s="9" t="s">
        <v>49</v>
      </c>
      <c r="K177" s="9" t="s">
        <v>90</v>
      </c>
      <c r="L177" s="9" t="s">
        <v>77</v>
      </c>
      <c r="M177" s="9" t="s">
        <v>52</v>
      </c>
      <c r="N177" s="9" t="s">
        <v>53</v>
      </c>
      <c r="O177" s="8"/>
    </row>
    <row r="178" spans="1:15">
      <c r="A178" s="7" t="s">
        <v>930</v>
      </c>
      <c r="B178" s="8" t="s">
        <v>931</v>
      </c>
      <c r="C178" s="8" t="s">
        <v>932</v>
      </c>
      <c r="D178" s="8" t="s">
        <v>933</v>
      </c>
      <c r="E178" s="8" t="s">
        <v>934</v>
      </c>
      <c r="F178" s="8" t="s">
        <v>935</v>
      </c>
      <c r="G178" s="8" t="s">
        <v>741</v>
      </c>
      <c r="H178" s="8" t="s">
        <v>936</v>
      </c>
      <c r="I178" s="8" t="s">
        <v>937</v>
      </c>
      <c r="J178" s="9" t="s">
        <v>68</v>
      </c>
      <c r="K178" s="9" t="s">
        <v>69</v>
      </c>
      <c r="L178" s="9" t="s">
        <v>51</v>
      </c>
      <c r="M178" s="9" t="s">
        <v>52</v>
      </c>
      <c r="N178" s="9" t="s">
        <v>53</v>
      </c>
      <c r="O178" s="8"/>
    </row>
    <row r="179" spans="1:15">
      <c r="A179" s="7" t="s">
        <v>938</v>
      </c>
      <c r="B179" s="8" t="s">
        <v>931</v>
      </c>
      <c r="C179" s="8" t="s">
        <v>932</v>
      </c>
      <c r="D179" s="8" t="s">
        <v>939</v>
      </c>
      <c r="E179" s="8" t="s">
        <v>940</v>
      </c>
      <c r="F179" s="8" t="s">
        <v>941</v>
      </c>
      <c r="G179" s="8" t="s">
        <v>942</v>
      </c>
      <c r="H179" s="8" t="s">
        <v>943</v>
      </c>
      <c r="I179" s="8" t="s">
        <v>944</v>
      </c>
      <c r="J179" s="9" t="s">
        <v>68</v>
      </c>
      <c r="K179" s="9" t="s">
        <v>69</v>
      </c>
      <c r="L179" s="9" t="s">
        <v>51</v>
      </c>
      <c r="M179" s="9" t="s">
        <v>52</v>
      </c>
      <c r="N179" s="9" t="s">
        <v>53</v>
      </c>
      <c r="O179" s="8"/>
    </row>
    <row r="180" spans="1:15">
      <c r="A180" s="7" t="s">
        <v>945</v>
      </c>
      <c r="B180" s="8" t="s">
        <v>931</v>
      </c>
      <c r="C180" s="8" t="s">
        <v>932</v>
      </c>
      <c r="D180" s="8" t="s">
        <v>946</v>
      </c>
      <c r="E180" s="8" t="s">
        <v>947</v>
      </c>
      <c r="F180" s="8" t="s">
        <v>941</v>
      </c>
      <c r="G180" s="8" t="s">
        <v>948</v>
      </c>
      <c r="H180" s="8" t="s">
        <v>943</v>
      </c>
      <c r="I180" s="8" t="s">
        <v>944</v>
      </c>
      <c r="J180" s="9" t="s">
        <v>68</v>
      </c>
      <c r="K180" s="9" t="s">
        <v>69</v>
      </c>
      <c r="L180" s="9" t="s">
        <v>77</v>
      </c>
      <c r="M180" s="9" t="s">
        <v>52</v>
      </c>
      <c r="N180" s="9" t="s">
        <v>53</v>
      </c>
      <c r="O180" s="8"/>
    </row>
    <row r="181" spans="1:15">
      <c r="A181" s="7" t="s">
        <v>949</v>
      </c>
      <c r="B181" s="8" t="s">
        <v>931</v>
      </c>
      <c r="C181" s="8" t="s">
        <v>932</v>
      </c>
      <c r="D181" s="8" t="s">
        <v>950</v>
      </c>
      <c r="E181" s="8" t="s">
        <v>951</v>
      </c>
      <c r="F181" s="8" t="s">
        <v>941</v>
      </c>
      <c r="G181" s="8" t="s">
        <v>952</v>
      </c>
      <c r="H181" s="8" t="s">
        <v>943</v>
      </c>
      <c r="I181" s="8" t="s">
        <v>944</v>
      </c>
      <c r="J181" s="9" t="s">
        <v>68</v>
      </c>
      <c r="K181" s="9" t="s">
        <v>69</v>
      </c>
      <c r="L181" s="9" t="s">
        <v>51</v>
      </c>
      <c r="M181" s="9" t="s">
        <v>52</v>
      </c>
      <c r="N181" s="9" t="s">
        <v>53</v>
      </c>
      <c r="O181" s="8"/>
    </row>
    <row r="182" spans="1:15">
      <c r="A182" s="7" t="s">
        <v>953</v>
      </c>
      <c r="B182" s="8" t="s">
        <v>931</v>
      </c>
      <c r="C182" s="8" t="s">
        <v>932</v>
      </c>
      <c r="D182" s="8" t="s">
        <v>954</v>
      </c>
      <c r="E182" s="8" t="s">
        <v>955</v>
      </c>
      <c r="F182" s="8" t="s">
        <v>956</v>
      </c>
      <c r="G182" s="8" t="s">
        <v>957</v>
      </c>
      <c r="H182" s="8" t="s">
        <v>958</v>
      </c>
      <c r="I182" s="8" t="s">
        <v>959</v>
      </c>
      <c r="J182" s="9" t="s">
        <v>180</v>
      </c>
      <c r="K182" s="9" t="s">
        <v>69</v>
      </c>
      <c r="L182" s="9" t="s">
        <v>77</v>
      </c>
      <c r="M182" s="9" t="s">
        <v>52</v>
      </c>
      <c r="N182" s="9" t="s">
        <v>53</v>
      </c>
      <c r="O182" s="8"/>
    </row>
    <row r="183" spans="1:15">
      <c r="A183" s="7" t="s">
        <v>960</v>
      </c>
      <c r="B183" s="8" t="s">
        <v>931</v>
      </c>
      <c r="C183" s="8" t="s">
        <v>932</v>
      </c>
      <c r="D183" s="8" t="s">
        <v>961</v>
      </c>
      <c r="E183" s="8" t="s">
        <v>962</v>
      </c>
      <c r="F183" s="8" t="s">
        <v>963</v>
      </c>
      <c r="G183" s="8" t="s">
        <v>964</v>
      </c>
      <c r="H183" s="8" t="s">
        <v>965</v>
      </c>
      <c r="I183" s="8" t="s">
        <v>966</v>
      </c>
      <c r="J183" s="9" t="s">
        <v>180</v>
      </c>
      <c r="K183" s="9" t="s">
        <v>69</v>
      </c>
      <c r="L183" s="9" t="s">
        <v>51</v>
      </c>
      <c r="M183" s="9" t="s">
        <v>52</v>
      </c>
      <c r="N183" s="9" t="s">
        <v>53</v>
      </c>
      <c r="O183" s="8"/>
    </row>
    <row r="184" spans="1:15">
      <c r="A184" s="7" t="s">
        <v>967</v>
      </c>
      <c r="B184" s="8" t="s">
        <v>931</v>
      </c>
      <c r="C184" s="8" t="s">
        <v>932</v>
      </c>
      <c r="D184" s="8" t="s">
        <v>968</v>
      </c>
      <c r="E184" s="8" t="s">
        <v>969</v>
      </c>
      <c r="F184" s="8" t="s">
        <v>970</v>
      </c>
      <c r="G184" s="8" t="s">
        <v>971</v>
      </c>
      <c r="H184" s="8" t="s">
        <v>972</v>
      </c>
      <c r="I184" s="8" t="s">
        <v>973</v>
      </c>
      <c r="J184" s="9" t="s">
        <v>68</v>
      </c>
      <c r="K184" s="9" t="s">
        <v>69</v>
      </c>
      <c r="L184" s="9" t="s">
        <v>51</v>
      </c>
      <c r="M184" s="9" t="s">
        <v>52</v>
      </c>
      <c r="N184" s="9" t="s">
        <v>53</v>
      </c>
      <c r="O184" s="8"/>
    </row>
    <row r="185" spans="1:15">
      <c r="A185" s="7" t="s">
        <v>974</v>
      </c>
      <c r="B185" s="8" t="s">
        <v>931</v>
      </c>
      <c r="C185" s="8" t="s">
        <v>932</v>
      </c>
      <c r="D185" s="8" t="s">
        <v>975</v>
      </c>
      <c r="E185" s="8" t="s">
        <v>976</v>
      </c>
      <c r="F185" s="8" t="s">
        <v>977</v>
      </c>
      <c r="G185" s="8" t="s">
        <v>978</v>
      </c>
      <c r="H185" s="8" t="s">
        <v>979</v>
      </c>
      <c r="I185" s="8" t="s">
        <v>980</v>
      </c>
      <c r="J185" s="9" t="s">
        <v>68</v>
      </c>
      <c r="K185" s="9" t="s">
        <v>69</v>
      </c>
      <c r="L185" s="9" t="s">
        <v>51</v>
      </c>
      <c r="M185" s="9" t="s">
        <v>52</v>
      </c>
      <c r="N185" s="9" t="s">
        <v>53</v>
      </c>
      <c r="O185" s="8"/>
    </row>
    <row r="186" spans="1:15">
      <c r="A186" s="7" t="s">
        <v>981</v>
      </c>
      <c r="B186" s="8" t="s">
        <v>931</v>
      </c>
      <c r="C186" s="8" t="s">
        <v>932</v>
      </c>
      <c r="D186" s="8" t="s">
        <v>982</v>
      </c>
      <c r="E186" s="8" t="s">
        <v>983</v>
      </c>
      <c r="F186" s="8" t="s">
        <v>984</v>
      </c>
      <c r="G186" s="8" t="s">
        <v>985</v>
      </c>
      <c r="H186" s="8" t="s">
        <v>986</v>
      </c>
      <c r="I186" s="8" t="s">
        <v>987</v>
      </c>
      <c r="J186" s="9" t="s">
        <v>68</v>
      </c>
      <c r="K186" s="9" t="s">
        <v>69</v>
      </c>
      <c r="L186" s="9" t="s">
        <v>51</v>
      </c>
      <c r="M186" s="9" t="s">
        <v>52</v>
      </c>
      <c r="N186" s="9" t="s">
        <v>53</v>
      </c>
      <c r="O186" s="8"/>
    </row>
    <row r="187" spans="1:15">
      <c r="A187" s="7" t="s">
        <v>988</v>
      </c>
      <c r="B187" s="8" t="s">
        <v>931</v>
      </c>
      <c r="C187" s="8" t="s">
        <v>932</v>
      </c>
      <c r="D187" s="8" t="s">
        <v>989</v>
      </c>
      <c r="E187" s="8" t="s">
        <v>530</v>
      </c>
      <c r="F187" s="8" t="s">
        <v>990</v>
      </c>
      <c r="G187" s="8" t="s">
        <v>985</v>
      </c>
      <c r="H187" s="8" t="s">
        <v>991</v>
      </c>
      <c r="I187" s="8" t="s">
        <v>992</v>
      </c>
      <c r="J187" s="9" t="s">
        <v>180</v>
      </c>
      <c r="K187" s="9" t="s">
        <v>69</v>
      </c>
      <c r="L187" s="9" t="s">
        <v>77</v>
      </c>
      <c r="M187" s="9" t="s">
        <v>52</v>
      </c>
      <c r="N187" s="9" t="s">
        <v>53</v>
      </c>
      <c r="O187" s="8"/>
    </row>
    <row r="188" spans="1:15">
      <c r="A188" s="7" t="s">
        <v>993</v>
      </c>
      <c r="B188" s="8" t="s">
        <v>931</v>
      </c>
      <c r="C188" s="8" t="s">
        <v>932</v>
      </c>
      <c r="D188" s="8" t="s">
        <v>994</v>
      </c>
      <c r="E188" s="8" t="s">
        <v>995</v>
      </c>
      <c r="F188" s="8" t="s">
        <v>996</v>
      </c>
      <c r="G188" s="8" t="s">
        <v>997</v>
      </c>
      <c r="H188" s="8" t="s">
        <v>998</v>
      </c>
      <c r="I188" s="8" t="s">
        <v>999</v>
      </c>
      <c r="J188" s="9" t="s">
        <v>49</v>
      </c>
      <c r="K188" s="9" t="s">
        <v>50</v>
      </c>
      <c r="L188" s="9" t="s">
        <v>77</v>
      </c>
      <c r="M188" s="9" t="s">
        <v>52</v>
      </c>
      <c r="N188" s="9" t="s">
        <v>53</v>
      </c>
      <c r="O188" s="8"/>
    </row>
    <row r="189" spans="1:15">
      <c r="A189" s="7" t="s">
        <v>1000</v>
      </c>
      <c r="B189" s="8" t="s">
        <v>931</v>
      </c>
      <c r="C189" s="8" t="s">
        <v>932</v>
      </c>
      <c r="D189" s="8" t="s">
        <v>1001</v>
      </c>
      <c r="E189" s="8" t="s">
        <v>1002</v>
      </c>
      <c r="F189" s="8" t="s">
        <v>1003</v>
      </c>
      <c r="G189" s="8" t="s">
        <v>1004</v>
      </c>
      <c r="H189" s="8" t="s">
        <v>1005</v>
      </c>
      <c r="I189" s="8" t="s">
        <v>1006</v>
      </c>
      <c r="J189" s="9" t="s">
        <v>68</v>
      </c>
      <c r="K189" s="9" t="s">
        <v>69</v>
      </c>
      <c r="L189" s="9" t="s">
        <v>77</v>
      </c>
      <c r="M189" s="9" t="s">
        <v>52</v>
      </c>
      <c r="N189" s="9" t="s">
        <v>53</v>
      </c>
      <c r="O189" s="8"/>
    </row>
    <row r="190" spans="1:15">
      <c r="A190" s="7" t="s">
        <v>1007</v>
      </c>
      <c r="B190" s="8" t="s">
        <v>931</v>
      </c>
      <c r="C190" s="8" t="s">
        <v>932</v>
      </c>
      <c r="D190" s="8" t="s">
        <v>1008</v>
      </c>
      <c r="E190" s="8" t="s">
        <v>766</v>
      </c>
      <c r="F190" s="8" t="s">
        <v>1009</v>
      </c>
      <c r="G190" s="8" t="s">
        <v>1010</v>
      </c>
      <c r="H190" s="8" t="s">
        <v>1011</v>
      </c>
      <c r="I190" s="8" t="s">
        <v>1012</v>
      </c>
      <c r="J190" s="9" t="s">
        <v>180</v>
      </c>
      <c r="K190" s="9" t="s">
        <v>69</v>
      </c>
      <c r="L190" s="9" t="s">
        <v>51</v>
      </c>
      <c r="M190" s="9" t="s">
        <v>52</v>
      </c>
      <c r="N190" s="9" t="s">
        <v>53</v>
      </c>
      <c r="O190" s="8"/>
    </row>
    <row r="191" spans="1:15">
      <c r="A191" s="7" t="s">
        <v>1013</v>
      </c>
      <c r="B191" s="8" t="s">
        <v>1014</v>
      </c>
      <c r="C191" s="8" t="s">
        <v>1015</v>
      </c>
      <c r="D191" s="8" t="s">
        <v>1016</v>
      </c>
      <c r="E191" s="8" t="s">
        <v>45</v>
      </c>
      <c r="F191" s="8" t="s">
        <v>1017</v>
      </c>
      <c r="G191" s="8" t="s">
        <v>1018</v>
      </c>
      <c r="H191" s="8" t="s">
        <v>1019</v>
      </c>
      <c r="I191" s="8" t="s">
        <v>1020</v>
      </c>
      <c r="J191" s="9" t="s">
        <v>49</v>
      </c>
      <c r="K191" s="9" t="s">
        <v>90</v>
      </c>
      <c r="L191" s="9" t="s">
        <v>1021</v>
      </c>
      <c r="M191" s="9" t="s">
        <v>52</v>
      </c>
      <c r="N191" s="9" t="s">
        <v>53</v>
      </c>
      <c r="O191" s="8"/>
    </row>
    <row r="192" spans="1:15">
      <c r="A192" s="7" t="s">
        <v>1022</v>
      </c>
      <c r="B192" s="8" t="s">
        <v>1014</v>
      </c>
      <c r="C192" s="8" t="s">
        <v>1015</v>
      </c>
      <c r="D192" s="8" t="s">
        <v>1023</v>
      </c>
      <c r="E192" s="8" t="s">
        <v>614</v>
      </c>
      <c r="F192" s="8" t="s">
        <v>1024</v>
      </c>
      <c r="G192" s="8" t="s">
        <v>1025</v>
      </c>
      <c r="H192" s="8" t="s">
        <v>1026</v>
      </c>
      <c r="I192" s="8" t="s">
        <v>1027</v>
      </c>
      <c r="J192" s="9" t="s">
        <v>49</v>
      </c>
      <c r="K192" s="9" t="s">
        <v>90</v>
      </c>
      <c r="L192" s="9" t="s">
        <v>1021</v>
      </c>
      <c r="M192" s="9" t="s">
        <v>52</v>
      </c>
      <c r="N192" s="9" t="s">
        <v>53</v>
      </c>
      <c r="O192" s="8"/>
    </row>
    <row r="193" spans="1:15">
      <c r="A193" s="7" t="s">
        <v>1028</v>
      </c>
      <c r="B193" s="8" t="s">
        <v>1014</v>
      </c>
      <c r="C193" s="8" t="s">
        <v>1015</v>
      </c>
      <c r="D193" s="8" t="s">
        <v>1029</v>
      </c>
      <c r="E193" s="8" t="s">
        <v>45</v>
      </c>
      <c r="F193" s="8" t="s">
        <v>1030</v>
      </c>
      <c r="G193" s="8" t="s">
        <v>1031</v>
      </c>
      <c r="H193" s="8" t="s">
        <v>1032</v>
      </c>
      <c r="I193" s="8" t="s">
        <v>1033</v>
      </c>
      <c r="J193" s="9" t="s">
        <v>49</v>
      </c>
      <c r="K193" s="9" t="s">
        <v>90</v>
      </c>
      <c r="L193" s="9" t="s">
        <v>1021</v>
      </c>
      <c r="M193" s="9" t="s">
        <v>52</v>
      </c>
      <c r="N193" s="9" t="s">
        <v>53</v>
      </c>
      <c r="O193" s="8"/>
    </row>
    <row r="194" spans="1:15">
      <c r="A194" s="7" t="s">
        <v>1034</v>
      </c>
      <c r="B194" s="8" t="s">
        <v>1014</v>
      </c>
      <c r="C194" s="8" t="s">
        <v>1015</v>
      </c>
      <c r="D194" s="8" t="s">
        <v>1035</v>
      </c>
      <c r="E194" s="8" t="s">
        <v>45</v>
      </c>
      <c r="F194" s="8" t="s">
        <v>1036</v>
      </c>
      <c r="G194" s="8" t="s">
        <v>1037</v>
      </c>
      <c r="H194" s="8" t="s">
        <v>1038</v>
      </c>
      <c r="I194" s="8" t="s">
        <v>1039</v>
      </c>
      <c r="J194" s="9" t="s">
        <v>49</v>
      </c>
      <c r="K194" s="9" t="s">
        <v>90</v>
      </c>
      <c r="L194" s="9" t="s">
        <v>1021</v>
      </c>
      <c r="M194" s="9" t="s">
        <v>52</v>
      </c>
      <c r="N194" s="9" t="s">
        <v>53</v>
      </c>
      <c r="O194" s="8"/>
    </row>
    <row r="195" spans="1:15">
      <c r="A195" s="7" t="s">
        <v>1040</v>
      </c>
      <c r="B195" s="8" t="s">
        <v>1041</v>
      </c>
      <c r="C195" s="8" t="s">
        <v>1042</v>
      </c>
      <c r="D195" s="8" t="s">
        <v>1043</v>
      </c>
      <c r="E195" s="8" t="s">
        <v>1044</v>
      </c>
      <c r="F195" s="8" t="s">
        <v>1045</v>
      </c>
      <c r="G195" s="8" t="s">
        <v>1046</v>
      </c>
      <c r="H195" s="8" t="s">
        <v>1047</v>
      </c>
      <c r="I195" s="8" t="s">
        <v>1048</v>
      </c>
      <c r="J195" s="9" t="s">
        <v>49</v>
      </c>
      <c r="K195" s="9" t="s">
        <v>50</v>
      </c>
      <c r="L195" s="9" t="s">
        <v>51</v>
      </c>
      <c r="M195" s="9" t="s">
        <v>52</v>
      </c>
      <c r="N195" s="9" t="s">
        <v>53</v>
      </c>
      <c r="O195" s="8"/>
    </row>
    <row r="196" spans="1:15">
      <c r="A196" s="7" t="s">
        <v>1049</v>
      </c>
      <c r="B196" s="8" t="s">
        <v>1041</v>
      </c>
      <c r="C196" s="8" t="s">
        <v>1042</v>
      </c>
      <c r="D196" s="8" t="s">
        <v>1050</v>
      </c>
      <c r="E196" s="8" t="s">
        <v>1051</v>
      </c>
      <c r="F196" s="8" t="s">
        <v>1045</v>
      </c>
      <c r="G196" s="8" t="s">
        <v>1052</v>
      </c>
      <c r="H196" s="8" t="s">
        <v>1053</v>
      </c>
      <c r="I196" s="8" t="s">
        <v>1054</v>
      </c>
      <c r="J196" s="9" t="s">
        <v>49</v>
      </c>
      <c r="K196" s="9" t="s">
        <v>50</v>
      </c>
      <c r="L196" s="9" t="s">
        <v>77</v>
      </c>
      <c r="M196" s="9" t="s">
        <v>52</v>
      </c>
      <c r="N196" s="9" t="s">
        <v>53</v>
      </c>
      <c r="O196" s="8" t="s">
        <v>1055</v>
      </c>
    </row>
    <row r="197" spans="1:15">
      <c r="A197" s="7" t="s">
        <v>1056</v>
      </c>
      <c r="B197" s="8" t="s">
        <v>1041</v>
      </c>
      <c r="C197" s="8" t="s">
        <v>1042</v>
      </c>
      <c r="D197" s="8" t="s">
        <v>1057</v>
      </c>
      <c r="E197" s="8" t="s">
        <v>1058</v>
      </c>
      <c r="F197" s="8" t="s">
        <v>1045</v>
      </c>
      <c r="G197" s="8" t="s">
        <v>1059</v>
      </c>
      <c r="H197" s="8" t="s">
        <v>1060</v>
      </c>
      <c r="I197" s="8" t="s">
        <v>1061</v>
      </c>
      <c r="J197" s="9" t="s">
        <v>49</v>
      </c>
      <c r="K197" s="9" t="s">
        <v>50</v>
      </c>
      <c r="L197" s="9" t="s">
        <v>77</v>
      </c>
      <c r="M197" s="9" t="s">
        <v>52</v>
      </c>
      <c r="N197" s="9" t="s">
        <v>53</v>
      </c>
      <c r="O197" s="8"/>
    </row>
    <row r="198" spans="1:15">
      <c r="A198" s="7" t="s">
        <v>1062</v>
      </c>
      <c r="B198" s="8" t="s">
        <v>1041</v>
      </c>
      <c r="C198" s="8" t="s">
        <v>1042</v>
      </c>
      <c r="D198" s="8" t="s">
        <v>1063</v>
      </c>
      <c r="E198" s="8" t="s">
        <v>1064</v>
      </c>
      <c r="F198" s="8" t="s">
        <v>1065</v>
      </c>
      <c r="G198" s="8" t="s">
        <v>1066</v>
      </c>
      <c r="H198" s="8" t="s">
        <v>1067</v>
      </c>
      <c r="I198" s="8" t="s">
        <v>1068</v>
      </c>
      <c r="J198" s="9" t="s">
        <v>68</v>
      </c>
      <c r="K198" s="9" t="s">
        <v>69</v>
      </c>
      <c r="L198" s="9" t="s">
        <v>51</v>
      </c>
      <c r="M198" s="9" t="s">
        <v>52</v>
      </c>
      <c r="N198" s="9" t="s">
        <v>53</v>
      </c>
      <c r="O198" s="8"/>
    </row>
    <row r="199" spans="1:15">
      <c r="A199" s="7" t="s">
        <v>1069</v>
      </c>
      <c r="B199" s="8" t="s">
        <v>1041</v>
      </c>
      <c r="C199" s="8" t="s">
        <v>1042</v>
      </c>
      <c r="D199" s="8" t="s">
        <v>1070</v>
      </c>
      <c r="E199" s="8" t="s">
        <v>1071</v>
      </c>
      <c r="F199" s="8" t="s">
        <v>1072</v>
      </c>
      <c r="G199" s="8" t="s">
        <v>1073</v>
      </c>
      <c r="H199" s="8" t="s">
        <v>1074</v>
      </c>
      <c r="I199" s="8" t="s">
        <v>1075</v>
      </c>
      <c r="J199" s="9" t="s">
        <v>68</v>
      </c>
      <c r="K199" s="9" t="s">
        <v>69</v>
      </c>
      <c r="L199" s="9" t="s">
        <v>51</v>
      </c>
      <c r="M199" s="9" t="s">
        <v>52</v>
      </c>
      <c r="N199" s="9" t="s">
        <v>53</v>
      </c>
      <c r="O199" s="8"/>
    </row>
    <row r="200" spans="1:15">
      <c r="A200" s="7" t="s">
        <v>1076</v>
      </c>
      <c r="B200" s="8" t="s">
        <v>1041</v>
      </c>
      <c r="C200" s="8" t="s">
        <v>1042</v>
      </c>
      <c r="D200" s="8" t="s">
        <v>1077</v>
      </c>
      <c r="E200" s="8" t="s">
        <v>1078</v>
      </c>
      <c r="F200" s="8" t="s">
        <v>1079</v>
      </c>
      <c r="G200" s="8" t="s">
        <v>1080</v>
      </c>
      <c r="H200" s="8" t="s">
        <v>1081</v>
      </c>
      <c r="I200" s="8" t="s">
        <v>1082</v>
      </c>
      <c r="J200" s="9" t="s">
        <v>49</v>
      </c>
      <c r="K200" s="9" t="s">
        <v>50</v>
      </c>
      <c r="L200" s="9" t="s">
        <v>77</v>
      </c>
      <c r="M200" s="9" t="s">
        <v>52</v>
      </c>
      <c r="N200" s="9" t="s">
        <v>53</v>
      </c>
      <c r="O200" s="8"/>
    </row>
    <row r="201" spans="1:15">
      <c r="A201" s="7" t="s">
        <v>1083</v>
      </c>
      <c r="B201" s="8" t="s">
        <v>1041</v>
      </c>
      <c r="C201" s="8" t="s">
        <v>1042</v>
      </c>
      <c r="D201" s="8" t="s">
        <v>1084</v>
      </c>
      <c r="E201" s="8" t="s">
        <v>1085</v>
      </c>
      <c r="F201" s="8" t="s">
        <v>1086</v>
      </c>
      <c r="G201" s="8" t="s">
        <v>1087</v>
      </c>
      <c r="H201" s="8" t="s">
        <v>1088</v>
      </c>
      <c r="I201" s="8" t="s">
        <v>1089</v>
      </c>
      <c r="J201" s="9" t="s">
        <v>68</v>
      </c>
      <c r="K201" s="9" t="s">
        <v>69</v>
      </c>
      <c r="L201" s="9" t="s">
        <v>51</v>
      </c>
      <c r="M201" s="9" t="s">
        <v>52</v>
      </c>
      <c r="N201" s="9" t="s">
        <v>53</v>
      </c>
      <c r="O201" s="8"/>
    </row>
    <row r="202" spans="1:15">
      <c r="A202" s="7" t="s">
        <v>1090</v>
      </c>
      <c r="B202" s="8" t="s">
        <v>1041</v>
      </c>
      <c r="C202" s="8" t="s">
        <v>1042</v>
      </c>
      <c r="D202" s="8" t="s">
        <v>1091</v>
      </c>
      <c r="E202" s="8" t="s">
        <v>1092</v>
      </c>
      <c r="F202" s="8" t="s">
        <v>1093</v>
      </c>
      <c r="G202" s="8" t="s">
        <v>1094</v>
      </c>
      <c r="H202" s="8" t="s">
        <v>1095</v>
      </c>
      <c r="I202" s="8" t="s">
        <v>1096</v>
      </c>
      <c r="J202" s="9" t="s">
        <v>49</v>
      </c>
      <c r="K202" s="9" t="s">
        <v>50</v>
      </c>
      <c r="L202" s="9" t="s">
        <v>77</v>
      </c>
      <c r="M202" s="9" t="s">
        <v>52</v>
      </c>
      <c r="N202" s="9" t="s">
        <v>53</v>
      </c>
      <c r="O202" s="8"/>
    </row>
    <row r="203" spans="1:15">
      <c r="A203" s="7" t="s">
        <v>1097</v>
      </c>
      <c r="B203" s="8" t="s">
        <v>1098</v>
      </c>
      <c r="C203" s="8" t="s">
        <v>1099</v>
      </c>
      <c r="D203" s="8" t="s">
        <v>1100</v>
      </c>
      <c r="E203" s="8" t="s">
        <v>1101</v>
      </c>
      <c r="F203" s="8" t="s">
        <v>1102</v>
      </c>
      <c r="G203" s="8" t="s">
        <v>1103</v>
      </c>
      <c r="H203" s="8" t="s">
        <v>1104</v>
      </c>
      <c r="I203" s="8" t="s">
        <v>1105</v>
      </c>
      <c r="J203" s="9" t="s">
        <v>68</v>
      </c>
      <c r="K203" s="9" t="s">
        <v>69</v>
      </c>
      <c r="L203" s="9" t="s">
        <v>51</v>
      </c>
      <c r="M203" s="9" t="s">
        <v>52</v>
      </c>
      <c r="N203" s="9" t="s">
        <v>53</v>
      </c>
      <c r="O203" s="8"/>
    </row>
    <row r="204" spans="1:15">
      <c r="A204" s="7" t="s">
        <v>1106</v>
      </c>
      <c r="B204" s="8" t="s">
        <v>1098</v>
      </c>
      <c r="C204" s="8" t="s">
        <v>1099</v>
      </c>
      <c r="D204" s="8" t="s">
        <v>1107</v>
      </c>
      <c r="E204" s="8" t="s">
        <v>1108</v>
      </c>
      <c r="F204" s="8" t="s">
        <v>1109</v>
      </c>
      <c r="G204" s="8" t="s">
        <v>1110</v>
      </c>
      <c r="H204" s="8" t="s">
        <v>1111</v>
      </c>
      <c r="I204" s="8" t="s">
        <v>1112</v>
      </c>
      <c r="J204" s="9" t="s">
        <v>49</v>
      </c>
      <c r="K204" s="9" t="s">
        <v>50</v>
      </c>
      <c r="L204" s="9" t="s">
        <v>77</v>
      </c>
      <c r="M204" s="9" t="s">
        <v>52</v>
      </c>
      <c r="N204" s="9" t="s">
        <v>53</v>
      </c>
      <c r="O204" s="8"/>
    </row>
    <row r="205" spans="1:15">
      <c r="A205" s="7" t="s">
        <v>1113</v>
      </c>
      <c r="B205" s="8" t="s">
        <v>1098</v>
      </c>
      <c r="C205" s="8" t="s">
        <v>1099</v>
      </c>
      <c r="D205" s="8" t="s">
        <v>1114</v>
      </c>
      <c r="E205" s="8" t="s">
        <v>1108</v>
      </c>
      <c r="F205" s="8" t="s">
        <v>1115</v>
      </c>
      <c r="G205" s="8" t="s">
        <v>1116</v>
      </c>
      <c r="H205" s="8" t="s">
        <v>1117</v>
      </c>
      <c r="I205" s="8" t="s">
        <v>1118</v>
      </c>
      <c r="J205" s="9" t="s">
        <v>49</v>
      </c>
      <c r="K205" s="9" t="s">
        <v>50</v>
      </c>
      <c r="L205" s="9" t="s">
        <v>77</v>
      </c>
      <c r="M205" s="9" t="s">
        <v>52</v>
      </c>
      <c r="N205" s="9" t="s">
        <v>53</v>
      </c>
      <c r="O205" s="8"/>
    </row>
    <row r="206" spans="1:15">
      <c r="A206" s="7" t="s">
        <v>1119</v>
      </c>
      <c r="B206" s="8" t="s">
        <v>1098</v>
      </c>
      <c r="C206" s="8" t="s">
        <v>1099</v>
      </c>
      <c r="D206" s="8" t="s">
        <v>1120</v>
      </c>
      <c r="E206" s="8" t="s">
        <v>1108</v>
      </c>
      <c r="F206" s="8" t="s">
        <v>1121</v>
      </c>
      <c r="G206" s="8" t="s">
        <v>1122</v>
      </c>
      <c r="H206" s="8" t="s">
        <v>1123</v>
      </c>
      <c r="I206" s="8" t="s">
        <v>1124</v>
      </c>
      <c r="J206" s="9" t="s">
        <v>180</v>
      </c>
      <c r="K206" s="9" t="s">
        <v>69</v>
      </c>
      <c r="L206" s="9" t="s">
        <v>77</v>
      </c>
      <c r="M206" s="9" t="s">
        <v>52</v>
      </c>
      <c r="N206" s="9" t="s">
        <v>53</v>
      </c>
      <c r="O206" s="8"/>
    </row>
    <row r="207" spans="1:15">
      <c r="A207" s="7" t="s">
        <v>1125</v>
      </c>
      <c r="B207" s="8" t="s">
        <v>1098</v>
      </c>
      <c r="C207" s="8" t="s">
        <v>1099</v>
      </c>
      <c r="D207" s="8" t="s">
        <v>1126</v>
      </c>
      <c r="E207" s="8" t="s">
        <v>1127</v>
      </c>
      <c r="F207" s="8" t="s">
        <v>1115</v>
      </c>
      <c r="G207" s="8" t="s">
        <v>1116</v>
      </c>
      <c r="H207" s="8" t="s">
        <v>1128</v>
      </c>
      <c r="I207" s="8" t="s">
        <v>770</v>
      </c>
      <c r="J207" s="9" t="s">
        <v>68</v>
      </c>
      <c r="K207" s="9" t="s">
        <v>69</v>
      </c>
      <c r="L207" s="9" t="s">
        <v>77</v>
      </c>
      <c r="M207" s="9" t="s">
        <v>52</v>
      </c>
      <c r="N207" s="9" t="s">
        <v>53</v>
      </c>
      <c r="O207" s="8"/>
    </row>
    <row r="208" spans="1:15">
      <c r="A208" s="7" t="s">
        <v>1129</v>
      </c>
      <c r="B208" s="8" t="s">
        <v>1098</v>
      </c>
      <c r="C208" s="8" t="s">
        <v>1099</v>
      </c>
      <c r="D208" s="8" t="s">
        <v>1130</v>
      </c>
      <c r="E208" s="8" t="s">
        <v>1131</v>
      </c>
      <c r="F208" s="8" t="s">
        <v>1115</v>
      </c>
      <c r="G208" s="8" t="s">
        <v>1116</v>
      </c>
      <c r="H208" s="8" t="s">
        <v>1132</v>
      </c>
      <c r="I208" s="8" t="s">
        <v>770</v>
      </c>
      <c r="J208" s="9" t="s">
        <v>68</v>
      </c>
      <c r="K208" s="9" t="s">
        <v>69</v>
      </c>
      <c r="L208" s="9" t="s">
        <v>77</v>
      </c>
      <c r="M208" s="9" t="s">
        <v>52</v>
      </c>
      <c r="N208" s="9" t="s">
        <v>53</v>
      </c>
      <c r="O208" s="8"/>
    </row>
    <row r="209" spans="1:15">
      <c r="A209" s="7" t="s">
        <v>1133</v>
      </c>
      <c r="B209" s="8" t="s">
        <v>1134</v>
      </c>
      <c r="C209" s="8" t="s">
        <v>1135</v>
      </c>
      <c r="D209" s="8" t="s">
        <v>1136</v>
      </c>
      <c r="E209" s="8" t="s">
        <v>1137</v>
      </c>
      <c r="F209" s="8" t="s">
        <v>1138</v>
      </c>
      <c r="G209" s="8" t="s">
        <v>1139</v>
      </c>
      <c r="H209" s="8" t="s">
        <v>1140</v>
      </c>
      <c r="I209" s="8" t="s">
        <v>1141</v>
      </c>
      <c r="J209" s="9" t="s">
        <v>49</v>
      </c>
      <c r="K209" s="9" t="s">
        <v>50</v>
      </c>
      <c r="L209" s="9" t="s">
        <v>1142</v>
      </c>
      <c r="M209" s="9" t="s">
        <v>52</v>
      </c>
      <c r="N209" s="9" t="s">
        <v>53</v>
      </c>
      <c r="O209" s="8"/>
    </row>
    <row r="210" spans="1:15">
      <c r="A210" s="7" t="s">
        <v>1143</v>
      </c>
      <c r="B210" s="8" t="s">
        <v>1134</v>
      </c>
      <c r="C210" s="8" t="s">
        <v>1135</v>
      </c>
      <c r="D210" s="8" t="s">
        <v>1144</v>
      </c>
      <c r="E210" s="8" t="s">
        <v>1137</v>
      </c>
      <c r="F210" s="8" t="s">
        <v>1138</v>
      </c>
      <c r="G210" s="8" t="s">
        <v>1145</v>
      </c>
      <c r="H210" s="8" t="s">
        <v>1146</v>
      </c>
      <c r="I210" s="8" t="s">
        <v>1141</v>
      </c>
      <c r="J210" s="9" t="s">
        <v>68</v>
      </c>
      <c r="K210" s="9" t="s">
        <v>69</v>
      </c>
      <c r="L210" s="9" t="s">
        <v>1142</v>
      </c>
      <c r="M210" s="9" t="s">
        <v>52</v>
      </c>
      <c r="N210" s="9" t="s">
        <v>53</v>
      </c>
      <c r="O210" s="8"/>
    </row>
    <row r="211" spans="1:15">
      <c r="A211" s="7" t="s">
        <v>1147</v>
      </c>
      <c r="B211" s="8" t="s">
        <v>1134</v>
      </c>
      <c r="C211" s="8" t="s">
        <v>1135</v>
      </c>
      <c r="D211" s="8" t="s">
        <v>1148</v>
      </c>
      <c r="E211" s="8" t="s">
        <v>1137</v>
      </c>
      <c r="F211" s="8" t="s">
        <v>1138</v>
      </c>
      <c r="G211" s="8" t="s">
        <v>1149</v>
      </c>
      <c r="H211" s="8" t="s">
        <v>1150</v>
      </c>
      <c r="I211" s="8" t="s">
        <v>1141</v>
      </c>
      <c r="J211" s="9" t="s">
        <v>68</v>
      </c>
      <c r="K211" s="9" t="s">
        <v>69</v>
      </c>
      <c r="L211" s="9" t="s">
        <v>1142</v>
      </c>
      <c r="M211" s="9" t="s">
        <v>52</v>
      </c>
      <c r="N211" s="9" t="s">
        <v>53</v>
      </c>
      <c r="O211" s="8"/>
    </row>
    <row r="212" spans="1:15">
      <c r="A212" s="7" t="s">
        <v>1151</v>
      </c>
      <c r="B212" s="8" t="s">
        <v>1134</v>
      </c>
      <c r="C212" s="8" t="s">
        <v>1135</v>
      </c>
      <c r="D212" s="8" t="s">
        <v>1152</v>
      </c>
      <c r="E212" s="8" t="s">
        <v>1137</v>
      </c>
      <c r="F212" s="8" t="s">
        <v>1138</v>
      </c>
      <c r="G212" s="8" t="s">
        <v>1153</v>
      </c>
      <c r="H212" s="8" t="s">
        <v>1154</v>
      </c>
      <c r="I212" s="8" t="s">
        <v>1141</v>
      </c>
      <c r="J212" s="9" t="s">
        <v>68</v>
      </c>
      <c r="K212" s="9" t="s">
        <v>69</v>
      </c>
      <c r="L212" s="9" t="s">
        <v>1142</v>
      </c>
      <c r="M212" s="9" t="s">
        <v>52</v>
      </c>
      <c r="N212" s="9" t="s">
        <v>53</v>
      </c>
      <c r="O212" s="8"/>
    </row>
    <row r="213" spans="1:15">
      <c r="A213" s="7" t="s">
        <v>1155</v>
      </c>
      <c r="B213" s="8" t="s">
        <v>1134</v>
      </c>
      <c r="C213" s="8" t="s">
        <v>1135</v>
      </c>
      <c r="D213" s="8" t="s">
        <v>1156</v>
      </c>
      <c r="E213" s="8" t="s">
        <v>1157</v>
      </c>
      <c r="F213" s="8" t="s">
        <v>1158</v>
      </c>
      <c r="G213" s="8" t="s">
        <v>1159</v>
      </c>
      <c r="H213" s="8" t="s">
        <v>1160</v>
      </c>
      <c r="I213" s="8" t="s">
        <v>1161</v>
      </c>
      <c r="J213" s="9" t="s">
        <v>68</v>
      </c>
      <c r="K213" s="9" t="s">
        <v>69</v>
      </c>
      <c r="L213" s="9" t="s">
        <v>1142</v>
      </c>
      <c r="M213" s="9" t="s">
        <v>52</v>
      </c>
      <c r="N213" s="9" t="s">
        <v>53</v>
      </c>
      <c r="O213" s="8"/>
    </row>
    <row r="214" spans="1:15">
      <c r="A214" s="7" t="s">
        <v>1162</v>
      </c>
      <c r="B214" s="8" t="s">
        <v>1134</v>
      </c>
      <c r="C214" s="8" t="s">
        <v>1135</v>
      </c>
      <c r="D214" s="8" t="s">
        <v>1163</v>
      </c>
      <c r="E214" s="8" t="s">
        <v>1164</v>
      </c>
      <c r="F214" s="8" t="s">
        <v>1165</v>
      </c>
      <c r="G214" s="8" t="s">
        <v>1166</v>
      </c>
      <c r="H214" s="8" t="s">
        <v>1167</v>
      </c>
      <c r="I214" s="8" t="s">
        <v>1168</v>
      </c>
      <c r="J214" s="9" t="s">
        <v>68</v>
      </c>
      <c r="K214" s="9" t="s">
        <v>69</v>
      </c>
      <c r="L214" s="9" t="s">
        <v>1142</v>
      </c>
      <c r="M214" s="9" t="s">
        <v>52</v>
      </c>
      <c r="N214" s="9" t="s">
        <v>53</v>
      </c>
      <c r="O214" s="8"/>
    </row>
    <row r="215" spans="1:15">
      <c r="A215" s="7" t="s">
        <v>1169</v>
      </c>
      <c r="B215" s="8" t="s">
        <v>1134</v>
      </c>
      <c r="C215" s="8" t="s">
        <v>1135</v>
      </c>
      <c r="D215" s="8" t="s">
        <v>1170</v>
      </c>
      <c r="E215" s="8" t="s">
        <v>1171</v>
      </c>
      <c r="F215" s="8" t="s">
        <v>1172</v>
      </c>
      <c r="G215" s="8" t="s">
        <v>1173</v>
      </c>
      <c r="H215" s="8" t="s">
        <v>1174</v>
      </c>
      <c r="I215" s="8" t="s">
        <v>1175</v>
      </c>
      <c r="J215" s="9" t="s">
        <v>68</v>
      </c>
      <c r="K215" s="9" t="s">
        <v>69</v>
      </c>
      <c r="L215" s="9" t="s">
        <v>1142</v>
      </c>
      <c r="M215" s="9" t="s">
        <v>52</v>
      </c>
      <c r="N215" s="9" t="s">
        <v>53</v>
      </c>
      <c r="O215" s="8"/>
    </row>
    <row r="216" spans="1:15">
      <c r="A216" s="7" t="s">
        <v>1176</v>
      </c>
      <c r="B216" s="8" t="s">
        <v>1177</v>
      </c>
      <c r="C216" s="8" t="s">
        <v>1178</v>
      </c>
      <c r="D216" s="8" t="s">
        <v>1179</v>
      </c>
      <c r="E216" s="8" t="s">
        <v>1180</v>
      </c>
      <c r="F216" s="8" t="s">
        <v>1181</v>
      </c>
      <c r="G216" s="8" t="s">
        <v>1181</v>
      </c>
      <c r="H216" s="8" t="s">
        <v>1181</v>
      </c>
      <c r="I216" s="8" t="s">
        <v>1182</v>
      </c>
      <c r="J216" s="9" t="s">
        <v>49</v>
      </c>
      <c r="K216" s="9" t="s">
        <v>90</v>
      </c>
      <c r="L216" s="9" t="s">
        <v>51</v>
      </c>
      <c r="M216" s="9" t="s">
        <v>52</v>
      </c>
      <c r="N216" s="9" t="s">
        <v>16</v>
      </c>
      <c r="O216" s="8" t="s">
        <v>1183</v>
      </c>
    </row>
    <row r="217" spans="1:15">
      <c r="A217" s="7" t="s">
        <v>1184</v>
      </c>
      <c r="B217" s="8" t="s">
        <v>1177</v>
      </c>
      <c r="C217" s="8" t="s">
        <v>1178</v>
      </c>
      <c r="D217" s="8" t="s">
        <v>1185</v>
      </c>
      <c r="E217" s="8" t="s">
        <v>1180</v>
      </c>
      <c r="F217" s="8" t="s">
        <v>1181</v>
      </c>
      <c r="G217" s="8" t="s">
        <v>1181</v>
      </c>
      <c r="H217" s="8" t="s">
        <v>1181</v>
      </c>
      <c r="I217" s="8" t="s">
        <v>1182</v>
      </c>
      <c r="J217" s="9" t="s">
        <v>49</v>
      </c>
      <c r="K217" s="9" t="s">
        <v>90</v>
      </c>
      <c r="L217" s="9" t="s">
        <v>51</v>
      </c>
      <c r="M217" s="9" t="s">
        <v>52</v>
      </c>
      <c r="N217" s="9" t="s">
        <v>16</v>
      </c>
      <c r="O217" s="8" t="s">
        <v>1186</v>
      </c>
    </row>
    <row r="218" spans="1:15">
      <c r="A218" s="7" t="s">
        <v>1187</v>
      </c>
      <c r="B218" s="8" t="s">
        <v>1188</v>
      </c>
      <c r="C218" s="8" t="s">
        <v>1189</v>
      </c>
      <c r="D218" s="8" t="s">
        <v>1190</v>
      </c>
      <c r="E218" s="8" t="s">
        <v>1180</v>
      </c>
      <c r="F218" s="8" t="s">
        <v>1181</v>
      </c>
      <c r="G218" s="8" t="s">
        <v>1181</v>
      </c>
      <c r="H218" s="8" t="s">
        <v>1181</v>
      </c>
      <c r="I218" s="8" t="s">
        <v>1182</v>
      </c>
      <c r="J218" s="9" t="s">
        <v>49</v>
      </c>
      <c r="K218" s="9" t="s">
        <v>50</v>
      </c>
      <c r="L218" s="9" t="s">
        <v>51</v>
      </c>
      <c r="M218" s="9" t="s">
        <v>52</v>
      </c>
      <c r="N218" s="9" t="s">
        <v>16</v>
      </c>
      <c r="O218" s="8" t="s">
        <v>1191</v>
      </c>
    </row>
    <row r="219" spans="1:15">
      <c r="A219" s="7" t="s">
        <v>1192</v>
      </c>
      <c r="B219" s="8" t="s">
        <v>1193</v>
      </c>
      <c r="C219" s="8" t="s">
        <v>1194</v>
      </c>
      <c r="D219" s="8" t="s">
        <v>1195</v>
      </c>
      <c r="E219" s="8" t="s">
        <v>1180</v>
      </c>
      <c r="F219" s="8" t="s">
        <v>1181</v>
      </c>
      <c r="G219" s="8" t="s">
        <v>1181</v>
      </c>
      <c r="H219" s="8" t="s">
        <v>1181</v>
      </c>
      <c r="I219" s="8" t="s">
        <v>1182</v>
      </c>
      <c r="J219" s="9" t="s">
        <v>49</v>
      </c>
      <c r="K219" s="9" t="s">
        <v>50</v>
      </c>
      <c r="L219" s="9" t="s">
        <v>51</v>
      </c>
      <c r="M219" s="9" t="s">
        <v>52</v>
      </c>
      <c r="N219" s="9" t="s">
        <v>16</v>
      </c>
      <c r="O219" s="8" t="s">
        <v>1196</v>
      </c>
    </row>
    <row r="220" spans="1:15">
      <c r="A220" s="7" t="s">
        <v>1197</v>
      </c>
      <c r="B220" s="8" t="s">
        <v>1134</v>
      </c>
      <c r="C220" s="8" t="s">
        <v>1135</v>
      </c>
      <c r="D220" s="8" t="s">
        <v>1198</v>
      </c>
      <c r="E220" s="8" t="s">
        <v>1180</v>
      </c>
      <c r="F220" s="8" t="s">
        <v>1181</v>
      </c>
      <c r="G220" s="8" t="s">
        <v>1181</v>
      </c>
      <c r="H220" s="8" t="s">
        <v>1181</v>
      </c>
      <c r="I220" s="8" t="s">
        <v>1182</v>
      </c>
      <c r="J220" s="9" t="s">
        <v>68</v>
      </c>
      <c r="K220" s="9" t="s">
        <v>69</v>
      </c>
      <c r="L220" s="9" t="s">
        <v>51</v>
      </c>
      <c r="M220" s="9" t="s">
        <v>52</v>
      </c>
      <c r="N220" s="9" t="s">
        <v>16</v>
      </c>
      <c r="O220" s="8" t="s">
        <v>1199</v>
      </c>
    </row>
    <row r="221" spans="1:15">
      <c r="A221" s="7" t="s">
        <v>1200</v>
      </c>
      <c r="B221" s="8" t="s">
        <v>1201</v>
      </c>
      <c r="C221" s="8" t="s">
        <v>1202</v>
      </c>
      <c r="D221" s="8" t="s">
        <v>1203</v>
      </c>
      <c r="E221" s="8" t="s">
        <v>1180</v>
      </c>
      <c r="F221" s="8" t="s">
        <v>1181</v>
      </c>
      <c r="G221" s="8" t="s">
        <v>1181</v>
      </c>
      <c r="H221" s="8" t="s">
        <v>1181</v>
      </c>
      <c r="I221" s="8" t="s">
        <v>1182</v>
      </c>
      <c r="J221" s="9" t="s">
        <v>68</v>
      </c>
      <c r="K221" s="9" t="s">
        <v>69</v>
      </c>
      <c r="L221" s="9" t="s">
        <v>51</v>
      </c>
      <c r="M221" s="9" t="s">
        <v>52</v>
      </c>
      <c r="N221" s="9" t="s">
        <v>16</v>
      </c>
      <c r="O221" s="8" t="s">
        <v>1204</v>
      </c>
    </row>
    <row r="222" spans="1:15">
      <c r="A222" s="7" t="s">
        <v>1205</v>
      </c>
      <c r="B222" s="8" t="s">
        <v>1206</v>
      </c>
      <c r="C222" s="8" t="s">
        <v>1207</v>
      </c>
      <c r="D222" s="8" t="s">
        <v>1208</v>
      </c>
      <c r="E222" s="8" t="s">
        <v>1180</v>
      </c>
      <c r="F222" s="8" t="s">
        <v>1181</v>
      </c>
      <c r="G222" s="8" t="s">
        <v>1181</v>
      </c>
      <c r="H222" s="8" t="s">
        <v>1181</v>
      </c>
      <c r="I222" s="8" t="s">
        <v>1182</v>
      </c>
      <c r="J222" s="9" t="s">
        <v>68</v>
      </c>
      <c r="K222" s="9" t="s">
        <v>69</v>
      </c>
      <c r="L222" s="9" t="s">
        <v>51</v>
      </c>
      <c r="M222" s="9" t="s">
        <v>52</v>
      </c>
      <c r="N222" s="9" t="s">
        <v>16</v>
      </c>
      <c r="O222" s="8" t="s">
        <v>1209</v>
      </c>
    </row>
    <row r="223" spans="1:15">
      <c r="A223" s="7" t="s">
        <v>1210</v>
      </c>
      <c r="B223" s="8" t="s">
        <v>545</v>
      </c>
      <c r="C223" s="8" t="s">
        <v>546</v>
      </c>
      <c r="D223" s="8" t="s">
        <v>1211</v>
      </c>
      <c r="E223" s="8" t="s">
        <v>1180</v>
      </c>
      <c r="F223" s="8" t="s">
        <v>1181</v>
      </c>
      <c r="G223" s="8" t="s">
        <v>1181</v>
      </c>
      <c r="H223" s="8" t="s">
        <v>1181</v>
      </c>
      <c r="I223" s="8" t="s">
        <v>1182</v>
      </c>
      <c r="J223" s="9" t="s">
        <v>68</v>
      </c>
      <c r="K223" s="9" t="s">
        <v>69</v>
      </c>
      <c r="L223" s="9" t="s">
        <v>51</v>
      </c>
      <c r="M223" s="9" t="s">
        <v>52</v>
      </c>
      <c r="N223" s="9" t="s">
        <v>16</v>
      </c>
      <c r="O223" s="8" t="s">
        <v>1212</v>
      </c>
    </row>
    <row r="224" spans="1:15">
      <c r="A224" s="7" t="s">
        <v>1213</v>
      </c>
      <c r="B224" s="8" t="s">
        <v>1214</v>
      </c>
      <c r="C224" s="8" t="s">
        <v>1215</v>
      </c>
      <c r="D224" s="8" t="s">
        <v>1216</v>
      </c>
      <c r="E224" s="8" t="s">
        <v>1180</v>
      </c>
      <c r="F224" s="8" t="s">
        <v>1181</v>
      </c>
      <c r="G224" s="8" t="s">
        <v>1181</v>
      </c>
      <c r="H224" s="8" t="s">
        <v>1181</v>
      </c>
      <c r="I224" s="8" t="s">
        <v>1182</v>
      </c>
      <c r="J224" s="9" t="s">
        <v>180</v>
      </c>
      <c r="K224" s="9" t="s">
        <v>69</v>
      </c>
      <c r="L224" s="9" t="s">
        <v>51</v>
      </c>
      <c r="M224" s="9" t="s">
        <v>52</v>
      </c>
      <c r="N224" s="9" t="s">
        <v>16</v>
      </c>
      <c r="O224" s="8" t="s">
        <v>1217</v>
      </c>
    </row>
  </sheetData>
  <autoFilter ref="A1:O224"/>
  <conditionalFormatting sqref="N2:N224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"Not Executed"</formula>
    </cfRule>
  </conditionalFormatting>
  <conditionalFormatting sqref="K2:K224">
    <cfRule type="cellIs" dxfId="4" priority="5" operator="equal">
      <formula>"Blocker"</formula>
    </cfRule>
    <cfRule type="cellIs" dxfId="5" priority="6" operator="equal">
      <formula>"Critical"</formula>
    </cfRule>
    <cfRule type="cellIs" dxfId="6" priority="7" operator="equal">
      <formula>"Major"</formula>
    </cfRule>
    <cfRule type="cellIs" dxfId="7" priority="8" operator="equal">
      <formula>"Minor"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0" workbookViewId="0" showGridLines="false" showRowColHeaders="1">
      <selection activeCell="B19" sqref="B19"/>
    </sheetView>
  </sheetViews>
  <sheetFormatPr defaultRowHeight="14.4" outlineLevelRow="0" outlineLevelCol="0"/>
  <cols>
    <col min="1" max="1" width="3" customWidth="true" style="0"/>
    <col min="2" max="2" width="30" customWidth="true" style="0"/>
    <col min="3" max="3" width="12" customWidth="true" style="0"/>
    <col min="4" max="4" width="12" customWidth="true" style="0"/>
    <col min="5" max="5" width="4" customWidth="true" style="0"/>
    <col min="6" max="6" width="26" customWidth="true" style="0"/>
    <col min="7" max="7" width="12" customWidth="true" style="0"/>
    <col min="8" max="8" width="12" customWidth="true" style="0"/>
    <col min="9" max="9" width="12" customWidth="true" style="0"/>
  </cols>
  <sheetData>
    <row r="2" spans="1:9">
      <c r="B2" s="10" t="s">
        <v>1218</v>
      </c>
    </row>
    <row r="3" spans="1:9">
      <c r="B3" s="11" t="s">
        <v>1219</v>
      </c>
    </row>
    <row r="5" spans="1:9">
      <c r="B5" s="1" t="s">
        <v>1220</v>
      </c>
      <c r="F5" s="1" t="s">
        <v>1225</v>
      </c>
    </row>
    <row r="6" spans="1:9" customHeight="1" ht="30">
      <c r="A6" s="12"/>
      <c r="B6" s="6" t="s">
        <v>40</v>
      </c>
      <c r="C6" s="6" t="s">
        <v>1222</v>
      </c>
      <c r="D6" s="6" t="s">
        <v>1221</v>
      </c>
      <c r="F6" s="17" t="s">
        <v>37</v>
      </c>
      <c r="G6" s="17" t="s">
        <v>1226</v>
      </c>
      <c r="H6" s="17" t="s">
        <v>14</v>
      </c>
      <c r="I6" s="17" t="s">
        <v>15</v>
      </c>
    </row>
    <row r="7" spans="1:9">
      <c r="B7" s="13" t="s">
        <v>1223</v>
      </c>
      <c r="C7" s="13">
        <f>COUNTA('Test Cases'!$A$2:$A$224)</f>
        <v>223</v>
      </c>
      <c r="D7" s="16">
        <f>IF($C$7=0,0,C7/$C$7)</f>
        <v>1</v>
      </c>
      <c r="F7" s="13" t="s">
        <v>49</v>
      </c>
      <c r="G7" s="13">
        <f>COUNTIF('Test Cases'!$J$2:$J$224,"High")</f>
        <v>151</v>
      </c>
      <c r="H7" s="13">
        <f>_xlfn.COUNTIFS('Test Cases'!$J$2:$J$224,"High",'Test Cases'!$N$2:$N$224,"Pass")</f>
        <v>147</v>
      </c>
      <c r="I7" s="13">
        <f>_xlfn.COUNTIFS('Test Cases'!$J$2:$J$224,"High",'Test Cases'!$N$2:$N$224,"Fail")</f>
        <v>0</v>
      </c>
    </row>
    <row r="8" spans="1:9">
      <c r="B8" s="13" t="s">
        <v>14</v>
      </c>
      <c r="C8" s="13">
        <f>COUNTIF('Test Cases'!$N$2:$N$224,"Pass")</f>
        <v>214</v>
      </c>
      <c r="D8" s="16">
        <f>IF($C$7=0,0,C8/$C$7)</f>
        <v>0.95964125560538</v>
      </c>
      <c r="F8" s="13" t="s">
        <v>68</v>
      </c>
      <c r="G8" s="13">
        <f>COUNTIF('Test Cases'!$J$2:$J$224,"Medium")</f>
        <v>51</v>
      </c>
      <c r="H8" s="13">
        <f>_xlfn.COUNTIFS('Test Cases'!$J$2:$J$224,"Medium",'Test Cases'!$N$2:$N$224,"Pass")</f>
        <v>47</v>
      </c>
      <c r="I8" s="13">
        <f>_xlfn.COUNTIFS('Test Cases'!$J$2:$J$224,"Medium",'Test Cases'!$N$2:$N$224,"Fail")</f>
        <v>0</v>
      </c>
    </row>
    <row r="9" spans="1:9">
      <c r="B9" s="13" t="s">
        <v>15</v>
      </c>
      <c r="C9" s="13">
        <f>COUNTIF('Test Cases'!$N$2:$N$224,"Fail")</f>
        <v>0</v>
      </c>
      <c r="D9" s="16">
        <f>IF($C$7=0,0,C9/$C$7)</f>
        <v>0</v>
      </c>
      <c r="F9" s="13" t="s">
        <v>180</v>
      </c>
      <c r="G9" s="13">
        <f>COUNTIF('Test Cases'!$J$2:$J$224,"Low")</f>
        <v>21</v>
      </c>
      <c r="H9" s="13">
        <f>_xlfn.COUNTIFS('Test Cases'!$J$2:$J$224,"Low",'Test Cases'!$N$2:$N$224,"Pass")</f>
        <v>20</v>
      </c>
      <c r="I9" s="13">
        <f>_xlfn.COUNTIFS('Test Cases'!$J$2:$J$224,"Low",'Test Cases'!$N$2:$N$224,"Fail")</f>
        <v>0</v>
      </c>
    </row>
    <row r="10" spans="1:9">
      <c r="B10" s="13" t="s">
        <v>16</v>
      </c>
      <c r="C10" s="13">
        <f>COUNTIF('Test Cases'!$N$2:$N$224,"Blocked")</f>
        <v>9</v>
      </c>
      <c r="D10" s="16">
        <f>IF($C$7=0,0,C10/$C$7)</f>
        <v>0.040358744394619</v>
      </c>
    </row>
    <row r="11" spans="1:9">
      <c r="B11" s="13" t="s">
        <v>1182</v>
      </c>
      <c r="C11" s="13">
        <f>COUNTIF('Test Cases'!$N$2:$N$224,"Not Executed")</f>
        <v>0</v>
      </c>
      <c r="D11" s="16">
        <f>IF($C$7=0,0,C11/$C$7)</f>
        <v>0</v>
      </c>
      <c r="F11" s="1" t="s">
        <v>1227</v>
      </c>
    </row>
    <row r="12" spans="1:9">
      <c r="B12" s="14" t="s">
        <v>1224</v>
      </c>
      <c r="C12" s="15">
        <f>IF((C7-C10-C11)=0,0,C8/(C7-C10-C11))</f>
        <v>1</v>
      </c>
      <c r="D12" s="13"/>
      <c r="F12" s="17" t="s">
        <v>38</v>
      </c>
      <c r="G12" s="17" t="s">
        <v>1226</v>
      </c>
      <c r="H12" s="17" t="s">
        <v>14</v>
      </c>
      <c r="I12" s="17" t="s">
        <v>16</v>
      </c>
    </row>
    <row r="13" spans="1:9">
      <c r="F13" s="13" t="s">
        <v>1228</v>
      </c>
      <c r="G13" s="13">
        <f>COUNTIF('Test Cases'!$K$2:$K$224,"Blocker")</f>
        <v>0</v>
      </c>
      <c r="H13" s="13">
        <f>_xlfn.COUNTIFS('Test Cases'!$K$2:$K$224,"Blocker",'Test Cases'!$N$2:$N$224,"Pass")</f>
        <v>0</v>
      </c>
      <c r="I13" s="13">
        <f>_xlfn.COUNTIFS('Test Cases'!$K$2:$K$224,"Blocker",'Test Cases'!$N$2:$N$224,"Blocked")</f>
        <v>0</v>
      </c>
    </row>
    <row r="14" spans="1:9">
      <c r="F14" s="13" t="s">
        <v>90</v>
      </c>
      <c r="G14" s="13">
        <f>COUNTIF('Test Cases'!$K$2:$K$224,"Critical")</f>
        <v>48</v>
      </c>
      <c r="H14" s="13">
        <f>_xlfn.COUNTIFS('Test Cases'!$K$2:$K$224,"Critical",'Test Cases'!$N$2:$N$224,"Pass")</f>
        <v>46</v>
      </c>
      <c r="I14" s="13">
        <f>_xlfn.COUNTIFS('Test Cases'!$K$2:$K$224,"Critical",'Test Cases'!$N$2:$N$224,"Blocked")</f>
        <v>2</v>
      </c>
    </row>
    <row r="15" spans="1:9">
      <c r="F15" s="13" t="s">
        <v>50</v>
      </c>
      <c r="G15" s="13">
        <f>COUNTIF('Test Cases'!$K$2:$K$224,"Major")</f>
        <v>103</v>
      </c>
      <c r="H15" s="13">
        <f>_xlfn.COUNTIFS('Test Cases'!$K$2:$K$224,"Major",'Test Cases'!$N$2:$N$224,"Pass")</f>
        <v>101</v>
      </c>
      <c r="I15" s="13">
        <f>_xlfn.COUNTIFS('Test Cases'!$K$2:$K$224,"Major",'Test Cases'!$N$2:$N$224,"Blocked")</f>
        <v>2</v>
      </c>
    </row>
    <row r="16" spans="1:9">
      <c r="F16" s="13" t="s">
        <v>69</v>
      </c>
      <c r="G16" s="13">
        <f>COUNTIF('Test Cases'!$K$2:$K$224,"Minor")</f>
        <v>72</v>
      </c>
      <c r="H16" s="13">
        <f>_xlfn.COUNTIFS('Test Cases'!$K$2:$K$224,"Minor",'Test Cases'!$N$2:$N$224,"Pass")</f>
        <v>67</v>
      </c>
      <c r="I16" s="13">
        <f>_xlfn.COUNTIFS('Test Cases'!$K$2:$K$224,"Minor",'Test Cases'!$N$2:$N$224,"Blocked")</f>
        <v>5</v>
      </c>
    </row>
    <row r="18" spans="1:9">
      <c r="B18" s="1" t="s">
        <v>1229</v>
      </c>
    </row>
    <row r="19" spans="1:9">
      <c r="B19" s="18" t="s">
        <v>1230</v>
      </c>
    </row>
  </sheetData>
  <mergeCells>
    <mergeCell ref="B19:I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8"/>
  <sheetViews>
    <sheetView tabSelected="0" workbookViewId="0" showGridLines="true" showRowColHeaders="1">
      <pane ySplit="1" topLeftCell="A2" activePane="bottomLeft" state="frozen"/>
      <selection pane="bottomLeft" activeCell="A1" sqref="A1:H28"/>
    </sheetView>
  </sheetViews>
  <sheetFormatPr defaultRowHeight="14.4" outlineLevelRow="0" outlineLevelCol="0"/>
  <cols>
    <col min="1" max="1" width="24" customWidth="true" style="0"/>
    <col min="2" max="2" width="22" customWidth="true" style="0"/>
    <col min="3" max="3" width="12" customWidth="true" style="0"/>
    <col min="4" max="4" width="10" customWidth="true" style="0"/>
    <col min="5" max="5" width="10" customWidth="true" style="0"/>
    <col min="6" max="6" width="10" customWidth="true" style="0"/>
    <col min="7" max="7" width="17" customWidth="true" style="0"/>
    <col min="8" max="8" width="44" customWidth="true" style="0"/>
  </cols>
  <sheetData>
    <row r="1" spans="1:8" customHeight="1" ht="30">
      <c r="A1" s="6" t="s">
        <v>29</v>
      </c>
      <c r="B1" s="6" t="s">
        <v>1232</v>
      </c>
      <c r="C1" s="6" t="s">
        <v>1233</v>
      </c>
      <c r="D1" s="6" t="s">
        <v>14</v>
      </c>
      <c r="E1" s="6" t="s">
        <v>15</v>
      </c>
      <c r="F1" s="6" t="s">
        <v>16</v>
      </c>
      <c r="G1" s="6" t="s">
        <v>1234</v>
      </c>
      <c r="H1" s="6" t="s">
        <v>1231</v>
      </c>
    </row>
    <row r="2" spans="1:8">
      <c r="A2" s="8" t="s">
        <v>42</v>
      </c>
      <c r="B2" s="8" t="s">
        <v>1235</v>
      </c>
      <c r="C2" s="9">
        <v>10</v>
      </c>
      <c r="D2" s="9">
        <v>10</v>
      </c>
      <c r="E2" s="9">
        <v>0</v>
      </c>
      <c r="F2" s="9">
        <v>0</v>
      </c>
      <c r="G2" s="9">
        <v>8</v>
      </c>
      <c r="H2" s="8" t="s">
        <v>43</v>
      </c>
    </row>
    <row r="3" spans="1:8">
      <c r="A3" s="8" t="s">
        <v>931</v>
      </c>
      <c r="B3" s="8" t="s">
        <v>1236</v>
      </c>
      <c r="C3" s="9">
        <v>13</v>
      </c>
      <c r="D3" s="9">
        <v>13</v>
      </c>
      <c r="E3" s="9">
        <v>0</v>
      </c>
      <c r="F3" s="9">
        <v>0</v>
      </c>
      <c r="G3" s="9">
        <v>1</v>
      </c>
      <c r="H3" s="8" t="s">
        <v>932</v>
      </c>
    </row>
    <row r="4" spans="1:8">
      <c r="A4" s="8" t="s">
        <v>1201</v>
      </c>
      <c r="B4" s="8" t="s">
        <v>1237</v>
      </c>
      <c r="C4" s="9">
        <v>1</v>
      </c>
      <c r="D4" s="9">
        <v>0</v>
      </c>
      <c r="E4" s="9">
        <v>0</v>
      </c>
      <c r="F4" s="9">
        <v>1</v>
      </c>
      <c r="G4" s="9">
        <v>0</v>
      </c>
      <c r="H4" s="8" t="s">
        <v>1202</v>
      </c>
    </row>
    <row r="5" spans="1:8">
      <c r="A5" s="8" t="s">
        <v>113</v>
      </c>
      <c r="B5" s="8" t="s">
        <v>1238</v>
      </c>
      <c r="C5" s="9">
        <v>25</v>
      </c>
      <c r="D5" s="9">
        <v>25</v>
      </c>
      <c r="E5" s="9">
        <v>0</v>
      </c>
      <c r="F5" s="9">
        <v>0</v>
      </c>
      <c r="G5" s="9">
        <v>9</v>
      </c>
      <c r="H5" s="8" t="s">
        <v>114</v>
      </c>
    </row>
    <row r="6" spans="1:8">
      <c r="A6" s="8" t="s">
        <v>536</v>
      </c>
      <c r="B6" s="8" t="s">
        <v>1239</v>
      </c>
      <c r="C6" s="9">
        <v>1</v>
      </c>
      <c r="D6" s="9">
        <v>1</v>
      </c>
      <c r="E6" s="9">
        <v>0</v>
      </c>
      <c r="F6" s="9">
        <v>0</v>
      </c>
      <c r="G6" s="9">
        <v>1</v>
      </c>
      <c r="H6" s="8" t="s">
        <v>537</v>
      </c>
    </row>
    <row r="7" spans="1:8">
      <c r="A7" s="8" t="s">
        <v>472</v>
      </c>
      <c r="B7" s="8" t="s">
        <v>1239</v>
      </c>
      <c r="C7" s="9">
        <v>9</v>
      </c>
      <c r="D7" s="9">
        <v>9</v>
      </c>
      <c r="E7" s="9">
        <v>0</v>
      </c>
      <c r="F7" s="9">
        <v>0</v>
      </c>
      <c r="G7" s="9">
        <v>9</v>
      </c>
      <c r="H7" s="8" t="s">
        <v>473</v>
      </c>
    </row>
    <row r="8" spans="1:8">
      <c r="A8" s="8" t="s">
        <v>881</v>
      </c>
      <c r="B8" s="8" t="s">
        <v>1240</v>
      </c>
      <c r="C8" s="9">
        <v>10</v>
      </c>
      <c r="D8" s="9">
        <v>10</v>
      </c>
      <c r="E8" s="9">
        <v>0</v>
      </c>
      <c r="F8" s="9">
        <v>0</v>
      </c>
      <c r="G8" s="9">
        <v>9</v>
      </c>
      <c r="H8" s="8" t="s">
        <v>882</v>
      </c>
    </row>
    <row r="9" spans="1:8">
      <c r="A9" s="8" t="s">
        <v>1041</v>
      </c>
      <c r="B9" s="8" t="s">
        <v>1241</v>
      </c>
      <c r="C9" s="9">
        <v>8</v>
      </c>
      <c r="D9" s="9">
        <v>8</v>
      </c>
      <c r="E9" s="9">
        <v>0</v>
      </c>
      <c r="F9" s="9">
        <v>0</v>
      </c>
      <c r="G9" s="9">
        <v>5</v>
      </c>
      <c r="H9" s="8" t="s">
        <v>1042</v>
      </c>
    </row>
    <row r="10" spans="1:8">
      <c r="A10" s="8" t="s">
        <v>1014</v>
      </c>
      <c r="B10" s="8" t="s">
        <v>1242</v>
      </c>
      <c r="C10" s="9">
        <v>4</v>
      </c>
      <c r="D10" s="9">
        <v>4</v>
      </c>
      <c r="E10" s="9">
        <v>0</v>
      </c>
      <c r="F10" s="9">
        <v>0</v>
      </c>
      <c r="G10" s="9">
        <v>4</v>
      </c>
      <c r="H10" s="8" t="s">
        <v>1015</v>
      </c>
    </row>
    <row r="11" spans="1:8">
      <c r="A11" s="8" t="s">
        <v>1193</v>
      </c>
      <c r="B11" s="8" t="s">
        <v>1243</v>
      </c>
      <c r="C11" s="9">
        <v>1</v>
      </c>
      <c r="D11" s="9">
        <v>0</v>
      </c>
      <c r="E11" s="9">
        <v>0</v>
      </c>
      <c r="F11" s="9">
        <v>1</v>
      </c>
      <c r="G11" s="9">
        <v>1</v>
      </c>
      <c r="H11" s="8" t="s">
        <v>1194</v>
      </c>
    </row>
    <row r="12" spans="1:8">
      <c r="A12" s="8" t="s">
        <v>683</v>
      </c>
      <c r="B12" s="8" t="s">
        <v>1244</v>
      </c>
      <c r="C12" s="9">
        <v>5</v>
      </c>
      <c r="D12" s="9">
        <v>5</v>
      </c>
      <c r="E12" s="9">
        <v>0</v>
      </c>
      <c r="F12" s="9">
        <v>0</v>
      </c>
      <c r="G12" s="9">
        <v>4</v>
      </c>
      <c r="H12" s="8" t="s">
        <v>684</v>
      </c>
    </row>
    <row r="13" spans="1:8">
      <c r="A13" s="8" t="s">
        <v>649</v>
      </c>
      <c r="B13" s="8" t="s">
        <v>1244</v>
      </c>
      <c r="C13" s="9">
        <v>5</v>
      </c>
      <c r="D13" s="9">
        <v>5</v>
      </c>
      <c r="E13" s="9">
        <v>0</v>
      </c>
      <c r="F13" s="9">
        <v>0</v>
      </c>
      <c r="G13" s="9">
        <v>5</v>
      </c>
      <c r="H13" s="8" t="s">
        <v>650</v>
      </c>
    </row>
    <row r="14" spans="1:8">
      <c r="A14" s="8" t="s">
        <v>1188</v>
      </c>
      <c r="B14" s="8" t="s">
        <v>1245</v>
      </c>
      <c r="C14" s="9">
        <v>1</v>
      </c>
      <c r="D14" s="9">
        <v>0</v>
      </c>
      <c r="E14" s="9">
        <v>0</v>
      </c>
      <c r="F14" s="9">
        <v>1</v>
      </c>
      <c r="G14" s="9">
        <v>1</v>
      </c>
      <c r="H14" s="8" t="s">
        <v>1189</v>
      </c>
    </row>
    <row r="15" spans="1:8">
      <c r="A15" s="8" t="s">
        <v>1177</v>
      </c>
      <c r="B15" s="8" t="s">
        <v>1246</v>
      </c>
      <c r="C15" s="9">
        <v>2</v>
      </c>
      <c r="D15" s="9">
        <v>0</v>
      </c>
      <c r="E15" s="9">
        <v>0</v>
      </c>
      <c r="F15" s="9">
        <v>2</v>
      </c>
      <c r="G15" s="9">
        <v>2</v>
      </c>
      <c r="H15" s="8" t="s">
        <v>1178</v>
      </c>
    </row>
    <row r="16" spans="1:8">
      <c r="A16" s="8" t="s">
        <v>303</v>
      </c>
      <c r="B16" s="8" t="s">
        <v>1247</v>
      </c>
      <c r="C16" s="9">
        <v>28</v>
      </c>
      <c r="D16" s="9">
        <v>28</v>
      </c>
      <c r="E16" s="9">
        <v>0</v>
      </c>
      <c r="F16" s="9">
        <v>0</v>
      </c>
      <c r="G16" s="9">
        <v>28</v>
      </c>
      <c r="H16" s="8" t="s">
        <v>304</v>
      </c>
    </row>
    <row r="17" spans="1:8">
      <c r="A17" s="8" t="s">
        <v>1098</v>
      </c>
      <c r="B17" s="8" t="s">
        <v>1248</v>
      </c>
      <c r="C17" s="9">
        <v>6</v>
      </c>
      <c r="D17" s="9">
        <v>6</v>
      </c>
      <c r="E17" s="9">
        <v>0</v>
      </c>
      <c r="F17" s="9">
        <v>0</v>
      </c>
      <c r="G17" s="9">
        <v>2</v>
      </c>
      <c r="H17" s="8" t="s">
        <v>1099</v>
      </c>
    </row>
    <row r="18" spans="1:8">
      <c r="A18" s="8" t="s">
        <v>398</v>
      </c>
      <c r="B18" s="8" t="s">
        <v>1249</v>
      </c>
      <c r="C18" s="9">
        <v>19</v>
      </c>
      <c r="D18" s="9">
        <v>19</v>
      </c>
      <c r="E18" s="9">
        <v>0</v>
      </c>
      <c r="F18" s="9">
        <v>0</v>
      </c>
      <c r="G18" s="9">
        <v>19</v>
      </c>
      <c r="H18" s="8" t="s">
        <v>399</v>
      </c>
    </row>
    <row r="19" spans="1:8">
      <c r="A19" s="8" t="s">
        <v>219</v>
      </c>
      <c r="B19" s="8" t="s">
        <v>1238</v>
      </c>
      <c r="C19" s="9">
        <v>6</v>
      </c>
      <c r="D19" s="9">
        <v>6</v>
      </c>
      <c r="E19" s="9">
        <v>0</v>
      </c>
      <c r="F19" s="9">
        <v>0</v>
      </c>
      <c r="G19" s="9">
        <v>4</v>
      </c>
      <c r="H19" s="8" t="s">
        <v>220</v>
      </c>
    </row>
    <row r="20" spans="1:8">
      <c r="A20" s="8" t="s">
        <v>1134</v>
      </c>
      <c r="B20" s="8" t="s">
        <v>1250</v>
      </c>
      <c r="C20" s="9">
        <v>8</v>
      </c>
      <c r="D20" s="9">
        <v>7</v>
      </c>
      <c r="E20" s="9">
        <v>0</v>
      </c>
      <c r="F20" s="9">
        <v>1</v>
      </c>
      <c r="G20" s="9">
        <v>1</v>
      </c>
      <c r="H20" s="8" t="s">
        <v>1135</v>
      </c>
    </row>
    <row r="21" spans="1:8">
      <c r="A21" s="8" t="s">
        <v>1206</v>
      </c>
      <c r="B21" s="8" t="s">
        <v>1251</v>
      </c>
      <c r="C21" s="9">
        <v>1</v>
      </c>
      <c r="D21" s="9">
        <v>0</v>
      </c>
      <c r="E21" s="9">
        <v>0</v>
      </c>
      <c r="F21" s="9">
        <v>1</v>
      </c>
      <c r="G21" s="9">
        <v>0</v>
      </c>
      <c r="H21" s="8" t="s">
        <v>1207</v>
      </c>
    </row>
    <row r="22" spans="1:8">
      <c r="A22" s="8" t="s">
        <v>719</v>
      </c>
      <c r="B22" s="8" t="s">
        <v>1252</v>
      </c>
      <c r="C22" s="9">
        <v>11</v>
      </c>
      <c r="D22" s="9">
        <v>11</v>
      </c>
      <c r="E22" s="9">
        <v>0</v>
      </c>
      <c r="F22" s="9">
        <v>0</v>
      </c>
      <c r="G22" s="9">
        <v>11</v>
      </c>
      <c r="H22" s="8" t="s">
        <v>720</v>
      </c>
    </row>
    <row r="23" spans="1:8">
      <c r="A23" s="8" t="s">
        <v>782</v>
      </c>
      <c r="B23" s="8" t="s">
        <v>1253</v>
      </c>
      <c r="C23" s="9">
        <v>25</v>
      </c>
      <c r="D23" s="9">
        <v>25</v>
      </c>
      <c r="E23" s="9">
        <v>0</v>
      </c>
      <c r="F23" s="9">
        <v>0</v>
      </c>
      <c r="G23" s="9">
        <v>10</v>
      </c>
      <c r="H23" s="8" t="s">
        <v>783</v>
      </c>
    </row>
    <row r="24" spans="1:8">
      <c r="A24" s="8" t="s">
        <v>545</v>
      </c>
      <c r="B24" s="8" t="s">
        <v>1254</v>
      </c>
      <c r="C24" s="9">
        <v>8</v>
      </c>
      <c r="D24" s="9">
        <v>7</v>
      </c>
      <c r="E24" s="9">
        <v>0</v>
      </c>
      <c r="F24" s="9">
        <v>1</v>
      </c>
      <c r="G24" s="9">
        <v>5</v>
      </c>
      <c r="H24" s="8" t="s">
        <v>546</v>
      </c>
    </row>
    <row r="25" spans="1:8">
      <c r="A25" s="8" t="s">
        <v>1214</v>
      </c>
      <c r="B25" s="8" t="s">
        <v>1255</v>
      </c>
      <c r="C25" s="9">
        <v>1</v>
      </c>
      <c r="D25" s="9">
        <v>0</v>
      </c>
      <c r="E25" s="9">
        <v>0</v>
      </c>
      <c r="F25" s="9">
        <v>1</v>
      </c>
      <c r="G25" s="9">
        <v>0</v>
      </c>
      <c r="H25" s="8" t="s">
        <v>1215</v>
      </c>
    </row>
    <row r="26" spans="1:8">
      <c r="A26" s="8" t="s">
        <v>597</v>
      </c>
      <c r="B26" s="8" t="s">
        <v>1256</v>
      </c>
      <c r="C26" s="9">
        <v>3</v>
      </c>
      <c r="D26" s="9">
        <v>3</v>
      </c>
      <c r="E26" s="9">
        <v>0</v>
      </c>
      <c r="F26" s="9">
        <v>0</v>
      </c>
      <c r="G26" s="9">
        <v>2</v>
      </c>
      <c r="H26" s="8" t="s">
        <v>598</v>
      </c>
    </row>
    <row r="27" spans="1:8">
      <c r="A27" s="8" t="s">
        <v>189</v>
      </c>
      <c r="B27" s="8" t="s">
        <v>1238</v>
      </c>
      <c r="C27" s="9">
        <v>8</v>
      </c>
      <c r="D27" s="9">
        <v>8</v>
      </c>
      <c r="E27" s="9">
        <v>0</v>
      </c>
      <c r="F27" s="9">
        <v>0</v>
      </c>
      <c r="G27" s="9">
        <v>7</v>
      </c>
      <c r="H27" s="8" t="s">
        <v>190</v>
      </c>
    </row>
    <row r="28" spans="1:8">
      <c r="A28" s="8" t="s">
        <v>620</v>
      </c>
      <c r="B28" s="8" t="s">
        <v>1256</v>
      </c>
      <c r="C28" s="9">
        <v>4</v>
      </c>
      <c r="D28" s="9">
        <v>4</v>
      </c>
      <c r="E28" s="9">
        <v>0</v>
      </c>
      <c r="F28" s="9">
        <v>0</v>
      </c>
      <c r="G28" s="9">
        <v>3</v>
      </c>
      <c r="H28" s="8" t="s">
        <v>621</v>
      </c>
    </row>
  </sheetData>
  <autoFilter ref="A1:H2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0" workbookViewId="0" showGridLines="true" showRowColHeaders="1">
      <pane ySplit="1" topLeftCell="A2" activePane="bottomLeft" state="frozen"/>
      <selection pane="bottomLeft" activeCell="A1" sqref="A1:F10"/>
    </sheetView>
  </sheetViews>
  <sheetFormatPr defaultRowHeight="14.4" outlineLevelRow="0" outlineLevelCol="0"/>
  <cols>
    <col min="1" max="1" width="14" customWidth="true" style="0"/>
    <col min="2" max="2" width="20" customWidth="true" style="0"/>
    <col min="3" max="3" width="12" customWidth="true" style="0"/>
    <col min="4" max="4" width="44" customWidth="true" style="0"/>
    <col min="5" max="5" width="68" customWidth="true" style="0"/>
    <col min="6" max="6" width="44" customWidth="true" style="0"/>
  </cols>
  <sheetData>
    <row r="1" spans="1:6" customHeight="1" ht="30">
      <c r="A1" s="6" t="s">
        <v>28</v>
      </c>
      <c r="B1" s="6" t="s">
        <v>29</v>
      </c>
      <c r="C1" s="6" t="s">
        <v>38</v>
      </c>
      <c r="D1" s="6" t="s">
        <v>1258</v>
      </c>
      <c r="E1" s="6" t="s">
        <v>1259</v>
      </c>
      <c r="F1" s="6" t="s">
        <v>1257</v>
      </c>
    </row>
    <row r="2" spans="1:6">
      <c r="A2" s="7" t="s">
        <v>1176</v>
      </c>
      <c r="B2" s="8" t="s">
        <v>1177</v>
      </c>
      <c r="C2" s="9" t="s">
        <v>90</v>
      </c>
      <c r="D2" s="8" t="s">
        <v>1179</v>
      </c>
      <c r="E2" s="8" t="s">
        <v>1260</v>
      </c>
      <c r="F2" s="8" t="s">
        <v>1261</v>
      </c>
    </row>
    <row r="3" spans="1:6">
      <c r="A3" s="7" t="s">
        <v>1184</v>
      </c>
      <c r="B3" s="8" t="s">
        <v>1177</v>
      </c>
      <c r="C3" s="9" t="s">
        <v>90</v>
      </c>
      <c r="D3" s="8" t="s">
        <v>1185</v>
      </c>
      <c r="E3" s="8" t="s">
        <v>1262</v>
      </c>
      <c r="F3" s="8" t="s">
        <v>1263</v>
      </c>
    </row>
    <row r="4" spans="1:6">
      <c r="A4" s="7" t="s">
        <v>1187</v>
      </c>
      <c r="B4" s="8" t="s">
        <v>1188</v>
      </c>
      <c r="C4" s="9" t="s">
        <v>50</v>
      </c>
      <c r="D4" s="8" t="s">
        <v>1190</v>
      </c>
      <c r="E4" s="8" t="s">
        <v>1264</v>
      </c>
      <c r="F4" s="8" t="s">
        <v>1265</v>
      </c>
    </row>
    <row r="5" spans="1:6">
      <c r="A5" s="7" t="s">
        <v>1192</v>
      </c>
      <c r="B5" s="8" t="s">
        <v>1193</v>
      </c>
      <c r="C5" s="9" t="s">
        <v>50</v>
      </c>
      <c r="D5" s="8" t="s">
        <v>1195</v>
      </c>
      <c r="E5" s="8" t="s">
        <v>1266</v>
      </c>
      <c r="F5" s="8" t="s">
        <v>1267</v>
      </c>
    </row>
    <row r="6" spans="1:6">
      <c r="A6" s="7" t="s">
        <v>1197</v>
      </c>
      <c r="B6" s="8" t="s">
        <v>1134</v>
      </c>
      <c r="C6" s="9" t="s">
        <v>69</v>
      </c>
      <c r="D6" s="8" t="s">
        <v>1198</v>
      </c>
      <c r="E6" s="8" t="s">
        <v>1268</v>
      </c>
      <c r="F6" s="8" t="s">
        <v>1269</v>
      </c>
    </row>
    <row r="7" spans="1:6">
      <c r="A7" s="7" t="s">
        <v>1200</v>
      </c>
      <c r="B7" s="8" t="s">
        <v>1201</v>
      </c>
      <c r="C7" s="9" t="s">
        <v>69</v>
      </c>
      <c r="D7" s="8" t="s">
        <v>1203</v>
      </c>
      <c r="E7" s="8" t="s">
        <v>1270</v>
      </c>
      <c r="F7" s="8" t="s">
        <v>1271</v>
      </c>
    </row>
    <row r="8" spans="1:6">
      <c r="A8" s="7" t="s">
        <v>1205</v>
      </c>
      <c r="B8" s="8" t="s">
        <v>1206</v>
      </c>
      <c r="C8" s="9" t="s">
        <v>69</v>
      </c>
      <c r="D8" s="8" t="s">
        <v>1208</v>
      </c>
      <c r="E8" s="8" t="s">
        <v>1272</v>
      </c>
      <c r="F8" s="8" t="s">
        <v>1273</v>
      </c>
    </row>
    <row r="9" spans="1:6">
      <c r="A9" s="7" t="s">
        <v>1210</v>
      </c>
      <c r="B9" s="8" t="s">
        <v>545</v>
      </c>
      <c r="C9" s="9" t="s">
        <v>69</v>
      </c>
      <c r="D9" s="8" t="s">
        <v>1211</v>
      </c>
      <c r="E9" s="8" t="s">
        <v>1274</v>
      </c>
      <c r="F9" s="8" t="s">
        <v>1275</v>
      </c>
    </row>
    <row r="10" spans="1:6">
      <c r="A10" s="7" t="s">
        <v>1213</v>
      </c>
      <c r="B10" s="8" t="s">
        <v>1214</v>
      </c>
      <c r="C10" s="9" t="s">
        <v>69</v>
      </c>
      <c r="D10" s="8" t="s">
        <v>1216</v>
      </c>
      <c r="E10" s="8" t="s">
        <v>1276</v>
      </c>
      <c r="F10" s="8" t="s">
        <v>1277</v>
      </c>
    </row>
  </sheetData>
  <conditionalFormatting sqref="C2:C10">
    <cfRule type="cellIs" dxfId="4" priority="1" operator="equal">
      <formula>"Blocker"</formula>
    </cfRule>
    <cfRule type="cellIs" dxfId="5" priority="2" operator="equal">
      <formula>"Critical"</formula>
    </cfRule>
    <cfRule type="cellIs" dxfId="6" priority="3" operator="equal">
      <formula>"Major"</formula>
    </cfRule>
    <cfRule type="cellIs" dxfId="7" priority="4" operator="equal">
      <formula>"Minor"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0" workbookViewId="0" showGridLines="true" showRowColHeaders="1">
      <pane xSplit="2" ySplit="1" topLeftCell="C2" activePane="bottomRight" state="frozen"/>
      <selection pane="topRight"/>
      <selection pane="bottomLeft"/>
      <selection pane="bottomRight" activeCell="A1" sqref="A1:J9"/>
    </sheetView>
  </sheetViews>
  <sheetFormatPr defaultRowHeight="14.4" outlineLevelRow="0" outlineLevelCol="0"/>
  <cols>
    <col min="1" max="1" width="11" customWidth="true" style="0"/>
    <col min="2" max="2" width="22" customWidth="true" style="0"/>
    <col min="3" max="3" width="20" customWidth="true" style="0"/>
    <col min="4" max="4" width="40" customWidth="true" style="0"/>
    <col min="5" max="5" width="34" customWidth="true" style="0"/>
    <col min="6" max="6" width="38" customWidth="true" style="0"/>
    <col min="7" max="7" width="11" customWidth="true" style="0"/>
    <col min="8" max="8" width="60" customWidth="true" style="0"/>
    <col min="9" max="9" width="46" customWidth="true" style="0"/>
    <col min="10" max="10" width="15" customWidth="true" style="0"/>
  </cols>
  <sheetData>
    <row r="1" spans="1:10" customHeight="1" ht="30">
      <c r="A1" s="6" t="s">
        <v>1278</v>
      </c>
      <c r="B1" s="6" t="s">
        <v>28</v>
      </c>
      <c r="C1" s="6" t="s">
        <v>29</v>
      </c>
      <c r="D1" s="6" t="s">
        <v>1279</v>
      </c>
      <c r="E1" s="6" t="s">
        <v>1280</v>
      </c>
      <c r="F1" s="6" t="s">
        <v>1281</v>
      </c>
      <c r="G1" s="6" t="s">
        <v>38</v>
      </c>
      <c r="H1" s="6" t="s">
        <v>1282</v>
      </c>
      <c r="I1" s="6" t="s">
        <v>1283</v>
      </c>
      <c r="J1" s="6" t="s">
        <v>40</v>
      </c>
    </row>
    <row r="2" spans="1:10">
      <c r="A2" s="7" t="s">
        <v>1284</v>
      </c>
      <c r="B2" s="8" t="s">
        <v>1285</v>
      </c>
      <c r="C2" s="8" t="s">
        <v>649</v>
      </c>
      <c r="D2" s="8" t="s">
        <v>1286</v>
      </c>
      <c r="E2" s="8" t="s">
        <v>1287</v>
      </c>
      <c r="F2" s="8" t="s">
        <v>1288</v>
      </c>
      <c r="G2" s="9" t="s">
        <v>50</v>
      </c>
      <c r="H2" s="8" t="s">
        <v>1289</v>
      </c>
      <c r="I2" s="8" t="s">
        <v>1290</v>
      </c>
      <c r="J2" s="8" t="s">
        <v>1291</v>
      </c>
    </row>
    <row r="3" spans="1:10">
      <c r="A3" s="7" t="s">
        <v>1292</v>
      </c>
      <c r="B3" s="8" t="s">
        <v>1293</v>
      </c>
      <c r="C3" s="8" t="s">
        <v>683</v>
      </c>
      <c r="D3" s="8" t="s">
        <v>1294</v>
      </c>
      <c r="E3" s="8" t="s">
        <v>1295</v>
      </c>
      <c r="F3" s="8" t="s">
        <v>1296</v>
      </c>
      <c r="G3" s="9" t="s">
        <v>50</v>
      </c>
      <c r="H3" s="8" t="s">
        <v>1297</v>
      </c>
      <c r="I3" s="8" t="s">
        <v>1298</v>
      </c>
      <c r="J3" s="8" t="s">
        <v>1291</v>
      </c>
    </row>
    <row r="4" spans="1:10">
      <c r="A4" s="7" t="s">
        <v>1299</v>
      </c>
      <c r="B4" s="8" t="s">
        <v>1300</v>
      </c>
      <c r="C4" s="8" t="s">
        <v>472</v>
      </c>
      <c r="D4" s="8" t="s">
        <v>1301</v>
      </c>
      <c r="E4" s="8" t="s">
        <v>1302</v>
      </c>
      <c r="F4" s="8" t="s">
        <v>1303</v>
      </c>
      <c r="G4" s="9" t="s">
        <v>50</v>
      </c>
      <c r="H4" s="8" t="s">
        <v>1304</v>
      </c>
      <c r="I4" s="8" t="s">
        <v>1305</v>
      </c>
      <c r="J4" s="8" t="s">
        <v>1291</v>
      </c>
    </row>
    <row r="5" spans="1:10">
      <c r="A5" s="7" t="s">
        <v>1306</v>
      </c>
      <c r="B5" s="8" t="s">
        <v>1307</v>
      </c>
      <c r="C5" s="8" t="s">
        <v>472</v>
      </c>
      <c r="D5" s="8" t="s">
        <v>1308</v>
      </c>
      <c r="E5" s="8" t="s">
        <v>1309</v>
      </c>
      <c r="F5" s="8" t="s">
        <v>1310</v>
      </c>
      <c r="G5" s="9" t="s">
        <v>69</v>
      </c>
      <c r="H5" s="8" t="s">
        <v>1311</v>
      </c>
      <c r="I5" s="8" t="s">
        <v>1312</v>
      </c>
      <c r="J5" s="8" t="s">
        <v>1291</v>
      </c>
    </row>
    <row r="6" spans="1:10">
      <c r="A6" s="7" t="s">
        <v>1313</v>
      </c>
      <c r="B6" s="8" t="s">
        <v>1314</v>
      </c>
      <c r="C6" s="8" t="s">
        <v>719</v>
      </c>
      <c r="D6" s="8" t="s">
        <v>1315</v>
      </c>
      <c r="E6" s="8" t="s">
        <v>1316</v>
      </c>
      <c r="F6" s="8" t="s">
        <v>1317</v>
      </c>
      <c r="G6" s="9" t="s">
        <v>50</v>
      </c>
      <c r="H6" s="8" t="s">
        <v>1318</v>
      </c>
      <c r="I6" s="8" t="s">
        <v>1319</v>
      </c>
      <c r="J6" s="8" t="s">
        <v>1291</v>
      </c>
    </row>
    <row r="7" spans="1:10">
      <c r="A7" s="7" t="s">
        <v>1320</v>
      </c>
      <c r="B7" s="8" t="s">
        <v>513</v>
      </c>
      <c r="C7" s="8" t="s">
        <v>472</v>
      </c>
      <c r="D7" s="8" t="s">
        <v>1321</v>
      </c>
      <c r="E7" s="8" t="s">
        <v>1322</v>
      </c>
      <c r="F7" s="8" t="s">
        <v>1323</v>
      </c>
      <c r="G7" s="9" t="s">
        <v>50</v>
      </c>
      <c r="H7" s="8" t="s">
        <v>1324</v>
      </c>
      <c r="I7" s="8" t="s">
        <v>1325</v>
      </c>
      <c r="J7" s="8" t="s">
        <v>1291</v>
      </c>
    </row>
    <row r="8" spans="1:10">
      <c r="A8" s="7" t="s">
        <v>1326</v>
      </c>
      <c r="B8" s="8" t="s">
        <v>1327</v>
      </c>
      <c r="C8" s="8" t="s">
        <v>1098</v>
      </c>
      <c r="D8" s="8" t="s">
        <v>1328</v>
      </c>
      <c r="E8" s="8" t="s">
        <v>1329</v>
      </c>
      <c r="F8" s="8" t="s">
        <v>1330</v>
      </c>
      <c r="G8" s="9" t="s">
        <v>69</v>
      </c>
      <c r="H8" s="8" t="s">
        <v>1331</v>
      </c>
      <c r="I8" s="8" t="s">
        <v>1332</v>
      </c>
      <c r="J8" s="8" t="s">
        <v>1291</v>
      </c>
    </row>
    <row r="9" spans="1:10">
      <c r="A9" s="7" t="s">
        <v>1333</v>
      </c>
      <c r="B9" s="8" t="s">
        <v>1334</v>
      </c>
      <c r="C9" s="8" t="s">
        <v>1335</v>
      </c>
      <c r="D9" s="8" t="s">
        <v>1336</v>
      </c>
      <c r="E9" s="8" t="s">
        <v>1337</v>
      </c>
      <c r="F9" s="8" t="s">
        <v>1338</v>
      </c>
      <c r="G9" s="9" t="s">
        <v>90</v>
      </c>
      <c r="H9" s="8" t="s">
        <v>1339</v>
      </c>
      <c r="I9" s="8" t="s">
        <v>1340</v>
      </c>
      <c r="J9" s="8" t="s">
        <v>1341</v>
      </c>
    </row>
  </sheetData>
  <conditionalFormatting sqref="G2:G9">
    <cfRule type="cellIs" dxfId="4" priority="1" operator="equal">
      <formula>"Blocker"</formula>
    </cfRule>
    <cfRule type="cellIs" dxfId="5" priority="2" operator="equal">
      <formula>"Critical"</formula>
    </cfRule>
    <cfRule type="cellIs" dxfId="6" priority="3" operator="equal">
      <formula>"Major"</formula>
    </cfRule>
    <cfRule type="cellIs" dxfId="7" priority="4" operator="equal">
      <formula>"Minor"</formula>
    </cfRule>
  </conditionalFormatting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0" workbookViewId="0" showGridLines="true" showRowColHeaders="1">
      <selection activeCell="A1" sqref="A1:F5"/>
    </sheetView>
  </sheetViews>
  <sheetFormatPr defaultRowHeight="14.4" outlineLevelRow="0" outlineLevelCol="0"/>
  <cols>
    <col min="1" max="1" width="44" customWidth="true" style="0"/>
    <col min="2" max="2" width="16" customWidth="true" style="0"/>
    <col min="3" max="3" width="34" customWidth="true" style="0"/>
    <col min="4" max="4" width="34" customWidth="true" style="0"/>
    <col min="5" max="5" width="30" customWidth="true" style="0"/>
    <col min="6" max="6" width="52" customWidth="true" style="0"/>
  </cols>
  <sheetData>
    <row r="1" spans="1:6" customHeight="1" ht="30">
      <c r="A1" s="6" t="s">
        <v>1343</v>
      </c>
      <c r="B1" s="6" t="s">
        <v>1344</v>
      </c>
      <c r="C1" s="6" t="s">
        <v>1345</v>
      </c>
      <c r="D1" s="6" t="s">
        <v>1346</v>
      </c>
      <c r="E1" s="6" t="s">
        <v>1347</v>
      </c>
      <c r="F1" s="6" t="s">
        <v>1342</v>
      </c>
    </row>
    <row r="2" spans="1:6">
      <c r="A2" s="8" t="s">
        <v>52</v>
      </c>
      <c r="B2" s="8" t="s">
        <v>1348</v>
      </c>
      <c r="C2" s="8" t="s">
        <v>1349</v>
      </c>
      <c r="D2" s="8" t="s">
        <v>1350</v>
      </c>
      <c r="E2" s="8" t="s">
        <v>1351</v>
      </c>
      <c r="F2" s="8" t="s">
        <v>1352</v>
      </c>
    </row>
    <row r="3" spans="1:6">
      <c r="A3" s="8" t="s">
        <v>1353</v>
      </c>
      <c r="B3" s="8" t="s">
        <v>1354</v>
      </c>
      <c r="C3" s="8" t="s">
        <v>1355</v>
      </c>
      <c r="D3" s="8" t="s">
        <v>1356</v>
      </c>
      <c r="E3" s="8" t="s">
        <v>1357</v>
      </c>
      <c r="F3" s="8" t="s">
        <v>1358</v>
      </c>
    </row>
    <row r="4" spans="1:6">
      <c r="A4" s="8" t="s">
        <v>1359</v>
      </c>
      <c r="B4" s="8" t="s">
        <v>16</v>
      </c>
      <c r="C4" s="8" t="s">
        <v>1357</v>
      </c>
      <c r="D4" s="8" t="s">
        <v>1357</v>
      </c>
      <c r="E4" s="8" t="s">
        <v>1357</v>
      </c>
      <c r="F4" s="8" t="s">
        <v>1360</v>
      </c>
    </row>
    <row r="5" spans="1:6">
      <c r="A5" s="8" t="s">
        <v>1361</v>
      </c>
      <c r="B5" s="8" t="s">
        <v>16</v>
      </c>
      <c r="C5" s="8" t="s">
        <v>1357</v>
      </c>
      <c r="D5" s="8" t="s">
        <v>1357</v>
      </c>
      <c r="E5" s="8" t="s">
        <v>1357</v>
      </c>
      <c r="F5" s="8" t="s">
        <v>1362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Cases</vt:lpstr>
      <vt:lpstr>Dashboard</vt:lpstr>
      <vt:lpstr>Traceability</vt:lpstr>
      <vt:lpstr>Blocked Items</vt:lpstr>
      <vt:lpstr>Defect Log</vt:lpstr>
      <vt:lpstr>Environments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pass</dc:creator>
  <cp:lastModifiedBy>Unknown Creator</cp:lastModifiedBy>
  <dcterms:created xsi:type="dcterms:W3CDTF">2026-09-14T11:53:00+02:00</dcterms:created>
  <dcterms:modified xsi:type="dcterms:W3CDTF">2026-09-14T11:53:00+02:00</dcterms:modified>
  <dc:title>FixMyPC - Business &amp; Trade QA</dc:title>
  <dc:description>223 test cases executed against the application and database.</dc:description>
  <dc:subject>Personal, Business and Trade account functionality</dc:subject>
  <cp:keywords/>
  <cp:category/>
</cp:coreProperties>
</file>