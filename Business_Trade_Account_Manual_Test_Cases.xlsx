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st Case Summary" sheetId="1" r:id="rId4"/>
    <sheet name="Test Data" sheetId="2" r:id="rId5"/>
    <sheet name="Business Registration" sheetId="3" r:id="rId6"/>
    <sheet name="Business Profile" sheetId="4" r:id="rId7"/>
    <sheet name="Trade Registration" sheetId="5" r:id="rId8"/>
    <sheet name="Trade Approval" sheetId="6" r:id="rId9"/>
    <sheet name="Trade Rejection" sheetId="7" r:id="rId10"/>
    <sheet name="Trade Suspension" sheetId="8" r:id="rId11"/>
    <sheet name="Pricing &amp; Quantity Bands" sheetId="9" r:id="rId12"/>
    <sheet name="Cart &amp; Cart Repricing" sheetId="10" r:id="rId13"/>
    <sheet name="VAT &amp; Tax" sheetId="11" r:id="rId14"/>
    <sheet name="Checkout" sheetId="12" r:id="rId15"/>
    <sheet name="Payment" sheetId="13" r:id="rId16"/>
    <sheet name="Orders" sheetId="14" r:id="rId17"/>
    <sheet name="Invoice" sheetId="15" r:id="rId18"/>
    <sheet name="Email Notifications" sheetId="16" r:id="rId19"/>
    <sheet name="Admin" sheetId="17" r:id="rId20"/>
    <sheet name="Security &amp; Authorization" sheetId="18" r:id="rId21"/>
    <sheet name="Mobile &amp; Responsive" sheetId="19" r:id="rId22"/>
    <sheet name="Regression Testing" sheetId="20" r:id="rId23"/>
    <sheet name="End-to-End Scenarios" sheetId="21" r:id="rId24"/>
    <sheet name="Admin Customer Preview" sheetId="22" r:id="rId25"/>
    <sheet name="Wizard Type Switching" sheetId="23" r:id="rId26"/>
    <sheet name="Suspended Account Access" sheetId="24" r:id="rId27"/>
    <sheet name="Defect Log" sheetId="25" r:id="rId28"/>
  </sheets>
  <definedNames>
    <definedName name="_xlnm._FilterDatabase" localSheetId="2" hidden="1">'Business Registration'!$A$3:$N$121</definedName>
    <definedName name="_xlnm._FilterDatabase" localSheetId="3" hidden="1">'Business Profile'!$A$3:$N$57</definedName>
    <definedName name="_xlnm._FilterDatabase" localSheetId="4" hidden="1">'Trade Registration'!$A$3:$N$67</definedName>
    <definedName name="_xlnm._FilterDatabase" localSheetId="5" hidden="1">'Trade Approval'!$A$3:$N$64</definedName>
    <definedName name="_xlnm._FilterDatabase" localSheetId="6" hidden="1">'Trade Rejection'!$A$3:$N$46</definedName>
    <definedName name="_xlnm._FilterDatabase" localSheetId="7" hidden="1">'Trade Suspension'!$A$3:$N$42</definedName>
    <definedName name="_xlnm._FilterDatabase" localSheetId="8" hidden="1">'Pricing &amp; Quantity Bands'!$A$3:$N$77</definedName>
    <definedName name="_xlnm._FilterDatabase" localSheetId="9" hidden="1">'Cart &amp; Cart Repricing'!$A$3:$N$61</definedName>
    <definedName name="_xlnm._FilterDatabase" localSheetId="10" hidden="1">'VAT &amp; Tax'!$A$3:$N$49</definedName>
    <definedName name="_xlnm._FilterDatabase" localSheetId="11" hidden="1">'Checkout'!$A$3:$N$61</definedName>
    <definedName name="_xlnm._FilterDatabase" localSheetId="12" hidden="1">'Payment'!$A$3:$N$48</definedName>
    <definedName name="_xlnm._FilterDatabase" localSheetId="13" hidden="1">'Orders'!$A$3:$N$48</definedName>
    <definedName name="_xlnm._FilterDatabase" localSheetId="14" hidden="1">'Invoice'!$A$3:$N$40</definedName>
    <definedName name="_xlnm._FilterDatabase" localSheetId="15" hidden="1">'Email Notifications'!$A$3:$N$68</definedName>
    <definedName name="_xlnm._FilterDatabase" localSheetId="16" hidden="1">'Admin'!$A$3:$N$55</definedName>
    <definedName name="_xlnm._FilterDatabase" localSheetId="17" hidden="1">'Security &amp; Authorization'!$A$3:$N$55</definedName>
    <definedName name="_xlnm._FilterDatabase" localSheetId="18" hidden="1">'Mobile &amp; Responsive'!$A$3:$N$48</definedName>
    <definedName name="_xlnm._FilterDatabase" localSheetId="19" hidden="1">'Regression Testing'!$A$3:$N$47</definedName>
    <definedName name="_xlnm._FilterDatabase" localSheetId="20" hidden="1">'End-to-End Scenarios'!$A$3:$N$80</definedName>
    <definedName name="_xlnm._FilterDatabase" localSheetId="21" hidden="1">'Admin Customer Preview'!$A$3:$N$162</definedName>
    <definedName name="_xlnm._FilterDatabase" localSheetId="22" hidden="1">'Wizard Type Switching'!$A$3:$N$97</definedName>
    <definedName name="_xlnm._FilterDatabase" localSheetId="23" hidden="1">'Suspended Account Access'!$A$3:$N$91</definedName>
    <definedName name="_xlnm._FilterDatabase" localSheetId="24" hidden="1">'Defect Log'!$A$3:$Q$83</definedName>
  </definedNames>
  <calcPr calcId="999999" calcMode="auto" calcCompleted="1" fullCalcOnLoad="0" forceFullCalc="0"/>
</workbook>
</file>

<file path=xl/sharedStrings.xml><?xml version="1.0" encoding="utf-8"?>
<sst xmlns="http://schemas.openxmlformats.org/spreadsheetml/2006/main" uniqueCount="3766">
  <si>
    <t>BUSINESS &amp; TRADE ACCOUNT — MANUAL TEST EXECUTION DASHBOARD</t>
  </si>
  <si>
    <t>Counts below are live formulas over the Status column of every test sheet. Set Status on each step as you go and this dashboard updates itself. A blank Status counts as Not Run.</t>
  </si>
  <si>
    <t>OVERALL EXECUTION</t>
  </si>
  <si>
    <t>Total Test Cases</t>
  </si>
  <si>
    <t>Distinct test case IDs across all 19 test sheets.</t>
  </si>
  <si>
    <t>Total Test Steps</t>
  </si>
  <si>
    <t>Individually executable steps. Each step carries its own Status.</t>
  </si>
  <si>
    <t>Not Run</t>
  </si>
  <si>
    <t>Steps not yet attempted.</t>
  </si>
  <si>
    <t>Passed</t>
  </si>
  <si>
    <t>Steps where actual behaviour matched the expected result.</t>
  </si>
  <si>
    <t>Failed</t>
  </si>
  <si>
    <t>Steps where actual behaviour differed. Raise a defect for each.</t>
  </si>
  <si>
    <t>Blocked</t>
  </si>
  <si>
    <t>Could not be executed (environment, data or an earlier failure).</t>
  </si>
  <si>
    <t>Not Applicable</t>
  </si>
  <si>
    <t>Feature not implemented in this build. NOT a failure.</t>
  </si>
  <si>
    <t>Pass Rate (of executed)</t>
  </si>
  <si>
    <t>Passed / (Passed + Failed). Blocked and Not Applicable steps are excluded.</t>
  </si>
  <si>
    <t>FAILURES BY SEVERITY</t>
  </si>
  <si>
    <t>Critical Failures</t>
  </si>
  <si>
    <t>Blocks release. Business/trade cannot transact, or money/permissions are wrong.</t>
  </si>
  <si>
    <t>Major Failures</t>
  </si>
  <si>
    <t>Core function broken with no workaround.</t>
  </si>
  <si>
    <t>Minor Failures</t>
  </si>
  <si>
    <t>Function works with a workaround, or a small data/display error.</t>
  </si>
  <si>
    <t>Cosmetic Failures</t>
  </si>
  <si>
    <t>Visual or wording only; no functional impact.</t>
  </si>
  <si>
    <t>Failures with no Severity set</t>
  </si>
  <si>
    <t>Set a Severity on every failed step, or it will not appear in the counts above.</t>
  </si>
  <si>
    <t>MODULE-WISE BREAKDOWN — EXECUTE IN THIS ORDER (top to bottom)</t>
  </si>
  <si>
    <t>Module / Sheet (execute in this order)</t>
  </si>
  <si>
    <t>Cases</t>
  </si>
  <si>
    <t>Steps</t>
  </si>
  <si>
    <t>Pass</t>
  </si>
  <si>
    <t>Fail</t>
  </si>
  <si>
    <t>N/A</t>
  </si>
  <si>
    <t xml:space="preserve"> 1.  Business Registration</t>
  </si>
  <si>
    <t xml:space="preserve"> 2.  Business Profile</t>
  </si>
  <si>
    <t xml:space="preserve"> 3.  Trade Registration</t>
  </si>
  <si>
    <t xml:space="preserve"> 4.  Trade Approval</t>
  </si>
  <si>
    <t xml:space="preserve"> 5.  Trade Rejection</t>
  </si>
  <si>
    <t xml:space="preserve"> 6.  Trade Suspension</t>
  </si>
  <si>
    <t xml:space="preserve"> 7.  Pricing &amp; Quantity Bands</t>
  </si>
  <si>
    <t xml:space="preserve"> 8.  Cart &amp; Cart Repricing</t>
  </si>
  <si>
    <t xml:space="preserve"> 9.  VAT &amp; Tax</t>
  </si>
  <si>
    <t>10.  Checkout</t>
  </si>
  <si>
    <t>11.  Payment</t>
  </si>
  <si>
    <t>12.  Orders</t>
  </si>
  <si>
    <t>13.  Invoice</t>
  </si>
  <si>
    <t>14.  Email Notifications</t>
  </si>
  <si>
    <t>15.  Admin</t>
  </si>
  <si>
    <t>16.  Security &amp; Authorization</t>
  </si>
  <si>
    <t>17.  Mobile &amp; Responsive</t>
  </si>
  <si>
    <t>18.  Regression Testing</t>
  </si>
  <si>
    <t>19.  End-to-End Scenarios</t>
  </si>
  <si>
    <t>20.  Admin Customer Preview</t>
  </si>
  <si>
    <t>21.  Wizard Type Switching</t>
  </si>
  <si>
    <t>22.  Suspended Account Access</t>
  </si>
  <si>
    <t>TOTAL</t>
  </si>
  <si>
    <t>HOW TO USE THIS PACK</t>
  </si>
  <si>
    <t>1.  Read the Test Data sheet first. It carries the environment URLs, the account details to type, the real product and band prices to expect, and the list of features that are NOT implemented.</t>
  </si>
  <si>
    <t>2.  Work the sheets in the order of the breakdown above. Later sheets depend on accounts and approvals created by earlier ones.</t>
  </si>
  <si>
    <t>3.  Each row is ONE executable step. Do the step, compare what happened against Expected Result, then set Status on that row.</t>
  </si>
  <si>
    <t>4.  Record what you actually saw in Actual Result — always on a failure, and whenever the behaviour is surprising but arguably correct.</t>
  </si>
  <si>
    <t>5.  On a failure: set Status to Fail, set a Severity, raise a row in the Defect Log, and put its Bug ID in the Bug ID column.</t>
  </si>
  <si>
    <t>6.  Use Blocked when you could not run the step — environment down, test data missing, or an earlier failure stopped you. Blocked is not a Fail.</t>
  </si>
  <si>
    <t>7.  Use Not Applicable when the Expected Result says the feature is Not Available / Not Implemented. That is the documented state of this build, not a defect.</t>
  </si>
  <si>
    <t>8.  Do not assume a step passed because it looks like it should. Verify the actual value on screen, and in the database or admin panel where the step says to.</t>
  </si>
  <si>
    <t>9.  Prices: verify the figure charged, not only the figure displayed. Where a step tells you to re-check a total at the next screen, do it — the display and the charge are produced by different code.</t>
  </si>
  <si>
    <t>10.  Never run this pack against production data. All accounts and company details in this workbook are fictitious test data.</t>
  </si>
  <si>
    <t>TEST DATA — Business &amp; Trade Account Manual Testing</t>
  </si>
  <si>
    <t>*** ALL DATA ON THIS SHEET IS FICTITIOUS TEST DATA. It does not represent any real customer, company, VAT registration or bank detail. Use it only against a non-production test environment. ***</t>
  </si>
  <si>
    <t>Read this sheet before starting. The application collects a SINGLE "name" field, not separate first/last names, and a SINGLE free-text "billing address" field, not separate city/county/country/Eircode fields. The requested test data has been mapped onto the fields the application actually has. Rows shaded amber are places where the originally requested value would be REJECTED by the application and has been corrected.</t>
  </si>
  <si>
    <t>ENVIRONMENT UNDER TEST</t>
  </si>
  <si>
    <t>Field</t>
  </si>
  <si>
    <t>Value to enter</t>
  </si>
  <si>
    <t>Notes</t>
  </si>
  <si>
    <t>Storefront base URL</t>
  </si>
  <si>
    <t>http://127.0.0.1:8000</t>
  </si>
  <si>
    <t>Laravel APP_URL from .env. Confirm with the dev team before starting; substitute your own environment URL throughout the pack.</t>
  </si>
  <si>
    <t>Registration page</t>
  </si>
  <si>
    <t>{storefront}/register</t>
  </si>
  <si>
    <t>Multi-step wizard. Steps are driven by a ?step= query parameter: type, details, verify, security, done.</t>
  </si>
  <si>
    <t>Customer dashboard</t>
  </si>
  <si>
    <t>{storefront}/user/dashboard</t>
  </si>
  <si>
    <t>Shows the account headline and trade status.</t>
  </si>
  <si>
    <t>Customer profile</t>
  </si>
  <si>
    <t>{storefront}/user/profile</t>
  </si>
  <si>
    <t>Edit name, phone, company details and PO preference.</t>
  </si>
  <si>
    <t>Customer orders</t>
  </si>
  <si>
    <t>{storefront}/user/orders</t>
  </si>
  <si>
    <t>Order history; carries the Invoice action.</t>
  </si>
  <si>
    <t>Checkout</t>
  </si>
  <si>
    <t>{storefront}/checkout</t>
  </si>
  <si>
    <t>Signed-in checkout.</t>
  </si>
  <si>
    <t>Guest checkout</t>
  </si>
  <si>
    <t>{storefront}/guest-checkout</t>
  </si>
  <si>
    <t>Guest flow (no account).</t>
  </si>
  <si>
    <t>Admin panel base URL</t>
  </si>
  <si>
    <t>http://127.0.0.1:3001/admin/</t>
  </si>
  <si>
    <t>Nuxt admin panel. In this project the admin dev server runs on port 3001 under the /admin/ path. Confirm before starting.</t>
  </si>
  <si>
    <t>Admin — trade queue</t>
  </si>
  <si>
    <t>{admin}/trade-applications</t>
  </si>
  <si>
    <t>Review queue: approve / reject / suspend trade applications.</t>
  </si>
  <si>
    <t>Admin — customers</t>
  </si>
  <si>
    <t>{admin}/registered-users</t>
  </si>
  <si>
    <t>Customer list; open a customer to see account type, status and business profile.</t>
  </si>
  <si>
    <t>Admin — quantity bands</t>
  </si>
  <si>
    <t>{admin}/business-products</t>
  </si>
  <si>
    <t>Where business/trade quantity band prices are created and edited.</t>
  </si>
  <si>
    <t>Admin — orders</t>
  </si>
  <si>
    <t>{admin}/orders</t>
  </si>
  <si>
    <t>Order detail carries the Invoice view.</t>
  </si>
  <si>
    <t>Email capture</t>
  </si>
  <si>
    <t>Mailtrap / MailHog / real inbox</t>
  </si>
  <si>
    <t>Confirm with the dev team how outbound mail is captured in this environment BEFORE running the notification tests. If mail is discarded, mark those cases Blocked, not Failed.</t>
  </si>
  <si>
    <t>BUSINESS CUSTOMER — primary test account (TD-BUS-01)</t>
  </si>
  <si>
    <t>Account type</t>
  </si>
  <si>
    <t>Business</t>
  </si>
  <si>
    <t>Chosen on step 1 (type) of the registration wizard.</t>
  </si>
  <si>
    <t>Name</t>
  </si>
  <si>
    <t>Daniel Murphy</t>
  </si>
  <si>
    <t>The application has ONE name field. "Daniel" and "Murphy" are entered together here.</t>
  </si>
  <si>
    <t>Email</t>
  </si>
  <si>
    <t>business.test01@example.com</t>
  </si>
  <si>
    <t>Must be unique among VERIFIED accounts.</t>
  </si>
  <si>
    <t>Phone</t>
  </si>
  <si>
    <t>+353871234567</t>
  </si>
  <si>
    <t>Must be unique among VERIFIED accounts. Used for the emailed/texted verification code.</t>
  </si>
  <si>
    <t>Password</t>
  </si>
  <si>
    <t>Business@2026Test!</t>
  </si>
  <si>
    <t>Meets the rule: at least 10 characters, one capital, one digit.</t>
  </si>
  <si>
    <t>Confirm password</t>
  </si>
  <si>
    <t>Must match exactly.</t>
  </si>
  <si>
    <t>Company name</t>
  </si>
  <si>
    <t>Murphy IT Solutions Ltd</t>
  </si>
  <si>
    <t>Required for Business accounts.</t>
  </si>
  <si>
    <t>Sector</t>
  </si>
  <si>
    <t>Professional services / office</t>
  </si>
  <si>
    <t>REQUIRED dropdown. Valid options only: Professional services / office | School or college | Medical or dental practice | Hospitality or retail | Construction or trades | Charity or community group | Other.</t>
  </si>
  <si>
    <t>VAT number</t>
  </si>
  <si>
    <t>IE1234567A</t>
  </si>
  <si>
    <t>Optional for Business. Format check only — 6-18 letters/digits with at least 2 digits. Must be unique across verified accounts.</t>
  </si>
  <si>
    <t>Company registration no.</t>
  </si>
  <si>
    <t>123456</t>
  </si>
  <si>
    <t>DIGITS ONLY, 4-12 digits. The originally requested "IE123456" WILL BE REJECTED with "A company registration number is digits only."</t>
  </si>
  <si>
    <t>Billing address</t>
  </si>
  <si>
    <t>25 Main Street, Dublin, Dublin, D02 X285, Ireland</t>
  </si>
  <si>
    <t>ONE free-text field. There are no separate City / County / Country / Eircode inputs, so the whole address is typed into this box.</t>
  </si>
  <si>
    <t>Requires PO number</t>
  </si>
  <si>
    <t>Ticked</t>
  </si>
  <si>
    <t>Optional checkbox. When ticked, checkout REQUIRES a PO number for this account.</t>
  </si>
  <si>
    <t>Credit account application</t>
  </si>
  <si>
    <t>Optional checkbox. Records interest only — it does not grant a credit account.</t>
  </si>
  <si>
    <t>Terms</t>
  </si>
  <si>
    <t>Required. Unticked gives "Tick the box to continue."</t>
  </si>
  <si>
    <t>TRADE CUSTOMER — primary test account (TD-TRD-01)</t>
  </si>
  <si>
    <t>Trade</t>
  </si>
  <si>
    <t>James O'Brien</t>
  </si>
  <si>
    <t>Single name field. The apostrophe is deliberate — it doubles as an input-hygiene check.</t>
  </si>
  <si>
    <t>trade.test01@example.com</t>
  </si>
  <si>
    <t>Must be unique among verified accounts.</t>
  </si>
  <si>
    <t>+353861234567</t>
  </si>
  <si>
    <t>Trade@2026Test!</t>
  </si>
  <si>
    <t>At least 10 characters, one capital, one digit.</t>
  </si>
  <si>
    <t>O'Brien Electrical Services Ltd</t>
  </si>
  <si>
    <t>Required for Trade accounts.</t>
  </si>
  <si>
    <t>Field engineer / sole trader</t>
  </si>
  <si>
    <t>REQUIRED dropdown. "Electrical Contractor" is NOT an option. Valid options only: Computer / laptop repair shop | Phone and tablet repair | IT reseller or MSP | Games console repair | Electronics or appliance repair | Field engineer / sole trader | Other.</t>
  </si>
  <si>
    <t>IE7654321B</t>
  </si>
  <si>
    <t>REQUIRED for Trade accounts (unlike Business, where it is optional).</t>
  </si>
  <si>
    <t>654321</t>
  </si>
  <si>
    <t>DIGITS ONLY. The requested "IE654321" WILL BE REJECTED.</t>
  </si>
  <si>
    <t>42 Industrial Estate, Cork, Cork, T12 AB12, Ireland</t>
  </si>
  <si>
    <t>Single free-text field.</t>
  </si>
  <si>
    <t>Expected monthly spend</t>
  </si>
  <si>
    <t>€2,000 – €5,000</t>
  </si>
  <si>
    <t>REQUIRED dropdown. Valid options only: Under €500 | €500 – €2,000 | €2,000 – €5,000 | Over €5,000.</t>
  </si>
  <si>
    <t>Website</t>
  </si>
  <si>
    <t>https://example.com</t>
  </si>
  <si>
    <t>Optional. Validated loosely against a domain-shaped pattern.</t>
  </si>
  <si>
    <t>Resale confirmation</t>
  </si>
  <si>
    <t>REQUIRED for Trade. Unticked gives "Trade accounts need this confirmation."</t>
  </si>
  <si>
    <t>Years in business</t>
  </si>
  <si>
    <t>NOT AVAILABLE / NOT IMPLEMENTED</t>
  </si>
  <si>
    <t>The application does not collect years in business. Do not raise a defect for its absence.</t>
  </si>
  <si>
    <t>PO number (checkout)</t>
  </si>
  <si>
    <t>PO-2026-00125</t>
  </si>
  <si>
    <t>Entered at CHECKOUT, not at registration. Max 64 characters.</t>
  </si>
  <si>
    <t>ADDITIONAL ACCOUNTS — create one per scenario</t>
  </si>
  <si>
    <t>Trade rejection account</t>
  </si>
  <si>
    <t>trade.reject01@example.com</t>
  </si>
  <si>
    <t>Phone +353861234568. Used by the Trade Rejection sheet.</t>
  </si>
  <si>
    <t>Trade suspension account</t>
  </si>
  <si>
    <t>trade.suspend01@example.com</t>
  </si>
  <si>
    <t>Phone +353861234569. Approved first, then suspended.</t>
  </si>
  <si>
    <t>Trade re-application account</t>
  </si>
  <si>
    <t>trade.reapply01@example.com</t>
  </si>
  <si>
    <t>Phone +353861234570. Rejected, then moved back to Pending, then Approved.</t>
  </si>
  <si>
    <t>Business duplicate-test account</t>
  </si>
  <si>
    <t>business.dup01@example.com</t>
  </si>
  <si>
    <t>Phone +353871234568. Used for duplicate email / duplicate VAT checks.</t>
  </si>
  <si>
    <t>Business second account</t>
  </si>
  <si>
    <t>business.test02@example.com</t>
  </si>
  <si>
    <t>Phone +353871234569. Used for cross-account security checks.</t>
  </si>
  <si>
    <t>Personal regression account</t>
  </si>
  <si>
    <t>personal.test01@example.com</t>
  </si>
  <si>
    <t>Phone +353871234570. Used by the Regression sheet.</t>
  </si>
  <si>
    <t>Password for all extras</t>
  </si>
  <si>
    <t>Test@2026Secure!</t>
  </si>
  <si>
    <t>Meets the strength rule.</t>
  </si>
  <si>
    <t>Every account must use an email address and a phone number not already on a VERIFIED account. If you re-run the pack, increment the numbers (business.test02, business.test03 ...) rather than reusing an address.</t>
  </si>
  <si>
    <t>PRODUCT AND PRICING DATA — read from the test database</t>
  </si>
  <si>
    <t>Test product</t>
  </si>
  <si>
    <t>testing product</t>
  </si>
  <si>
    <t>Product ID 99240288, slug "testing-product". Confirm it is still published before you start.</t>
  </si>
  <si>
    <t>Retail (ex VAT) price</t>
  </si>
  <si>
    <t>€505.00</t>
  </si>
  <si>
    <t>The retail unit price all band prices are compared against.</t>
  </si>
  <si>
    <t>Tax rule</t>
  </si>
  <si>
    <t>VAT23 — 23% (percentage)</t>
  </si>
  <si>
    <t>Product has excludeVAT = 0, so it IS taxable, at tax rule 1 (VAT23, 23%).</t>
  </si>
  <si>
    <t>Retail (inc VAT) price</t>
  </si>
  <si>
    <t>€621.15</t>
  </si>
  <si>
    <t>505.00 x 1.23. Shown as the VAT-inclusive price.</t>
  </si>
  <si>
    <t>Band: quantity 5 to 10</t>
  </si>
  <si>
    <t>€450.00 ex VAT</t>
  </si>
  <si>
    <t>Wholesale 500.00 less a fixed 50.00.</t>
  </si>
  <si>
    <t>Band: quantity 11 to 20</t>
  </si>
  <si>
    <t>€430.00 ex VAT</t>
  </si>
  <si>
    <t>Wholesale 500.00 less a fixed 70.00.</t>
  </si>
  <si>
    <t>Band: quantity 21 to 30</t>
  </si>
  <si>
    <t>€420.00 ex VAT</t>
  </si>
  <si>
    <t>Wholesale 500.00 less a fixed 80.00.</t>
  </si>
  <si>
    <t>Quantity 1 to 4</t>
  </si>
  <si>
    <t>€505.00 ex VAT (RETAIL)</t>
  </si>
  <si>
    <t>IMPORTANT: there is NO band below quantity 5. An entitled account still pays retail at quantity 1-4. This is correct behaviour, not a defect.</t>
  </si>
  <si>
    <t>Quantity 31 and above</t>
  </si>
  <si>
    <t>IMPORTANT: the top band STOPS at 30. Quantity 31+ falls back to retail. This is correct behaviour for this data set, not a defect.</t>
  </si>
  <si>
    <t>These band figures are the ones configured in the test database at the time this pack was written. Re-check them in Admin &gt; business-products before you begin; if they have changed, update the expected values in the Pricing, Cart, VAT and Checkout sheets to match.</t>
  </si>
  <si>
    <t>EXPECTED PRICE CALCULATIONS — entitled account (Business, or Trade once Approved)</t>
  </si>
  <si>
    <t>Quantity</t>
  </si>
  <si>
    <t>Unit price ex VAT / Line ex VAT</t>
  </si>
  <si>
    <t>VAT at 23% / Line inc VAT</t>
  </si>
  <si>
    <t>Qty 1</t>
  </si>
  <si>
    <t>€505.00 each  /  €505.00 ex VAT</t>
  </si>
  <si>
    <t>VAT €116.15  /  €621.15 inc VAT</t>
  </si>
  <si>
    <t>Qty 4</t>
  </si>
  <si>
    <t>€505.00 each  /  €2,020.00 ex VAT</t>
  </si>
  <si>
    <t>VAT €464.60  /  €2,484.60 inc VAT</t>
  </si>
  <si>
    <t>Qty 5</t>
  </si>
  <si>
    <t>€450.00 each  /  €2,250.00 ex VAT</t>
  </si>
  <si>
    <t>VAT €517.50  /  €2,767.50 inc VAT</t>
  </si>
  <si>
    <t>Qty 10</t>
  </si>
  <si>
    <t>€450.00 each  /  €4,500.00 ex VAT</t>
  </si>
  <si>
    <t>VAT €1,035.00  /  €5,535.00 inc VAT</t>
  </si>
  <si>
    <t>Qty 11</t>
  </si>
  <si>
    <t>€430.00 each  /  €4,730.00 ex VAT</t>
  </si>
  <si>
    <t>VAT €1,087.90  /  €5,817.90 inc VAT</t>
  </si>
  <si>
    <t>Qty 20</t>
  </si>
  <si>
    <t>€430.00 each  /  €8,600.00 ex VAT</t>
  </si>
  <si>
    <t>VAT €1,978.00  /  €10,578.00 inc VAT</t>
  </si>
  <si>
    <t>Qty 21</t>
  </si>
  <si>
    <t>€420.00 each  /  €8,820.00 ex VAT</t>
  </si>
  <si>
    <t>VAT €2,028.60  /  €10,848.60 inc VAT</t>
  </si>
  <si>
    <t>Qty 25</t>
  </si>
  <si>
    <t>€420.00 each  /  €10,500.00 ex VAT</t>
  </si>
  <si>
    <t>VAT €2,415.00  /  €12,915.00 inc VAT</t>
  </si>
  <si>
    <t>Qty 30</t>
  </si>
  <si>
    <t>€420.00 each  /  €12,600.00 ex VAT</t>
  </si>
  <si>
    <t>VAT €2,898.00  /  €15,498.00 inc VAT</t>
  </si>
  <si>
    <t>Qty 31</t>
  </si>
  <si>
    <t>€505.00 each  /  €15,655.00 ex VAT</t>
  </si>
  <si>
    <t>VAT €3,600.65  /  €19,255.65 inc VAT</t>
  </si>
  <si>
    <t>VAT is charged on the BAND price, not on the retail price. A non-entitled account (personal, or trade still pending/rejected/suspended) pays €505.00 per unit at every quantity above.</t>
  </si>
  <si>
    <t>FEATURES NOT IMPLEMENTED — mark test cases "Not Applicable", do NOT raise defects</t>
  </si>
  <si>
    <t>Account type change</t>
  </si>
  <si>
    <t>There is no self-serve or admin workflow to change an existing account from personal to business or trade. A different account type means a new registration.</t>
  </si>
  <si>
    <t>VAT number validation against VIES</t>
  </si>
  <si>
    <t>The VAT check is a FORMAT check only (6-18 alphanumerics, 2+ digits). It does not verify the number exists or belongs to the company. A well-formed but fictitious number is ACCEPTED by design.</t>
  </si>
  <si>
    <t>Country-based VAT rules</t>
  </si>
  <si>
    <t>VAT is decided per product (excludeVAT + tax rule), not by the customer country or by whether a VAT number was supplied. There is no reverse-charge / zero-rating for EU cross-border trade.</t>
  </si>
  <si>
    <t>Separate first/last name fields</t>
  </si>
  <si>
    <t>One "name" field only.</t>
  </si>
  <si>
    <t>Structured address fields</t>
  </si>
  <si>
    <t>One free-text billing address field. No separate city/county/country/Eircode inputs and no Eircode format validation.</t>
  </si>
  <si>
    <t>Not collected at registration.</t>
  </si>
  <si>
    <t>Live admin updates</t>
  </si>
  <si>
    <t>There is no WebSocket/push transport. Admin screens need a manual refresh to show a change made elsewhere.</t>
  </si>
  <si>
    <t>If you find any of the above DOES work, that is worth reporting as a documentation defect — but it is not a functional failure.</t>
  </si>
  <si>
    <t>Business Registration</t>
  </si>
  <si>
    <t>Registration is a multi-step wizard at {storefront}/register: Type &gt; Details &gt; Verify &gt; Security &gt; Done. The application collects ONE name field and ONE free-text billing address. A Business account opens ACTIVE and gets band pricing immediately once the email is confirmed - it does not wait for staff verification.</t>
  </si>
  <si>
    <t>Test Case ID</t>
  </si>
  <si>
    <t>Module</t>
  </si>
  <si>
    <t>Test Scenario</t>
  </si>
  <si>
    <t>Priority</t>
  </si>
  <si>
    <t>Preconditions</t>
  </si>
  <si>
    <t>Test Data</t>
  </si>
  <si>
    <t>Step No.</t>
  </si>
  <si>
    <t>Action / Steps</t>
  </si>
  <si>
    <t>Expected Result</t>
  </si>
  <si>
    <t>Actual Result</t>
  </si>
  <si>
    <t>Status</t>
  </si>
  <si>
    <t>Severity</t>
  </si>
  <si>
    <t>Bug ID</t>
  </si>
  <si>
    <t>Tester Comments</t>
  </si>
  <si>
    <t>BRG-001</t>
  </si>
  <si>
    <t>Open the registration page and confirm the account-type step</t>
  </si>
  <si>
    <t>High</t>
  </si>
  <si>
    <t>No user signed in. Browser cache cleared.</t>
  </si>
  <si>
    <t>URL: {storefront}/register</t>
  </si>
  <si>
    <t>Open a browser and go to {storefront}/register.</t>
  </si>
  <si>
    <t>The registration page loads with no PHP error, no blank screen and no console error. The first step is the account-type chooser.</t>
  </si>
  <si>
    <t>Look at the step indicator at the top of the form.</t>
  </si>
  <si>
    <t>Four steps are shown in order: Type, Details, Verify, Security. "Type" is the current step.</t>
  </si>
  <si>
    <t>Read the account type options offered.</t>
  </si>
  <si>
    <t>Exactly three choices are offered: Personal, Business and Trade. Record the wording of each.</t>
  </si>
  <si>
    <t>Check the browser address bar.</t>
  </si>
  <si>
    <t>The URL is {storefront}/register. The wizard tracks its position with a ?step= query parameter as you move forward.</t>
  </si>
  <si>
    <t>BRG-002</t>
  </si>
  <si>
    <t>Select Business and confirm the Business detail fields appear</t>
  </si>
  <si>
    <t>Critical</t>
  </si>
  <si>
    <t>BRG-001 done.</t>
  </si>
  <si>
    <t>Account type: Business</t>
  </si>
  <si>
    <t>Select the Business account option and continue to the Details step.</t>
  </si>
  <si>
    <t>The form advances to Details. The URL gains ?step=details. The heading and intro text describe a business account.</t>
  </si>
  <si>
    <t>List every field shown on the Details step.</t>
  </si>
  <si>
    <t>The form shows: Name, Email, Phone, Password (and confirm), Company name, Sector (dropdown), VAT number, Company registration number, Billing address, "requires PO number" checkbox, "credit account application" checkbox, marketing preference checkboxes and a Terms checkbox.</t>
  </si>
  <si>
    <t>Open the Sector dropdown and read the options.</t>
  </si>
  <si>
    <t>Exactly seven options: Professional services / office | School or college | Medical or dental practice | Hospitality or retail | Construction or trades | Charity or community group | Other.</t>
  </si>
  <si>
    <t>Confirm there is NO separate first name and last name field.</t>
  </si>
  <si>
    <t>Correct - there is ONE Name field. Separate first/last name fields are Not Available / Not Implemented. Mark this step Not Applicable if you were expecting two fields; it is not a defect.</t>
  </si>
  <si>
    <t>Confirm there is NO separate City, County, Country or Eircode field.</t>
  </si>
  <si>
    <t>Correct - there is ONE free-text Billing address field. Structured address fields are Not Available / Not Implemented.</t>
  </si>
  <si>
    <t>Confirm there is NO "years in business" field.</t>
  </si>
  <si>
    <t>Correct - Not Available / Not Implemented for all account types.</t>
  </si>
  <si>
    <t>BRG-003</t>
  </si>
  <si>
    <t>Complete a valid Business registration end to end</t>
  </si>
  <si>
    <t>BRG-002 done. The email address and phone number are not already on a verified account.</t>
  </si>
  <si>
    <t>Name: Daniel Murphy | Email: business.test01@example.com | Phone: +353871234567 | Password: Business@2026Test! | Company: Murphy IT Solutions Ltd | Sector: Professional services / office | VAT: IE1234567A | Company reg no: 123456 | Billing address: 25 Main Street, Dublin, Dublin, D02 X285, Ireland | Requires PO: ticked | Credit application: ticked</t>
  </si>
  <si>
    <t>Enter Name: Daniel Murphy</t>
  </si>
  <si>
    <t>The field accepts the value with no error.</t>
  </si>
  <si>
    <t>Enter Email: business.test01@example.com</t>
  </si>
  <si>
    <t>Accepted, no inline error.</t>
  </si>
  <si>
    <t>Enter Phone: +353871234567</t>
  </si>
  <si>
    <t>Accepted. If the form shows a country/format hint, the number is recognised as valid.</t>
  </si>
  <si>
    <t>Enter Password: Business@2026Test! and repeat it in the confirm field.</t>
  </si>
  <si>
    <t>Both accepted and they match. Any strength indicator shows the rule is met (10+ characters, a capital and a digit).</t>
  </si>
  <si>
    <t>Enter Company name: Murphy IT Solutions Ltd</t>
  </si>
  <si>
    <t>Accepted.</t>
  </si>
  <si>
    <t>Choose Sector: Professional services / office</t>
  </si>
  <si>
    <t>Enter VAT number: IE1234567A</t>
  </si>
  <si>
    <t>Accepted. VAT is OPTIONAL for a Business account.</t>
  </si>
  <si>
    <t>Enter Company registration number: 123456</t>
  </si>
  <si>
    <t>Accepted. NOTE: this field is digits only - entering "IE123456" would be rejected.</t>
  </si>
  <si>
    <t>Enter Billing address: 25 Main Street, Dublin, Dublin, D02 X285, Ireland</t>
  </si>
  <si>
    <t>Accepted as a single free-text value.</t>
  </si>
  <si>
    <t>Tick "requires PO number" and "credit account application".</t>
  </si>
  <si>
    <t>Both tick. These are preferences - the credit tick records interest only and does not grant a credit account.</t>
  </si>
  <si>
    <t>Tick the Terms checkbox and submit the Details step.</t>
  </si>
  <si>
    <t>The form submits with no validation error and moves to the Verify step (?step=verify).</t>
  </si>
  <si>
    <t>Read the Verify step.</t>
  </si>
  <si>
    <t>It asks for a verification code and states where the code was sent. Retrieve the code from the configured mail capture tool.</t>
  </si>
  <si>
    <t>Enter the correct verification code and continue.</t>
  </si>
  <si>
    <t>The code is accepted and the wizard advances to the Security step (two-factor setup).</t>
  </si>
  <si>
    <t>On the Security step choose to skip / set up later.</t>
  </si>
  <si>
    <t>Skipping is allowed and the wizard reaches the Done step. The account is usable with two-factor off.</t>
  </si>
  <si>
    <t>Read the confirmation on the Done step.</t>
  </si>
  <si>
    <t>It confirms the account is created. Record the exact wording in Actual Result.</t>
  </si>
  <si>
    <t>BRG-004</t>
  </si>
  <si>
    <t>Verify the Business account was created with the right state</t>
  </si>
  <si>
    <t>BRG-003 completed successfully.</t>
  </si>
  <si>
    <t>Email: business.test01@example.com</t>
  </si>
  <si>
    <t>Sign in to the storefront as business.test01@example.com.</t>
  </si>
  <si>
    <t>Sign-in succeeds and the customer dashboard loads.</t>
  </si>
  <si>
    <t>Open {storefront}/user/dashboard and read the account section.</t>
  </si>
  <si>
    <t>The account is shown as a Business account and as active. A one-line headline describes the account state.</t>
  </si>
  <si>
    <t>Confirm the dashboard does NOT show a trade application or a pending trade status.</t>
  </si>
  <si>
    <t>Correct - trade status belongs to Trade accounts only. A Business account has no trade application.</t>
  </si>
  <si>
    <t>In the admin panel open {admin}/registered-users and find business.test01@example.com.</t>
  </si>
  <si>
    <t>The customer is listed with account type Business.</t>
  </si>
  <si>
    <t>Open that customer record in admin.</t>
  </si>
  <si>
    <t>Account type = business; account status = active; verification status = pending (company details not yet checked by staff); trade status = empty/none.</t>
  </si>
  <si>
    <t>Confirm the business pricing entitlement on the admin record.</t>
  </si>
  <si>
    <t>The record shows the account IS entitled to business pricing. A Business account qualifies at signup - it does NOT have to wait for staff verification. Verification status and pricing entitlement are two separate facts.</t>
  </si>
  <si>
    <t>BRG-005</t>
  </si>
  <si>
    <t>Verify every value entered at registration was stored</t>
  </si>
  <si>
    <t>BRG-004 done.</t>
  </si>
  <si>
    <t>All values from BRG-003.</t>
  </si>
  <si>
    <t>In admin, open the customer record for business.test01@example.com and find the business profile section.</t>
  </si>
  <si>
    <t>A business profile exists for this customer.</t>
  </si>
  <si>
    <t>Compare Company name against what you typed.</t>
  </si>
  <si>
    <t>Shows exactly: Murphy IT Solutions Ltd</t>
  </si>
  <si>
    <t>Compare VAT number.</t>
  </si>
  <si>
    <t>Shows exactly: IE1234567A</t>
  </si>
  <si>
    <t>Compare Company registration number.</t>
  </si>
  <si>
    <t>Shows exactly: 123456</t>
  </si>
  <si>
    <t>Compare Billing address.</t>
  </si>
  <si>
    <t>Shows the full address string exactly as typed, including the Eircode text.</t>
  </si>
  <si>
    <t>Compare Sector.</t>
  </si>
  <si>
    <t>Shows: Professional services / office</t>
  </si>
  <si>
    <t>Compare the PO requirement flag.</t>
  </si>
  <si>
    <t>Shows that this account requires a PO number.</t>
  </si>
  <si>
    <t>Compare the credit application flag.</t>
  </si>
  <si>
    <t>Shows that a credit account application was requested.</t>
  </si>
  <si>
    <t>Check whether any trade-only field was stored against this Business account.</t>
  </si>
  <si>
    <t>Trade-only fields (trade type, expected spend, website, resale confirmation) are empty for a Business account. They are deliberately not stored for this type.</t>
  </si>
  <si>
    <t>BRG-006</t>
  </si>
  <si>
    <t>Required-field validation on the Business Details step</t>
  </si>
  <si>
    <t>At {storefront}/register, Business selected, Details step open.</t>
  </si>
  <si>
    <t>Leave fields empty as directed.</t>
  </si>
  <si>
    <t>Leave every field empty and submit the Details step.</t>
  </si>
  <si>
    <t>The form does NOT submit. Validation errors are shown against the required fields.</t>
  </si>
  <si>
    <t>Clear only Company name and submit.</t>
  </si>
  <si>
    <t>Refused with the message: "Enter the company name."</t>
  </si>
  <si>
    <t>Restore Company name, clear Sector and submit.</t>
  </si>
  <si>
    <t>Refused with the message: "Choose what the business does."</t>
  </si>
  <si>
    <t>Restore Sector, clear Billing address and submit.</t>
  </si>
  <si>
    <t>Refused with the message: "We need a billing address for VAT invoices."</t>
  </si>
  <si>
    <t>Restore Billing address, clear Phone and submit.</t>
  </si>
  <si>
    <t>Refused with the message: "Enter a mobile number we can text."</t>
  </si>
  <si>
    <t>Restore Phone, untick Terms and submit.</t>
  </si>
  <si>
    <t>Refused with the message: "Tick the box to continue."</t>
  </si>
  <si>
    <t>Confirm no account was created by any of the refused attempts.</t>
  </si>
  <si>
    <t>In admin, no customer exists for this email address. A refused registration must not create a partial account.</t>
  </si>
  <si>
    <t>BRG-007</t>
  </si>
  <si>
    <t>Email validation on Business registration</t>
  </si>
  <si>
    <t>Business Details step open, all other fields valid.</t>
  </si>
  <si>
    <t>Invalid: daniel.murphy | daniel@ | @example.com | daniel murphy@example.com   Duplicate: business.test01@example.com</t>
  </si>
  <si>
    <t>Enter email "daniel.murphy" and submit.</t>
  </si>
  <si>
    <t>Refused as not a valid email address.</t>
  </si>
  <si>
    <t>Enter email "daniel@" and submit.</t>
  </si>
  <si>
    <t>Enter email "@example.com" and submit.</t>
  </si>
  <si>
    <t>Enter email "daniel murphy@example.com" (with a space) and submit.</t>
  </si>
  <si>
    <t>Enter business.test01@example.com - the address already registered and verified in BRG-003 - and submit.</t>
  </si>
  <si>
    <t>Refused with: "That email address already has an account. Sign in instead, or reset your password."</t>
  </si>
  <si>
    <t>Confirm the duplicate attempt did not alter the existing account.</t>
  </si>
  <si>
    <t>The original account is untouched: same company details, same status, still usable.</t>
  </si>
  <si>
    <t>BRG-008</t>
  </si>
  <si>
    <t>Phone validation and phone uniqueness</t>
  </si>
  <si>
    <t>Medium</t>
  </si>
  <si>
    <t>Business Details step open, all other fields valid, a fresh unused email in the email field.</t>
  </si>
  <si>
    <t>Duplicate phone: +353871234567 (already on business.test01@example.com)</t>
  </si>
  <si>
    <t>Clear the phone field and submit.</t>
  </si>
  <si>
    <t>Refused with: "Enter a mobile number we can text."</t>
  </si>
  <si>
    <t>Enter obvious non-numeric text such as "not a phone" and submit.</t>
  </si>
  <si>
    <t>Refused. Record the exact message shown in Actual Result.</t>
  </si>
  <si>
    <t>Enter +353871234567, which is already on the verified account from BRG-003, with a DIFFERENT email address, and submit.</t>
  </si>
  <si>
    <t>Refused with: "That mobile number is already on another account. Use a different number."</t>
  </si>
  <si>
    <t>Enter an unused number such as +353871234599 and submit.</t>
  </si>
  <si>
    <t>Accepted - the registration proceeds past the phone check.</t>
  </si>
  <si>
    <t>BRG-009</t>
  </si>
  <si>
    <t>Password strength and confirmation validation</t>
  </si>
  <si>
    <t>Weak: Test1 | abcdefghij1 | ABCDEFGHIJ | Password12   Valid: Business@2026Test!</t>
  </si>
  <si>
    <t>Enter password "Test1" (too short) and submit.</t>
  </si>
  <si>
    <t>Refused with: "Use at least 10 characters, with a capital letter and a number."</t>
  </si>
  <si>
    <t>Enter "abcdefghij1" (10 chars, a digit, NO capital) and submit.</t>
  </si>
  <si>
    <t>Refused with the same message - a capital letter is required.</t>
  </si>
  <si>
    <t>Enter "ABCDEFGHIJ" (10 chars, a capital, NO digit) and submit.</t>
  </si>
  <si>
    <t>Refused with the same message - a digit is required.</t>
  </si>
  <si>
    <t>Enter "Password12" (10 chars, capital, digit) and submit.</t>
  </si>
  <si>
    <t>ACCEPTED - this meets the rule as implemented. Note there is no dictionary or common-password check; that is Not Available / Not Implemented.</t>
  </si>
  <si>
    <t>Enter Business@2026Test! in the password field and a DIFFERENT value in the confirm field, then submit.</t>
  </si>
  <si>
    <t>Refused - the form reports that the two passwords do not match, and does not submit.</t>
  </si>
  <si>
    <t>Make both fields Business@2026Test! and submit.</t>
  </si>
  <si>
    <t>Accepted and the form proceeds.</t>
  </si>
  <si>
    <t>BRG-010</t>
  </si>
  <si>
    <t>VAT number validation - the format check and its limits</t>
  </si>
  <si>
    <t>Business Details step open, all other fields valid, fresh email and phone.</t>
  </si>
  <si>
    <t>Invalid: n/a | will send later | 12 | ????????   Valid: IE1234567A | IE 123 4567 A</t>
  </si>
  <si>
    <t>Enter VAT number "n/a" and submit.</t>
  </si>
  <si>
    <t>Refused with: "That does not look like a VAT number. Enter it as it appears on your VAT certificate."</t>
  </si>
  <si>
    <t>Enter VAT number "will send later" and submit.</t>
  </si>
  <si>
    <t>Refused with the same message.</t>
  </si>
  <si>
    <t>Enter VAT number "12" (too short) and submit.</t>
  </si>
  <si>
    <t>Enter VAT number "ABCDEFGH" (8 letters, no digits) and submit.</t>
  </si>
  <si>
    <t>Refused - the check requires at least two digits.</t>
  </si>
  <si>
    <t>Enter VAT number "IE 123 4567 A" with spaces and submit.</t>
  </si>
  <si>
    <t>ACCEPTED - spaces, dots, hyphens and slashes are stripped before the check.</t>
  </si>
  <si>
    <t>Enter VAT number "IE1234567A" and submit.</t>
  </si>
  <si>
    <t>Enter a well-formed but entirely fictitious VAT number such as "IE9999999Z" and submit.</t>
  </si>
  <si>
    <t>ACCEPTED. The check is FORMAT ONLY - it does not verify the number exists or belongs to the company. Validation against VIES is Not Available / Not Implemented. This is correct behaviour, not a defect.</t>
  </si>
  <si>
    <t>Leave the VAT number blank entirely and submit.</t>
  </si>
  <si>
    <t>Accepted - VAT is OPTIONAL for a Business account (it is required only for Trade).</t>
  </si>
  <si>
    <t>BRG-011</t>
  </si>
  <si>
    <t>Company registration number validation</t>
  </si>
  <si>
    <t>Invalid: IE123456 | ABC123 | 12   Valid: 123456 | 123-456</t>
  </si>
  <si>
    <t>Enter company registration number "IE123456" and submit.</t>
  </si>
  <si>
    <t>REFUSED with: "A company registration number is digits only." Letters are not accepted, so the value originally proposed for this test data cannot be used.</t>
  </si>
  <si>
    <t>Enter "ABC123" and submit.</t>
  </si>
  <si>
    <t>Enter "12" (too short) and submit.</t>
  </si>
  <si>
    <t>Refused - the value must be 4 to 12 digits.</t>
  </si>
  <si>
    <t>Enter "1234567890123" (13 digits, too long) and submit.</t>
  </si>
  <si>
    <t>Refused - more than 12 digits.</t>
  </si>
  <si>
    <t>Enter "123-456" and submit.</t>
  </si>
  <si>
    <t>ACCEPTED - separators are stripped before the digits are counted.</t>
  </si>
  <si>
    <t>Enter "123456" and submit.</t>
  </si>
  <si>
    <t>Leave the field blank and submit.</t>
  </si>
  <si>
    <t>Accepted - the company registration number is optional.</t>
  </si>
  <si>
    <t>BRG-012</t>
  </si>
  <si>
    <t>Duplicate VAT number across accounts</t>
  </si>
  <si>
    <t>The Business account from BRG-003 exists and is VERIFIED, holding VAT number IE1234567A.</t>
  </si>
  <si>
    <t>New account: business.dup01@example.com | Phone +353871234568 | VAT IE1234567A</t>
  </si>
  <si>
    <t>Start a new Business registration with email business.dup01@example.com and phone +353871234568.</t>
  </si>
  <si>
    <t>The form accepts these as unused.</t>
  </si>
  <si>
    <t>Enter VAT number IE1234567A - the number already held by the verified account from BRG-003 - and submit.</t>
  </si>
  <si>
    <t>Refused with: "That VAT number is already registered to another account. Sign in instead, or contact us."</t>
  </si>
  <si>
    <t>Change the VAT number to IE2222222C and submit.</t>
  </si>
  <si>
    <t>Accepted - one VAT number, one account.</t>
  </si>
  <si>
    <t>Confirm the original account still holds IE1234567A.</t>
  </si>
  <si>
    <t>Unchanged in admin.</t>
  </si>
  <si>
    <t>BRG-013</t>
  </si>
  <si>
    <t>Website field validation (where shown)</t>
  </si>
  <si>
    <t>Low</t>
  </si>
  <si>
    <t>Business Details step open. NOTE: the website field is collected for TRADE accounts; if it is not present on the Business form, mark this case Not Applicable.</t>
  </si>
  <si>
    <t>Invalid: not a website   Valid: example.com | https://example.com</t>
  </si>
  <si>
    <t>If a Website field is shown, enter "not a website" and submit.</t>
  </si>
  <si>
    <t>Refused with: "Enter a valid website address, for example yourcompany.ie."</t>
  </si>
  <si>
    <t>Enter "example.com" and submit.</t>
  </si>
  <si>
    <t>Accepted - the scheme is optional.</t>
  </si>
  <si>
    <t>Enter "https://example.com" and submit.</t>
  </si>
  <si>
    <t>If no Website field is shown on the Business form.</t>
  </si>
  <si>
    <t>Mark this case Not Applicable - the website field belongs to the Trade form.</t>
  </si>
  <si>
    <t>BRG-014</t>
  </si>
  <si>
    <t>Wizard navigation - back and forward between steps</t>
  </si>
  <si>
    <t>A Business registration in progress with the Details step filled in but not submitted.</t>
  </si>
  <si>
    <t>Values from BRG-003.</t>
  </si>
  <si>
    <t>Fill the Details step completely but do not submit. Use the wizard control to go back to the Type step.</t>
  </si>
  <si>
    <t>The wizard returns to the Type step without submitting anything.</t>
  </si>
  <si>
    <t>Move forward to the Details step again.</t>
  </si>
  <si>
    <t>Record in Actual Result whether the values you typed are still present or were cleared. Both are defensible; what matters is that the tester documents the real behaviour.</t>
  </si>
  <si>
    <t>Change the account type from Business to Personal, then back to Business.</t>
  </si>
  <si>
    <t>The form shows the correct field set for each type: Personal has no company fields; Business has company name, sector and billing address.</t>
  </si>
  <si>
    <t>Change the account type from Business to Trade.</t>
  </si>
  <si>
    <t>The field set changes to the Trade set: trade dropdown, expected spend, resale confirmation, and VAT becomes REQUIRED.</t>
  </si>
  <si>
    <t>BRG-015</t>
  </si>
  <si>
    <t>Browser refresh and browser back button during registration</t>
  </si>
  <si>
    <t>A Business registration in progress, Details step filled but not submitted.</t>
  </si>
  <si>
    <t>With the Details step filled in but not submitted, press F5 to refresh.</t>
  </si>
  <si>
    <t>The page reloads without a script error. Record whether the entered values survive or are cleared.</t>
  </si>
  <si>
    <t>Confirm no account was created by the refresh.</t>
  </si>
  <si>
    <t>No customer exists in admin for this email - an unsubmitted form must not create an account.</t>
  </si>
  <si>
    <t>Submit the Details step to reach the Verify step, then press the browser Back button.</t>
  </si>
  <si>
    <t>The application returns to a previous step without crashing. Record the behaviour.</t>
  </si>
  <si>
    <t>From there navigate forward again to the Verify step.</t>
  </si>
  <si>
    <t>The verification step is reachable and the code you were sent is still the one expected. If a new code is required, record that.</t>
  </si>
  <si>
    <t>Complete verification and confirm only ONE account exists for this email.</t>
  </si>
  <si>
    <t>Exactly one customer record exists in admin. Refreshing and going back must not create duplicates.</t>
  </si>
  <si>
    <t>BRG-016</t>
  </si>
  <si>
    <t>Re-registering an email that was never verified</t>
  </si>
  <si>
    <t>An earlier registration attempt reached the Verify step for an address but the code was never entered.</t>
  </si>
  <si>
    <t>Email: business.test02@example.com | Phone: +353871234569</t>
  </si>
  <si>
    <t>Register a Business account with business.test02@example.com but stop at the Verify step without entering the code.</t>
  </si>
  <si>
    <t>An unverified customer row exists. The account is not usable yet.</t>
  </si>
  <si>
    <t>Start registration again with the SAME email address and a different company name.</t>
  </si>
  <si>
    <t>ACCEPTED - registering again over an unverified row is the supported way to start over if the code was lost.</t>
  </si>
  <si>
    <t>Complete verification this time and check the stored company name.</t>
  </si>
  <si>
    <t>The company name from the SECOND attempt is stored - the pending row is overwritten wholesale.</t>
  </si>
  <si>
    <t>Confirm only one account exists for that email.</t>
  </si>
  <si>
    <t>Exactly one customer record.</t>
  </si>
  <si>
    <t>BRG-017</t>
  </si>
  <si>
    <t>A suspended account cannot be laundered by re-registering</t>
  </si>
  <si>
    <t>A Business account exists and has been SUSPENDED by an admin (see the Trade Suspension sheet for how to suspend).</t>
  </si>
  <si>
    <t>Use a suspended account email.</t>
  </si>
  <si>
    <t>In admin, suspend the Business account for business.test01@example.com.</t>
  </si>
  <si>
    <t>Account status becomes suspended.</t>
  </si>
  <si>
    <t>Sign out and attempt to register a NEW account using that same email address.</t>
  </si>
  <si>
    <t>REFUSED with: "We cannot open an account for this email address. Please contact us."</t>
  </si>
  <si>
    <t>Confirm the suspended account was not reset or reactivated by the attempt.</t>
  </si>
  <si>
    <t>The account is still suspended in admin with its original details. Re-registration must not be a route back to an active account.</t>
  </si>
  <si>
    <t>In admin, return the account to active before continuing with the rest of the pack.</t>
  </si>
  <si>
    <t>Account status is active again.</t>
  </si>
  <si>
    <t>BRG-018</t>
  </si>
  <si>
    <t>Input hygiene - script and SQL-shaped values in registration fields</t>
  </si>
  <si>
    <t>Business Details step open.</t>
  </si>
  <si>
    <t>Company name: &lt;script&gt;alert(1)&lt;/script&gt;   Billing address: Robert'); DROP TABLE users;--</t>
  </si>
  <si>
    <t>Enter Company name: &lt;script&gt;alert(1)&lt;/script&gt; and complete the registration.</t>
  </si>
  <si>
    <t>No JavaScript alert fires at any point - not on submit, not on the dashboard, and not in the admin customer screen. The value is either rejected or stored and displayed as inert text.</t>
  </si>
  <si>
    <t>Open the admin customer record for this account.</t>
  </si>
  <si>
    <t>The company name renders as literal text. No alert box appears in the admin panel.</t>
  </si>
  <si>
    <t>Register another account with Billing address: Robert'); DROP TABLE users;--</t>
  </si>
  <si>
    <t>The registration behaves normally and the users table still exists - other customers are still listed in admin.</t>
  </si>
  <si>
    <t>Enter a name with an apostrophe: O'Brien, and register.</t>
  </si>
  <si>
    <t>Accepted and stored with the apostrophe intact. A legitimate apostrophe must not be rejected or mangled.</t>
  </si>
  <si>
    <t>Enter a very long company name (500+ characters) and submit.</t>
  </si>
  <si>
    <t>Either refused with a clear message, or stored without a server error. A 500-error or blank page is a defect.</t>
  </si>
  <si>
    <t>BRG-019</t>
  </si>
  <si>
    <t>Sign out and sign back in after registration</t>
  </si>
  <si>
    <t>BRG-003 and BRG-004 complete.</t>
  </si>
  <si>
    <t>Email: business.test01@example.com | Password: Business@2026Test!</t>
  </si>
  <si>
    <t>Sign out of the storefront.</t>
  </si>
  <si>
    <t>You are signed out and returned to a public page.</t>
  </si>
  <si>
    <t>Sign in again with business.test01@example.com and the correct password.</t>
  </si>
  <si>
    <t>Sign-in succeeds.</t>
  </si>
  <si>
    <t>Open the dashboard.</t>
  </si>
  <si>
    <t>Account type is still Business and the account is active. Nothing was lost at sign-out.</t>
  </si>
  <si>
    <t>Attempt to sign in with a deliberately wrong password.</t>
  </si>
  <si>
    <t>Refused with a generic credentials message. The message must NOT reveal whether the email exists.</t>
  </si>
  <si>
    <t>Open the profile page and confirm the company details are still present.</t>
  </si>
  <si>
    <t>Company name, VAT number, company registration number and billing address are all as registered.</t>
  </si>
  <si>
    <t>BRG-020</t>
  </si>
  <si>
    <t>A registration cannot grant itself privileges</t>
  </si>
  <si>
    <t>Ability to edit the registration request in browser developer tools, or to send the request with a REST client.</t>
  </si>
  <si>
    <t>POST {storefront}/api/v1/user/signup</t>
  </si>
  <si>
    <t>Open developer tools, network tab, and submit a Business registration. Find the signup request.</t>
  </si>
  <si>
    <t>The request payload is visible.</t>
  </si>
  <si>
    <t>Replay the signup request (REST client or edit-and-resend) with "verified": true added to the payload, using a fresh email.</t>
  </si>
  <si>
    <t>The created account is NOT verified - it still requires the emailed code. The server builds the account field by field and ignores a client-supplied verified flag.</t>
  </si>
  <si>
    <t>Replay signup with "trade_status": "approved" added and account_type "trade", using a fresh email.</t>
  </si>
  <si>
    <t>The account opens with trade status PENDING, not approved. A signup cannot approve its own trade application.</t>
  </si>
  <si>
    <t>Replay signup with "status": "active" plus "verification_status": "verified", using a fresh email.</t>
  </si>
  <si>
    <t>Verification status is pending (for business/trade), not verified. Only an admin action can mark company details verified.</t>
  </si>
  <si>
    <t>Replay signup with "account_type": "administrator" or another unknown value.</t>
  </si>
  <si>
    <t>The account is created as PERSONAL - an unrecognised account type falls back to personal rather than being accepted.</t>
  </si>
  <si>
    <t>Business Profile</t>
  </si>
  <si>
    <t>The customer profile at {storefront}/user/profile. Name, phone and marketing preferences are the customer's own; company details are editable here too. Account TYPE is not editable by the customer - and there is no workflow anywhere to change it.</t>
  </si>
  <si>
    <t>BPR-001</t>
  </si>
  <si>
    <t>Open the Business profile and verify the registration data is all there</t>
  </si>
  <si>
    <t>Signed in as business.test01@example.com.</t>
  </si>
  <si>
    <t>Sign in as business.test01@example.com and open {storefront}/user/profile.</t>
  </si>
  <si>
    <t>The profile page loads with no error.</t>
  </si>
  <si>
    <t>Compare the Name shown against what was registered.</t>
  </si>
  <si>
    <t>Shows: Daniel Murphy</t>
  </si>
  <si>
    <t>Compare the Email shown.</t>
  </si>
  <si>
    <t>Shows: business.test01@example.com</t>
  </si>
  <si>
    <t>Compare the Phone shown.</t>
  </si>
  <si>
    <t>Shows: +353871234567</t>
  </si>
  <si>
    <t>Compare the Company name shown.</t>
  </si>
  <si>
    <t>Shows: Murphy IT Solutions Ltd</t>
  </si>
  <si>
    <t>Compare the VAT number shown.</t>
  </si>
  <si>
    <t>Shows: IE1234567A</t>
  </si>
  <si>
    <t>Compare the Company registration number shown.</t>
  </si>
  <si>
    <t>Shows: 123456</t>
  </si>
  <si>
    <t>Compare the Billing address shown.</t>
  </si>
  <si>
    <t>Shows the full address as registered.</t>
  </si>
  <si>
    <t>Compare the Sector shown.</t>
  </si>
  <si>
    <t>Compare the PO requirement setting.</t>
  </si>
  <si>
    <t>Shows that a PO number is required for this account (it was ticked at registration).</t>
  </si>
  <si>
    <t>Confirm nothing entered at registration is missing from this screen.</t>
  </si>
  <si>
    <t>Every value entered during registration is either shown or accounted for. List anything missing in Actual Result - a value collected at registration but never shown back is a defect.</t>
  </si>
  <si>
    <t>BPR-002</t>
  </si>
  <si>
    <t>Edit the name and confirm it persists</t>
  </si>
  <si>
    <t>New name: Daniel J Murphy</t>
  </si>
  <si>
    <t>Change the Name field to "Daniel J Murphy" and save.</t>
  </si>
  <si>
    <t>Saved with a success confirmation.</t>
  </si>
  <si>
    <t>Refresh the page.</t>
  </si>
  <si>
    <t>The name still shows Daniel J Murphy.</t>
  </si>
  <si>
    <t>Sign out and sign back in, then reopen the profile.</t>
  </si>
  <si>
    <t>The name is still Daniel J Murphy.</t>
  </si>
  <si>
    <t>Check the same customer in the admin panel.</t>
  </si>
  <si>
    <t>Admin shows the updated name.</t>
  </si>
  <si>
    <t>Confirm the marketing preferences and company details were NOT wiped by saving the name alone.</t>
  </si>
  <si>
    <t>Company name, VAT number, billing address and the preference checkboxes are all unchanged. Saving one field must not blank the others.</t>
  </si>
  <si>
    <t>BPR-003</t>
  </si>
  <si>
    <t>Edit the phone number and confirm it is treated as unproved</t>
  </si>
  <si>
    <t>New phone: +353871234571</t>
  </si>
  <si>
    <t>Change the Phone to +353871234571 and save.</t>
  </si>
  <si>
    <t>Saved.</t>
  </si>
  <si>
    <t>Refresh and confirm the new number is shown.</t>
  </si>
  <si>
    <t>Shows +353871234571.</t>
  </si>
  <si>
    <t>Check whether the account still claims the phone number is verified.</t>
  </si>
  <si>
    <t>The new number is NOT treated as verified - changing the number clears any previous phone verification. A number that has never been texted must not be shown as proved.</t>
  </si>
  <si>
    <t>If two-factor by SMS was enabled, check what happened to it.</t>
  </si>
  <si>
    <t>Record the behaviour. The second factor must not silently point at an unproved number.</t>
  </si>
  <si>
    <t>Change the phone back to +353871234567.</t>
  </si>
  <si>
    <t>Saved, and again treated as unverified until proved.</t>
  </si>
  <si>
    <t>BPR-004</t>
  </si>
  <si>
    <t>Edit the billing address and company details</t>
  </si>
  <si>
    <t>New address: 26 Main Street, Dublin, Dublin, D02 X286, Ireland | New company: Murphy IT Solutions Limited</t>
  </si>
  <si>
    <t>Change the Billing address to "26 Main Street, Dublin, Dublin, D02 X286, Ireland" and save.</t>
  </si>
  <si>
    <t>Saved with a confirmation.</t>
  </si>
  <si>
    <t>Refresh, then sign out and back in.</t>
  </si>
  <si>
    <t>The new address persists.</t>
  </si>
  <si>
    <t>Change the Company name to "Murphy IT Solutions Limited" and save.</t>
  </si>
  <si>
    <t>Confirm in the admin customer record.</t>
  </si>
  <si>
    <t>Admin shows the updated company name and address.</t>
  </si>
  <si>
    <t>Clear the Billing address entirely and save.</t>
  </si>
  <si>
    <t>Record the behaviour. If the field is required here it should be refused with a clear message; if it is allowed to be emptied, note that a VAT invoice would then have no address.</t>
  </si>
  <si>
    <t>BPR-005</t>
  </si>
  <si>
    <t>Edit the VAT number from the profile</t>
  </si>
  <si>
    <t>Signed in as business.test01@example.com. A second verified account exists holding VAT IE2222222C.</t>
  </si>
  <si>
    <t>Valid: IE1234567B | Invalid: n/a | Taken: IE2222222C</t>
  </si>
  <si>
    <t>Change the VAT number to "n/a" and save.</t>
  </si>
  <si>
    <t>Change the VAT number to IE2222222C, which belongs to another verified account, and save.</t>
  </si>
  <si>
    <t>REFUSED - another company's VAT number cannot be edited in from the profile. Record the exact message.</t>
  </si>
  <si>
    <t>Change the VAT number to IE1234567B and save.</t>
  </si>
  <si>
    <t>Accepted and saved.</t>
  </si>
  <si>
    <t>Refresh and confirm.</t>
  </si>
  <si>
    <t>Shows IE1234567B.</t>
  </si>
  <si>
    <t>Set the VAT number back to IE1234567A for the rest of the pack.</t>
  </si>
  <si>
    <t>BPR-006</t>
  </si>
  <si>
    <t>Change the PO requirement and confirm it gates checkout</t>
  </si>
  <si>
    <t>PO toggle on the profile; PO-2026-00125 at checkout.</t>
  </si>
  <si>
    <t>On the profile, UNTICK "requires PO number" and save.</t>
  </si>
  <si>
    <t>Add 'testing product' (product ID 99240288, slug testing-product, retail EUR 505.00 ex VAT) to the basket and go to checkout. Leave the PO field empty.</t>
  </si>
  <si>
    <t>Checkout is allowed to proceed without a PO number.</t>
  </si>
  <si>
    <t>Return to the profile, TICK "requires PO number" and save.</t>
  </si>
  <si>
    <t>Go to checkout again and leave the PO number empty, then try to place the order.</t>
  </si>
  <si>
    <t>REFUSED with: "Enter the purchase order number for this order."</t>
  </si>
  <si>
    <t>Enter PO-2026-00125 and place the order.</t>
  </si>
  <si>
    <t>Accepted. The preference set on the profile is what gates checkout.</t>
  </si>
  <si>
    <t>BPR-007</t>
  </si>
  <si>
    <t>The account type cannot be changed by the customer</t>
  </si>
  <si>
    <t>Attempt to set account_type to trade.</t>
  </si>
  <si>
    <t>Look on the profile page for any control to change the account type from Business to Trade or Personal.</t>
  </si>
  <si>
    <t>There is NO such control. An account-type change workflow is Not Available / Not Implemented - a different type means a new registration. Mark Not Applicable, not Fail.</t>
  </si>
  <si>
    <t>Open developer tools and submit a profile save with "account_type": "trade" added to the request payload.</t>
  </si>
  <si>
    <t>The account type is UNCHANGED - it is still business. The server ignores a customer-supplied account type.</t>
  </si>
  <si>
    <t>Reload the dashboard and the admin customer record.</t>
  </si>
  <si>
    <t>Both still show Business.</t>
  </si>
  <si>
    <t>Submit a profile save with "trade_status": "approved" added.</t>
  </si>
  <si>
    <t>Ignored - the account still has no approved trade status, and band entitlement is unchanged.</t>
  </si>
  <si>
    <t>BPR-008</t>
  </si>
  <si>
    <t>A customer cannot lift their own suspension through the profile</t>
  </si>
  <si>
    <t>The Business account has been suspended by an admin.</t>
  </si>
  <si>
    <t>Attempt to set status to active.</t>
  </si>
  <si>
    <t>In admin, suspend business.test01@example.com.</t>
  </si>
  <si>
    <t>Account status is suspended.</t>
  </si>
  <si>
    <t>Sign in as that customer and open the profile.</t>
  </si>
  <si>
    <t>Sign-in still works - a suspended customer can sign in and view history, but cannot place new orders.</t>
  </si>
  <si>
    <t>Submit a profile save with "status": "active" added to the payload.</t>
  </si>
  <si>
    <t>IGNORED - the account is still suspended in admin.</t>
  </si>
  <si>
    <t>Confirm the dashboard headline still says the account is suspended.</t>
  </si>
  <si>
    <t>The suspension message is still shown and no new order can be placed.</t>
  </si>
  <si>
    <t>Submit a profile save with "status_note" set to a value of your choosing.</t>
  </si>
  <si>
    <t>Ignored - the status note is staff-owned.</t>
  </si>
  <si>
    <t>In admin, return the account to active.</t>
  </si>
  <si>
    <t>Account is active again.</t>
  </si>
  <si>
    <t>BPR-009</t>
  </si>
  <si>
    <t>One customer cannot read or edit another customer's profile</t>
  </si>
  <si>
    <t>Two accounts exist: business.test01@example.com and business.test02@example.com.</t>
  </si>
  <si>
    <t>Swap the customer id in the request.</t>
  </si>
  <si>
    <t>Sign in as business.test01@example.com. In developer tools, note the profile request and the customer id it returns.</t>
  </si>
  <si>
    <t>You can see your own profile data.</t>
  </si>
  <si>
    <t>Replay the profile READ request with the other customer's id substituted.</t>
  </si>
  <si>
    <t>You receive your OWN profile or an authorisation error - never the other customer's data. The signed-in identity, not the id in the request, decides whose profile is returned.</t>
  </si>
  <si>
    <t>Replay the profile SAVE request with the other customer's id substituted and a changed company name.</t>
  </si>
  <si>
    <t>The other account is UNCHANGED. Verify in admin.</t>
  </si>
  <si>
    <t>Sign in as the other customer and confirm their data.</t>
  </si>
  <si>
    <t>Company name and all details are as they were.</t>
  </si>
  <si>
    <t>BPR-010</t>
  </si>
  <si>
    <t>An older account that predates the company columns still works</t>
  </si>
  <si>
    <t>Access to an account created before business/trade fields existed, or one with NULL status and verification columns. Ask the dev team to identify one; if none exists, mark Not Applicable.</t>
  </si>
  <si>
    <t>A legacy customer account.</t>
  </si>
  <si>
    <t>Sign in as the legacy account.</t>
  </si>
  <si>
    <t>Sign-in succeeds with no error.</t>
  </si>
  <si>
    <t>The account is treated as ACTIVE - a missing/NULL status is read as active, not as suspended.</t>
  </si>
  <si>
    <t>Open the profile.</t>
  </si>
  <si>
    <t>The page renders. Company fields are empty rather than causing an error.</t>
  </si>
  <si>
    <t>Add a product to the basket and view the price.</t>
  </si>
  <si>
    <t>Retail pricing applies. A legacy personal account gets no band pricing.</t>
  </si>
  <si>
    <t>Trade Registration</t>
  </si>
  <si>
    <t>A Trade account opens ACTIVE but with trade status PENDING, and buys at RETAIL until staff approve it. VAT number, trade type, expected spend and the resale confirmation are all REQUIRED for Trade - unlike Business, where VAT is optional.</t>
  </si>
  <si>
    <t>TRG-001</t>
  </si>
  <si>
    <t>Select Trade and confirm the Trade detail fields</t>
  </si>
  <si>
    <t>No user signed in.</t>
  </si>
  <si>
    <t>Open {storefront}/register and choose the Trade account type, then continue.</t>
  </si>
  <si>
    <t>The Details step opens with Trade-specific text explaining that the account works at retail prices immediately and trade pricing switches on after approval.</t>
  </si>
  <si>
    <t>List every field on the Trade Details step.</t>
  </si>
  <si>
    <t>Name, Email, Phone, Password + confirm, Company name, Trade (dropdown), VAT number, Company registration number, Billing address, Expected monthly spend (dropdown), Website, resale confirmation checkbox, marketing preferences, Terms.</t>
  </si>
  <si>
    <t>Open the Trade dropdown and read the options.</t>
  </si>
  <si>
    <t>Exactly seven: Computer / laptop repair shop | Phone and tablet repair | IT reseller or MSP | Games console repair | Electronics or appliance repair | Field engineer / sole trader | Other. NOTE "Electrical Contractor" is NOT an option - use "Field engineer / sole trader" or "Other".</t>
  </si>
  <si>
    <t>Open the Expected monthly spend dropdown.</t>
  </si>
  <si>
    <t>Exactly four: Under EUR 500 | EUR 500 - 2,000 | EUR 2,000 - 5,000 | Over EUR 5,000.</t>
  </si>
  <si>
    <t>Confirm there is NO "sector" field on the Trade form.</t>
  </si>
  <si>
    <t>Correct - sector belongs to Business; trade type is the Trade equivalent.</t>
  </si>
  <si>
    <t>Confirm there is NO "requires PO" or "credit application" checkbox on the Trade form.</t>
  </si>
  <si>
    <t>Correct - those are collected for Business accounts at registration. Record whether the PO preference can be set later from the Trade profile.</t>
  </si>
  <si>
    <t>TRG-002</t>
  </si>
  <si>
    <t>Complete a valid Trade registration end to end</t>
  </si>
  <si>
    <t>TRG-001 done. Email and phone unused.</t>
  </si>
  <si>
    <t>Name: James O'Brien | Email: trade.test01@example.com | Phone: +353861234567 | Password: Trade@2026Test! | Company: O'Brien Electrical Services Ltd | Trade: Field engineer / sole trader | VAT: IE7654321B | Company reg no: 654321 | Billing address: 42 Industrial Estate, Cork, Cork, T12 AB12, Ireland | Expected spend: EUR 2,000 - 5,000 | Website: https://example.com | Resale: ticked</t>
  </si>
  <si>
    <t>Enter Name: James O'Brien</t>
  </si>
  <si>
    <t>Accepted, apostrophe intact.</t>
  </si>
  <si>
    <t>Enter Email: trade.test01@example.com</t>
  </si>
  <si>
    <t>Enter Phone: +353861234567</t>
  </si>
  <si>
    <t>Enter Password: Trade@2026Test! twice.</t>
  </si>
  <si>
    <t>Accepted and matching.</t>
  </si>
  <si>
    <t>Enter Company name: O'Brien Electrical Services Ltd</t>
  </si>
  <si>
    <t>Choose Trade: Field engineer / sole trader</t>
  </si>
  <si>
    <t>Enter VAT number: IE7654321B</t>
  </si>
  <si>
    <t>Accepted. VAT is REQUIRED for Trade.</t>
  </si>
  <si>
    <t>Enter Company registration number: 654321</t>
  </si>
  <si>
    <t>Accepted (digits only).</t>
  </si>
  <si>
    <t>Enter Billing address: 42 Industrial Estate, Cork, Cork, T12 AB12, Ireland</t>
  </si>
  <si>
    <t>Choose Expected monthly spend: EUR 2,000 - 5,000</t>
  </si>
  <si>
    <t>Enter Website: https://example.com</t>
  </si>
  <si>
    <t>Tick the resale confirmation and the Terms box, then submit.</t>
  </si>
  <si>
    <t>Submits with no validation error and advances to the Verify step.</t>
  </si>
  <si>
    <t>Enter the verification code from the mail capture tool.</t>
  </si>
  <si>
    <t>Accepted; the wizard advances to the Security step.</t>
  </si>
  <si>
    <t>Skip two-factor and finish the wizard.</t>
  </si>
  <si>
    <t>The Done step confirms the account is created and states that trade pricing follows approval.</t>
  </si>
  <si>
    <t>Read the closing message carefully.</t>
  </si>
  <si>
    <t>It should say the account is ready at RETAIL prices and that an email will follow once the trade application is approved. Record the exact wording.</t>
  </si>
  <si>
    <t>TRG-003</t>
  </si>
  <si>
    <t>Verify the Trade application was created and is Pending</t>
  </si>
  <si>
    <t>TRG-002 complete.</t>
  </si>
  <si>
    <t>Email: trade.test01@example.com</t>
  </si>
  <si>
    <t>Sign in as trade.test01@example.com and open the dashboard.</t>
  </si>
  <si>
    <t>The dashboard loads and identifies the account as a Trade account.</t>
  </si>
  <si>
    <t>Read the account headline on the dashboard.</t>
  </si>
  <si>
    <t>It states the trade application is being reviewed / is pending. A trade customer waiting on approval can tell that something is happening. Record the exact wording.</t>
  </si>
  <si>
    <t>Confirm the dashboard does NOT claim trade pricing is active.</t>
  </si>
  <si>
    <t>No claim of trade or band pricing while the application is pending.</t>
  </si>
  <si>
    <t>In admin open {admin}/trade-applications.</t>
  </si>
  <si>
    <t>The application for trade.test01@example.com appears in the queue with status Pending.</t>
  </si>
  <si>
    <t>Open the application in admin.</t>
  </si>
  <si>
    <t>It shows the company name, VAT number, company registration number, trade type, expected spend, website and billing address exactly as submitted.</t>
  </si>
  <si>
    <t>Check the admin customer record for this account.</t>
  </si>
  <si>
    <t>Account type = trade; account status = active; trade status = pending; verification status = pending.</t>
  </si>
  <si>
    <t>TRG-004</t>
  </si>
  <si>
    <t>A pending Trade account must NOT get trade pricing</t>
  </si>
  <si>
    <t>TRG-003 complete - application still Pending.</t>
  </si>
  <si>
    <t>'testing product' (product ID 99240288, slug testing-product, retail EUR 505.00 ex VAT)</t>
  </si>
  <si>
    <t>Signed in as trade.test01@example.com, open the product page for 'testing product' (product ID 99240288, slug testing-product, retail EUR 505.00 ex VAT).</t>
  </si>
  <si>
    <t>The product page shows the RETAIL price of EUR 505.00 ex VAT.</t>
  </si>
  <si>
    <t>Confirm no quantity band table or trade price is advertised on the page.</t>
  </si>
  <si>
    <t>NO bands are offered. Advertising a band price the till will not honour is a critical defect.</t>
  </si>
  <si>
    <t>Add 10 units to the basket and open the basket.</t>
  </si>
  <si>
    <t>The basket unit price is EUR 505.00 ex VAT, not the band price of EUR 450.00. Line total EUR 5,050.00 ex VAT.</t>
  </si>
  <si>
    <t>Proceed to checkout and read the unit price and totals.</t>
  </si>
  <si>
    <t>Checkout also shows EUR 505.00 per unit. The basket, the product page and checkout all agree.</t>
  </si>
  <si>
    <t>Search for the product from the site search and read the price in the results.</t>
  </si>
  <si>
    <t>Retail EUR 505.00. No trade price leaks into search results.</t>
  </si>
  <si>
    <t>Open the category / listing page containing the product.</t>
  </si>
  <si>
    <t>Retail EUR 505.00 in the listing too.</t>
  </si>
  <si>
    <t>Empty the basket before continuing.</t>
  </si>
  <si>
    <t>Basket is empty, ready for the approval tests.</t>
  </si>
  <si>
    <t>TRG-005</t>
  </si>
  <si>
    <t>Required-field validation on the Trade form</t>
  </si>
  <si>
    <t>Trade Details step open with otherwise valid values, fresh email and phone.</t>
  </si>
  <si>
    <t>Remove one required field at a time.</t>
  </si>
  <si>
    <t>Clear Company name and submit.</t>
  </si>
  <si>
    <t>Refused: "Enter the company name."</t>
  </si>
  <si>
    <t>Restore it, clear the Trade dropdown and submit.</t>
  </si>
  <si>
    <t>Refused: "Choose the trade that best describes your work."</t>
  </si>
  <si>
    <t>Restore it, clear the VAT number and submit.</t>
  </si>
  <si>
    <t>Refused: "Enter your VAT number." VAT is REQUIRED for Trade, unlike Business.</t>
  </si>
  <si>
    <t>Restore it, clear the Billing address and submit.</t>
  </si>
  <si>
    <t>Refused: "We need a billing address for VAT invoices."</t>
  </si>
  <si>
    <t>Restore it, clear Expected monthly spend and submit.</t>
  </si>
  <si>
    <t>Refused: "Choose your expected monthly spend."</t>
  </si>
  <si>
    <t>Restore it, UNTICK the resale confirmation and submit.</t>
  </si>
  <si>
    <t>Refused: "Trade accounts need this confirmation."</t>
  </si>
  <si>
    <t>Restore everything, untick Terms and submit.</t>
  </si>
  <si>
    <t>Refused: "Tick the box to continue."</t>
  </si>
  <si>
    <t>Confirm no account or application was created by any refused attempt.</t>
  </si>
  <si>
    <t>Nothing in the admin trade queue for this email. A refused submission must not create a pending application.</t>
  </si>
  <si>
    <t>TRG-006</t>
  </si>
  <si>
    <t>Trade VAT and company number validation</t>
  </si>
  <si>
    <t>Trade Details step open, fresh email and phone.</t>
  </si>
  <si>
    <t>Invalid VAT: n/a | 12   Invalid CRO: IE654321   Taken VAT: IE7654321B</t>
  </si>
  <si>
    <t>Enter VAT "n/a" and submit.</t>
  </si>
  <si>
    <t>Refused: "That does not look like a VAT number. Enter it as it appears on your VAT certificate."</t>
  </si>
  <si>
    <t>Enter VAT "12" and submit.</t>
  </si>
  <si>
    <t>Enter company registration number "IE654321" and submit.</t>
  </si>
  <si>
    <t>REFUSED: "A company registration number is digits only."</t>
  </si>
  <si>
    <t>Enter company registration number "654321" and submit.</t>
  </si>
  <si>
    <t>Enter VAT IE7654321B, already held by the verified account from TRG-002, and submit.</t>
  </si>
  <si>
    <t>Refused: "That VAT number is already registered to another account. Sign in instead, or contact us."</t>
  </si>
  <si>
    <t>Enter a well-formed fictitious VAT such as IE8888888X and submit.</t>
  </si>
  <si>
    <t>ACCEPTED - format check only. VIES validation is Not Available / Not Implemented.</t>
  </si>
  <si>
    <t>TRG-007</t>
  </si>
  <si>
    <t>Duplicate email on Trade registration</t>
  </si>
  <si>
    <t>The verified Trade account from TRG-002 exists.</t>
  </si>
  <si>
    <t>Start a Trade registration using trade.test01@example.com and submit the Details step.</t>
  </si>
  <si>
    <t>Refused: "That email address already has an account. Sign in instead, or reset your password."</t>
  </si>
  <si>
    <t>Confirm the existing account and its application were not altered.</t>
  </si>
  <si>
    <t>In admin, the original application is still Pending with its original details and there is exactly one account for this email.</t>
  </si>
  <si>
    <t>Use trade.test02@example.com with phone +353861234599 instead.</t>
  </si>
  <si>
    <t>Accepted - the registration proceeds.</t>
  </si>
  <si>
    <t>TRG-008</t>
  </si>
  <si>
    <t>An incomplete Trade application cannot be approved into existence</t>
  </si>
  <si>
    <t>A Trade registration abandoned at the Verify step (code never entered).</t>
  </si>
  <si>
    <t>Email: trade.incomplete01@example.com | Phone: +353861234571</t>
  </si>
  <si>
    <t>Register a Trade account with trade.incomplete01@example.com and stop at the Verify step.</t>
  </si>
  <si>
    <t>An unverified customer row exists.</t>
  </si>
  <si>
    <t>Open {admin}/trade-applications and look for this applicant.</t>
  </si>
  <si>
    <t>Record whether an unverified applicant appears in the review queue. Note the finding either way - approving an applicant who never confirmed their email address would be worth raising.</t>
  </si>
  <si>
    <t>If the applicant is listed, attempt to approve them.</t>
  </si>
  <si>
    <t>Record the outcome in Actual Result and discuss with the dev team whether it is intended.</t>
  </si>
  <si>
    <t>Confirm the account still cannot sign in without verification.</t>
  </si>
  <si>
    <t>Sign-in is refused or forces verification until the emailed code is entered.</t>
  </si>
  <si>
    <t>TRG-009</t>
  </si>
  <si>
    <t>Browser refresh and navigation during Trade registration</t>
  </si>
  <si>
    <t>A Trade registration in progress.</t>
  </si>
  <si>
    <t>Values from TRG-002 with a fresh email.</t>
  </si>
  <si>
    <t>Fill the Trade Details step and refresh with F5 before submitting.</t>
  </si>
  <si>
    <t>The page reloads without a script error. Record whether values survive.</t>
  </si>
  <si>
    <t>Confirm no trade application was created by the refresh.</t>
  </si>
  <si>
    <t>Nothing in the admin queue for that email.</t>
  </si>
  <si>
    <t>Submit to reach the Verify step, then press the browser Back button.</t>
  </si>
  <si>
    <t>The application returns to an earlier step without crashing.</t>
  </si>
  <si>
    <t>Navigate forward again and complete verification.</t>
  </si>
  <si>
    <t>Exactly ONE account and ONE trade application exist for that email - not two.</t>
  </si>
  <si>
    <t>Change the account type from Trade to Business mid-way and complete a Business registration instead.</t>
  </si>
  <si>
    <t>The stored account is BUSINESS, with no trade application and no trade-only fields. Switching type must not leave trade data behind.</t>
  </si>
  <si>
    <t>TRG-010</t>
  </si>
  <si>
    <t>Session behaviour during a long registration</t>
  </si>
  <si>
    <t>Leave the form idle.</t>
  </si>
  <si>
    <t>Fill the Trade Details step, then leave the browser idle for 30 minutes without submitting.</t>
  </si>
  <si>
    <t>Record what happens on submit: either it succeeds, or a clear message asks you to start again. A silent failure or a raw error page is a defect.</t>
  </si>
  <si>
    <t>Complete a registration to the Verify step, then wait more than the code lifetime before entering the code.</t>
  </si>
  <si>
    <t>The code is REFUSED as expired and a new one can be requested. Verification codes expire by design.</t>
  </si>
  <si>
    <t>Request a fresh code and enter it.</t>
  </si>
  <si>
    <t>Accepted, and the account is verified.</t>
  </si>
  <si>
    <t>Enter a wrong code several times in a row.</t>
  </si>
  <si>
    <t>After the attempt limit the code is burned and must be re-requested. Brute-forcing the code must not be possible.</t>
  </si>
  <si>
    <t>Trade Approval</t>
  </si>
  <si>
    <t>Approval is the moment trade pricing switches on. It also marks the company details verified, so the two cannot drift apart. Approval is done from {admin}/trade-applications. There is no live push to the customer - the customer sees the change on their next page load.</t>
  </si>
  <si>
    <t>TAP-001</t>
  </si>
  <si>
    <t>Admin can open the trade review queue</t>
  </si>
  <si>
    <t>An admin account with the trade permission. A pending application exists for trade.test01@example.com.</t>
  </si>
  <si>
    <t>URL: {admin}/trade-applications</t>
  </si>
  <si>
    <t>Sign in to the admin panel.</t>
  </si>
  <si>
    <t>Admin dashboard loads.</t>
  </si>
  <si>
    <t>Open {admin}/trade-applications.</t>
  </si>
  <si>
    <t>The review queue loads and lists trade applicants.</t>
  </si>
  <si>
    <t>Find the application for trade.test01@example.com.</t>
  </si>
  <si>
    <t>It is listed, showing the company name and a status of Pending.</t>
  </si>
  <si>
    <t>Use the status filter to show only Pending applications.</t>
  </si>
  <si>
    <t>Only pending applications are listed and this one is among them.</t>
  </si>
  <si>
    <t>Filter by each of the other statuses in turn (Approved, Rejected, Suspended).</t>
  </si>
  <si>
    <t>Each filter returns only applications in that state. Record any filter that returns the wrong set.</t>
  </si>
  <si>
    <t>Search the queue by the customer email address.</t>
  </si>
  <si>
    <t>The search finds the application.</t>
  </si>
  <si>
    <t>TAP-002</t>
  </si>
  <si>
    <t>Review the submitted application before deciding</t>
  </si>
  <si>
    <t>TAP-001 done.</t>
  </si>
  <si>
    <t>Application for trade.test01@example.com</t>
  </si>
  <si>
    <t>Open the application for trade.test01@example.com.</t>
  </si>
  <si>
    <t>The detail view opens.</t>
  </si>
  <si>
    <t>Check the company name.</t>
  </si>
  <si>
    <t>Shows: O'Brien Electrical Services Ltd</t>
  </si>
  <si>
    <t>Check the VAT number.</t>
  </si>
  <si>
    <t>Shows: IE7654321B</t>
  </si>
  <si>
    <t>Check the company registration number.</t>
  </si>
  <si>
    <t>Shows: 654321</t>
  </si>
  <si>
    <t>Check the trade type and expected monthly spend.</t>
  </si>
  <si>
    <t>Shows: Field engineer / sole trader, and EUR 2,000 - 5,000.</t>
  </si>
  <si>
    <t>Check the billing address and website.</t>
  </si>
  <si>
    <t>Shows the Cork address as entered, and https://example.com</t>
  </si>
  <si>
    <t>Confirm the screen shows the current account state as well as the application.</t>
  </si>
  <si>
    <t>Account type, account status, trade status and verification status are all visible, so a decision can be made from this one screen.</t>
  </si>
  <si>
    <t>Confirm that merely opening and reading the application changes nothing.</t>
  </si>
  <si>
    <t>The status is still Pending and NO email has been sent. Reading the queue must never notify the customer.</t>
  </si>
  <si>
    <t>TAP-003</t>
  </si>
  <si>
    <t>Approve the application and confirm the state change</t>
  </si>
  <si>
    <t>TAP-002 done. Mail capture open so the email can be inspected.</t>
  </si>
  <si>
    <t>Decision: Approved | Reviewer note: Verified against CRO listing.</t>
  </si>
  <si>
    <t>Enter the reviewer note "Verified against CRO listing." and approve the application.</t>
  </si>
  <si>
    <t>The action succeeds and reports success.</t>
  </si>
  <si>
    <t>Read the response / confirmation shown to the admin.</t>
  </si>
  <si>
    <t>It reports that the transition happened and whether the customer was told. Record the wording.</t>
  </si>
  <si>
    <t>Refresh the admin page.</t>
  </si>
  <si>
    <t>The application now shows status Approved. The status survives a refresh - it was really persisted.</t>
  </si>
  <si>
    <t>Check the trade status on the admin customer record.</t>
  </si>
  <si>
    <t>Trade status = approved.</t>
  </si>
  <si>
    <t>Check the VERIFICATION status on the same record.</t>
  </si>
  <si>
    <t>Verification status = VERIFIED. Approving a trade application is also what marks the company details checked - the two cannot drift apart.</t>
  </si>
  <si>
    <t>Check the account status.</t>
  </si>
  <si>
    <t>Still active - account status and trade status are separate ladders and approval does not touch the account status.</t>
  </si>
  <si>
    <t>Confirm the pricing entitlement now shows as granted.</t>
  </si>
  <si>
    <t>The record shows the account IS entitled to business/band pricing.</t>
  </si>
  <si>
    <t>TAP-004</t>
  </si>
  <si>
    <t>The customer sees the approval and gets trade pricing</t>
  </si>
  <si>
    <t>TAP-003 done.</t>
  </si>
  <si>
    <t>Sign in to the storefront as trade.test01@example.com.</t>
  </si>
  <si>
    <t>Open the dashboard and read the account headline.</t>
  </si>
  <si>
    <t>It now states the trade account is approved. It no longer says the application is under review.</t>
  </si>
  <si>
    <t>Open the product page for 'testing product' (product ID 99240288, slug testing-product, retail EUR 505.00 ex VAT).</t>
  </si>
  <si>
    <t>Quantity bands are now advertised. The band table shows 5-10 at EUR 450.00, 11-20 at EUR 430.00 and 21-30 at EUR 420.00 ex VAT.</t>
  </si>
  <si>
    <t>Set the quantity to 1 and read the price.</t>
  </si>
  <si>
    <t>EUR 505.00 ex VAT - there is NO band below quantity 5, so retail applies. This is correct, not a defect.</t>
  </si>
  <si>
    <t>Set the quantity to 10 and read the price.</t>
  </si>
  <si>
    <t>EUR 450.00 ex VAT per unit.</t>
  </si>
  <si>
    <t>Unit price EUR 450.00 ex VAT; line total EUR 4,500.00 ex VAT.</t>
  </si>
  <si>
    <t>Checkout shows EUR 450.00 per unit and EUR 4,500.00 ex VAT. Product page, basket and checkout all agree.</t>
  </si>
  <si>
    <t>Check VAT at checkout.</t>
  </si>
  <si>
    <t>VAT is 23% of the BAND price: EUR 1,035.00 on a EUR 4,500.00 line, giving EUR 5,535.00 inc VAT. VAT must be charged on the band price, not on retail.</t>
  </si>
  <si>
    <t>Search for the product and open the category listing.</t>
  </si>
  <si>
    <t>Both show the entitled price, with the retail price struck through where a band undercuts it.</t>
  </si>
  <si>
    <t>TAP-005</t>
  </si>
  <si>
    <t>Approval persists across sign-out and sign-in</t>
  </si>
  <si>
    <t>TAP-004 done.</t>
  </si>
  <si>
    <t>Account: trade.test01@example.com</t>
  </si>
  <si>
    <t>Signed out.</t>
  </si>
  <si>
    <t>Sign back in as trade.test01@example.com.</t>
  </si>
  <si>
    <t>Still shows the trade account as approved.</t>
  </si>
  <si>
    <t>Open the product page at quantity 10.</t>
  </si>
  <si>
    <t>Still EUR 450.00 ex VAT. Entitlement is not lost at sign-out.</t>
  </si>
  <si>
    <t>Open the same account in a different browser or a private window and sign in.</t>
  </si>
  <si>
    <t>Same approved state and same band pricing - the entitlement lives on the account, not in one browser session.</t>
  </si>
  <si>
    <t>TAP-006</t>
  </si>
  <si>
    <t>Approving the same application twice</t>
  </si>
  <si>
    <t>The application for trade.test01@example.com is already Approved. Mail capture cleared.</t>
  </si>
  <si>
    <t>Decision: Approved (again)</t>
  </si>
  <si>
    <t>Clear the mail capture inbox.</t>
  </si>
  <si>
    <t>Inbox empty.</t>
  </si>
  <si>
    <t>In admin, approve the already-approved application a second time.</t>
  </si>
  <si>
    <t>The action is accepted without error, OR is reported as no transition. Record which. The status remains Approved either way.</t>
  </si>
  <si>
    <t>Check the mail capture inbox.</t>
  </si>
  <si>
    <t>NO second approval email was sent. An action that changes nothing must not re-notify the customer.</t>
  </si>
  <si>
    <t>Edit the reviewer note on the approved application and save.</t>
  </si>
  <si>
    <t>The note is updated and again NO email is sent. Editing the note after the decision must not re-notify.</t>
  </si>
  <si>
    <t>Confirm the customer still has trade pricing.</t>
  </si>
  <si>
    <t>Unchanged - EUR 450.00 at quantity 10.</t>
  </si>
  <si>
    <t>TAP-007</t>
  </si>
  <si>
    <t>Invalid and unauthorised approval attempts</t>
  </si>
  <si>
    <t>A pending application exists. A customer account is available to attempt the action with.</t>
  </si>
  <si>
    <t>POST {storefront}/api/admin/trade-application/action/{customerId}</t>
  </si>
  <si>
    <t>In admin, attempt to set the trade status to an unknown value such as "platinum".</t>
  </si>
  <si>
    <t>REFUSED. The status is unchanged and no email is sent.</t>
  </si>
  <si>
    <t>Attempt to SUSPEND an application that is still Pending.</t>
  </si>
  <si>
    <t>REFUSED - pending is not a state that can be suspended. Only an approved application can be suspended.</t>
  </si>
  <si>
    <t>Attempt a decision against a customer id that does not exist (for example 99999999).</t>
  </si>
  <si>
    <t>Refused cleanly with an error. No email is sent and no record is created.</t>
  </si>
  <si>
    <t>Sign out of admin entirely. Send the approval request with no authorisation.</t>
  </si>
  <si>
    <t>REFUSED as unauthenticated. NOTE: this API answers HTTP 201 with the refusal carried in the response BODY - check the body says "Unauthenticated.", do not judge by the HTTP status code alone.</t>
  </si>
  <si>
    <t>Sign in as the TRADE CUSTOMER and send the approval request for their own account.</t>
  </si>
  <si>
    <t>REFUSED. The customer cannot approve themselves. Verify in admin that the trade status is unchanged.</t>
  </si>
  <si>
    <t>Sign in as a different CUSTOMER and send the approval request for the trade applicant.</t>
  </si>
  <si>
    <t>Refused. Verify the trade status is unchanged.</t>
  </si>
  <si>
    <t>Confirm no email was sent by any refused attempt.</t>
  </si>
  <si>
    <t>Mail capture is empty. A refused transition must notify nobody.</t>
  </si>
  <si>
    <t>TAP-008</t>
  </si>
  <si>
    <t>Approval when the application is missing information</t>
  </si>
  <si>
    <t>A trade applicant registered with only the minimum required fields (no company registration number, no website).</t>
  </si>
  <si>
    <t>Email: trade.minimal01@example.com | Phone: +353861234572</t>
  </si>
  <si>
    <t>Register a Trade account with only the required fields - leave company registration number and website empty.</t>
  </si>
  <si>
    <t>Registration succeeds; those fields are optional.</t>
  </si>
  <si>
    <t>Open the application in the admin queue.</t>
  </si>
  <si>
    <t>The empty fields are shown as blank rather than causing an error or showing "null".</t>
  </si>
  <si>
    <t>Approve the application.</t>
  </si>
  <si>
    <t>Approval succeeds - the optional fields do not block a decision.</t>
  </si>
  <si>
    <t>Confirm the customer now gets band pricing.</t>
  </si>
  <si>
    <t>EUR 450.00 at quantity 10.</t>
  </si>
  <si>
    <t>Check the approval email for the missing values.</t>
  </si>
  <si>
    <t>The email reads sensibly and does not print "null" or an empty placeholder where the optional data would be.</t>
  </si>
  <si>
    <t>TAP-009</t>
  </si>
  <si>
    <t>An application with no recorded trade status can still be decided</t>
  </si>
  <si>
    <t>A trade account whose trade status is empty/NULL - ask the dev team to provide one, or mark Not Applicable.</t>
  </si>
  <si>
    <t>A legacy trade account.</t>
  </si>
  <si>
    <t>Open the admin customer record for the account with no trade status.</t>
  </si>
  <si>
    <t>The record opens. An absent trade status is treated as pending.</t>
  </si>
  <si>
    <t>Approval succeeds and the trade status becomes approved.</t>
  </si>
  <si>
    <t>Confirm the customer gets band pricing.</t>
  </si>
  <si>
    <t>Confirm the approval email was sent.</t>
  </si>
  <si>
    <t>One approval email in the mail capture inbox.</t>
  </si>
  <si>
    <t>TAP-010</t>
  </si>
  <si>
    <t>Two admins deciding the same application at once</t>
  </si>
  <si>
    <t>A pending application. Two admin sessions in different browsers.</t>
  </si>
  <si>
    <t>Both approve simultaneously.</t>
  </si>
  <si>
    <t>Open the same pending application in two separate admin sessions.</t>
  </si>
  <si>
    <t>Both show it as Pending.</t>
  </si>
  <si>
    <t>Approve from the first session.</t>
  </si>
  <si>
    <t>Succeeds and reports the transition. One approval email is sent.</t>
  </si>
  <si>
    <t>Without refreshing, approve from the second session.</t>
  </si>
  <si>
    <t>The second request reports NO transition (the status was already approved). The application remains Approved.</t>
  </si>
  <si>
    <t>Exactly ONE approval email in total. The losing request must not send a second one.</t>
  </si>
  <si>
    <t>Refresh both admin sessions.</t>
  </si>
  <si>
    <t>Both now show Approved.</t>
  </si>
  <si>
    <t>Trade Rejection</t>
  </si>
  <si>
    <t>Rejecting an application leaves the ACCOUNT open and usable at retail prices - rejection is terminal for the application, not for the customer. The reviewer note is internal; check carefully that it does not reach the customer.</t>
  </si>
  <si>
    <t>TRJ-001</t>
  </si>
  <si>
    <t>Create a Trade application to reject</t>
  </si>
  <si>
    <t>No account exists for trade.reject01@example.com.</t>
  </si>
  <si>
    <t>Email: trade.reject01@example.com | Phone: +353861234568 | Company: Reject Test Trading Ltd | Trade: Other | VAT: IE5555555R | Expected spend: Under EUR 500 | Password: Test@2026Secure!</t>
  </si>
  <si>
    <t>Register a Trade account with the data above and complete email verification.</t>
  </si>
  <si>
    <t>Account created.</t>
  </si>
  <si>
    <t>Sign in and confirm the dashboard says the application is pending.</t>
  </si>
  <si>
    <t>Pending status shown.</t>
  </si>
  <si>
    <t>Confirm the account gets NO band pricing while pending.</t>
  </si>
  <si>
    <t>Product page shows retail EUR 505.00 at every quantity, including quantity 10.</t>
  </si>
  <si>
    <t>Confirm the application appears in the admin queue as Pending.</t>
  </si>
  <si>
    <t>Listed as Pending.</t>
  </si>
  <si>
    <t>TRJ-002</t>
  </si>
  <si>
    <t>Reject the application and verify the state</t>
  </si>
  <si>
    <t>TRJ-001 done. Mail capture cleared.</t>
  </si>
  <si>
    <t>Decision: Rejected | Reviewer note: Could not verify the company at the address given.</t>
  </si>
  <si>
    <t>Empty.</t>
  </si>
  <si>
    <t>In admin, open the application and reject it with the note "Could not verify the company at the address given."</t>
  </si>
  <si>
    <t>The action succeeds and reports the transition.</t>
  </si>
  <si>
    <t>Status is Rejected and survives the refresh.</t>
  </si>
  <si>
    <t>Trade status = rejected.</t>
  </si>
  <si>
    <t>Check the ACCOUNT status on the same record.</t>
  </si>
  <si>
    <t>Account status is still ACTIVE. Rejecting the trade application must not suspend or close the customer account.</t>
  </si>
  <si>
    <t>Check the verification status.</t>
  </si>
  <si>
    <t>Record the value. Rejection does not mark the company details verified.</t>
  </si>
  <si>
    <t>Confirm the pricing entitlement is NOT granted.</t>
  </si>
  <si>
    <t>The record shows no business/band pricing entitlement.</t>
  </si>
  <si>
    <t>TRJ-003</t>
  </si>
  <si>
    <t>The rejected customer can still shop at retail</t>
  </si>
  <si>
    <t>TRJ-002 done.</t>
  </si>
  <si>
    <t>Sign in to the storefront as trade.reject01@example.com.</t>
  </si>
  <si>
    <t>Sign-in SUCCEEDS - the account is still open.</t>
  </si>
  <si>
    <t>Open the dashboard and read the headline.</t>
  </si>
  <si>
    <t>It states the trade application was not approved. Record the exact wording - it should be clear and should offer a way to get in touch.</t>
  </si>
  <si>
    <t>Confirm the dashboard does NOT show the internal reviewer note.</t>
  </si>
  <si>
    <t>The internal note "Could not verify the company at the address given." must NOT appear verbatim on the customer dashboard unless it was explicitly written as a customer-facing reason. Record what is shown.</t>
  </si>
  <si>
    <t>Open the product page at quantity 1, 5, 10 and 25.</t>
  </si>
  <si>
    <t>EVERY quantity shows retail EUR 505.00 ex VAT. No bands are advertised.</t>
  </si>
  <si>
    <t>Add 10 units to the basket.</t>
  </si>
  <si>
    <t>Basket shows EUR 505.00 per unit, EUR 5,050.00 ex VAT.</t>
  </si>
  <si>
    <t>Proceed to checkout.</t>
  </si>
  <si>
    <t>Checkout shows EUR 505.00 per unit. Retail pricing is consistent across product page, basket and checkout.</t>
  </si>
  <si>
    <t>Place a retail order to confirm the account still transacts.</t>
  </si>
  <si>
    <t>The order is accepted. A rejected trade application does not stop the customer buying at retail.</t>
  </si>
  <si>
    <t>TRJ-004</t>
  </si>
  <si>
    <t>Rejecting the same application twice</t>
  </si>
  <si>
    <t>The application is already Rejected. Mail capture cleared.</t>
  </si>
  <si>
    <t>Decision: Rejected (again)</t>
  </si>
  <si>
    <t>Reject the already-rejected application again.</t>
  </si>
  <si>
    <t>Accepted without error, or reported as no transition. Status remains Rejected.</t>
  </si>
  <si>
    <t>NO second rejection email. A repeated identical action must not re-notify.</t>
  </si>
  <si>
    <t>Edit the reviewer note and save.</t>
  </si>
  <si>
    <t>Note updated, and still NO email sent.</t>
  </si>
  <si>
    <t>TRJ-005</t>
  </si>
  <si>
    <t>Unauthorised rejection attempts</t>
  </si>
  <si>
    <t>A pending application exists.</t>
  </si>
  <si>
    <t>Sign out of admin and send a rejection request with no authorisation.</t>
  </si>
  <si>
    <t>REFUSED - the response body reports "Unauthenticated." (the HTTP code is 201; judge by the body).</t>
  </si>
  <si>
    <t>Sign in as a customer and send a rejection request for another customer.</t>
  </si>
  <si>
    <t>Refused. The trade status is unchanged.</t>
  </si>
  <si>
    <t>Sign in as the applicant themselves and send a rejection for their own account.</t>
  </si>
  <si>
    <t>Refused. Status unchanged.</t>
  </si>
  <si>
    <t>Confirm no email was sent by any of these attempts.</t>
  </si>
  <si>
    <t>Mail capture empty.</t>
  </si>
  <si>
    <t>TRJ-006</t>
  </si>
  <si>
    <t>Rejection with no reason, and with an over-long reason</t>
  </si>
  <si>
    <t>Two pending applications available (register more accounts if needed).</t>
  </si>
  <si>
    <t>Note: empty | Note: a single space | Note: 2000 characters of text</t>
  </si>
  <si>
    <t>Reject an application with the note field left completely EMPTY.</t>
  </si>
  <si>
    <t>The rejection succeeds. An email is still sent and reads sensibly with no dangling "Reason:" label and no "null".</t>
  </si>
  <si>
    <t>Reject another application with a note consisting only of a single SPACE.</t>
  </si>
  <si>
    <t>Treated as NO note at all - the email must not contain a blank reason block.</t>
  </si>
  <si>
    <t>Reject another with a 2000-character note.</t>
  </si>
  <si>
    <t>Accepted. The note is SHORTENED rather than sent whole. Check the email is not broken by the length.</t>
  </si>
  <si>
    <t>Read the shortened note in the email.</t>
  </si>
  <si>
    <t>It is truncated cleanly and remains readable.</t>
  </si>
  <si>
    <t>TRJ-007</t>
  </si>
  <si>
    <t>Internal detail must not reach the customer</t>
  </si>
  <si>
    <t>A pending application. Mail capture open.</t>
  </si>
  <si>
    <t>Note: INTERNAL - credit check failed, see ticket #4471, do not tell customer</t>
  </si>
  <si>
    <t>Reject an application with the note "INTERNAL - credit check failed, see ticket #4471, do not tell customer".</t>
  </si>
  <si>
    <t>The rejection succeeds.</t>
  </si>
  <si>
    <t>Open the rejection email and read it in full, including the plain-text part.</t>
  </si>
  <si>
    <t>Record exactly whether the note text appears. Anything that exposes an internal ticket reference or an internal instruction to the customer is a CRITICAL defect - raise it.</t>
  </si>
  <si>
    <t>Check the customer dashboard for the same text.</t>
  </si>
  <si>
    <t>Record whether it is shown.</t>
  </si>
  <si>
    <t>Check the email for any other internal detail.</t>
  </si>
  <si>
    <t>The email must not contain database ids, stack traces, internal URLs, admin names or system paths.</t>
  </si>
  <si>
    <t>Trigger an internal error during a decision if you can (ask the dev team).</t>
  </si>
  <si>
    <t>Any error shown to the customer is a generic message, never a stack trace or a database error.</t>
  </si>
  <si>
    <t>TRJ-008</t>
  </si>
  <si>
    <t>Rejected then back to Pending then Approved</t>
  </si>
  <si>
    <t>The application for trade.reject01@example.com is Rejected. Mail capture cleared.</t>
  </si>
  <si>
    <t>Transitions: Rejected &gt; Pending &gt; Approved</t>
  </si>
  <si>
    <t>In admin, move the rejected application back to Pending.</t>
  </si>
  <si>
    <t>ACCEPTED - rejection is NOT terminal for a trade application; a customer can be reconsidered. (Contrast with a rejected ACCOUNT, which is terminal.)</t>
  </si>
  <si>
    <t>Check the mail capture inbox after moving to Pending.</t>
  </si>
  <si>
    <t>Record whether an email was sent for the move back to pending. Note the finding.</t>
  </si>
  <si>
    <t>Confirm the customer still has no band pricing while Pending.</t>
  </si>
  <si>
    <t>Retail EUR 505.00 at quantity 10.</t>
  </si>
  <si>
    <t>Now approve the application.</t>
  </si>
  <si>
    <t>Approval succeeds.</t>
  </si>
  <si>
    <t>A NEW approval email is sent. A genuine new transition must notify the customer even though they were notified of the earlier rejection.</t>
  </si>
  <si>
    <t>Sign in as the customer and check pricing at quantity 10.</t>
  </si>
  <si>
    <t>EUR 450.00 ex VAT - trade pricing is now active.</t>
  </si>
  <si>
    <t>Confirm the dashboard headline now says approved.</t>
  </si>
  <si>
    <t>No trace of the earlier rejection in the current status.</t>
  </si>
  <si>
    <t>Trade Suspension</t>
  </si>
  <si>
    <t>There are TWO separate ways pricing can be withdrawn: suspending the ACCOUNT (status), and suspending the TRADE STATUS. They are different ladders with different effects - the account suspension also stops the customer ordering at all. Test both.</t>
  </si>
  <si>
    <t>TSU-001</t>
  </si>
  <si>
    <t>Prepare an approved Trade account to suspend</t>
  </si>
  <si>
    <t>No account for trade.suspend01@example.com.</t>
  </si>
  <si>
    <t>Email: trade.suspend01@example.com | Phone: +353861234569 | Company: Suspend Test Ltd | Trade: IT reseller or MSP | VAT: IE6666666S | Expected spend: Over EUR 5,000 | Password: Test@2026Secure!</t>
  </si>
  <si>
    <t>Register the Trade account above and complete email verification.</t>
  </si>
  <si>
    <t>Account created, application Pending.</t>
  </si>
  <si>
    <t>In admin, approve the application.</t>
  </si>
  <si>
    <t>Sign in as the customer and confirm band pricing at quantity 10.</t>
  </si>
  <si>
    <t>EUR 450.00 ex VAT.</t>
  </si>
  <si>
    <t>Leave 10 units of 'testing product' (product ID 99240288, slug testing-product, retail EUR 505.00 ex VAT) in the basket and sign out.</t>
  </si>
  <si>
    <t>Basket holds 10 units priced at the band rate.</t>
  </si>
  <si>
    <t>TSU-002</t>
  </si>
  <si>
    <t>Suspend the TRADE STATUS and verify pricing is withdrawn</t>
  </si>
  <si>
    <t>TSU-001 done.</t>
  </si>
  <si>
    <t>Trade status: Suspended</t>
  </si>
  <si>
    <t>In admin, set the TRADE STATUS of the account to Suspended.</t>
  </si>
  <si>
    <t>Accepted - an approved application can be suspended.</t>
  </si>
  <si>
    <t>Refresh admin and confirm the state.</t>
  </si>
  <si>
    <t>Trade status = suspended. ACCOUNT status is still active.</t>
  </si>
  <si>
    <t>Confirm the pricing entitlement is withdrawn on the admin record.</t>
  </si>
  <si>
    <t>No business/band pricing entitlement.</t>
  </si>
  <si>
    <t>Sign in as the customer and open the product page at quantity 10.</t>
  </si>
  <si>
    <t>Back to RETAIL EUR 505.00 ex VAT. No bands advertised.</t>
  </si>
  <si>
    <t>Open the basket that still holds 10 units.</t>
  </si>
  <si>
    <t>The basket has RE-PRICED to EUR 505.00 per unit, EUR 5,050.00 ex VAT. A basket priced while the entitlement stood must not keep the old rate.</t>
  </si>
  <si>
    <t>Checkout also shows EUR 505.00. Basket and checkout agree.</t>
  </si>
  <si>
    <t>Both show retail EUR 505.00 with no struck-through band price.</t>
  </si>
  <si>
    <t>Confirm the customer can STILL place an order.</t>
  </si>
  <si>
    <t>Ordering works at retail - suspending trade status withdraws pricing only, it does not stop the customer buying.</t>
  </si>
  <si>
    <t>TSU-003</t>
  </si>
  <si>
    <t>Reinstate the trade status</t>
  </si>
  <si>
    <t>TSU-002 done.</t>
  </si>
  <si>
    <t>Trade status: Approved</t>
  </si>
  <si>
    <t>In admin, set the trade status back to Approved.</t>
  </si>
  <si>
    <t>Accepted - a suspended application can be reinstated.</t>
  </si>
  <si>
    <t>Band pricing is back: EUR 450.00 ex VAT.</t>
  </si>
  <si>
    <t>Open the basket.</t>
  </si>
  <si>
    <t>The basket has re-priced to EUR 450.00 per unit.</t>
  </si>
  <si>
    <t>Record whether suspending or reinstating the trade status sends the customer an email. Note the finding - the approval/rejection emails are the documented ones.</t>
  </si>
  <si>
    <t>TSU-004</t>
  </si>
  <si>
    <t>Suspend the ACCOUNT and verify it stops ordering</t>
  </si>
  <si>
    <t>TSU-003 done - the account is approved with band pricing and holds 10 units in the basket.</t>
  </si>
  <si>
    <t>Account status: Suspended | Note: Payment dispute under review</t>
  </si>
  <si>
    <t>In admin, set the ACCOUNT STATUS to Suspended with the note "Payment dispute under review".</t>
  </si>
  <si>
    <t>Accepted - an active account can be suspended.</t>
  </si>
  <si>
    <t>Account status = suspended. TRADE status is still approved - suspending the account does not touch the application.</t>
  </si>
  <si>
    <t>Confirm the pricing entitlement is withdrawn.</t>
  </si>
  <si>
    <t>No entitlement - a suspended account gets no band pricing even though its trade application is still approved.</t>
  </si>
  <si>
    <t>While the customer is still signed in in another browser, have them load any account page.</t>
  </si>
  <si>
    <t>They are signed out automatically and sent to the sign-in page with the message "Your account has been suspended. Please contact support for assistance." Suspension ends every open session; it does not wait for the next sign-in.</t>
  </si>
  <si>
    <t>Attempt to sign in as the customer.</t>
  </si>
  <si>
    <t>REFUSED with "Your account has been suspended. Please contact support for assistance." No session is created and the customer does not reach the dashboard.</t>
  </si>
  <si>
    <t>Confirm the refusal does not repeat the internal note.</t>
  </si>
  <si>
    <t>The words "Payment dispute under review" appear nowhere - that note is a staff remark.</t>
  </si>
  <si>
    <t>Signed out, open the product page at quantity 10.</t>
  </si>
  <si>
    <t>The shop front still works and shows RETAIL EUR 505.00. Suspension blocks the account, not browsing.</t>
  </si>
  <si>
    <t>Attempt to reach the account pages directly by URL while signed out.</t>
  </si>
  <si>
    <t>Refused / redirected to sign-in. See the Suspended Account Access sheet for the full set.</t>
  </si>
  <si>
    <t>TSU-005</t>
  </si>
  <si>
    <t>Suspension persists and is reversible</t>
  </si>
  <si>
    <t>TSU-004 done.</t>
  </si>
  <si>
    <t>Account status: Suspended, then Active</t>
  </si>
  <si>
    <t>Attempt to sign in again as the suspended customer.</t>
  </si>
  <si>
    <t>Still refused with the same suspension message.</t>
  </si>
  <si>
    <t>Attempt to sign in from a different browser.</t>
  </si>
  <si>
    <t>Also refused. The block lives on the account, not on one session.</t>
  </si>
  <si>
    <t>In admin, return the account status to Active.</t>
  </si>
  <si>
    <t>Accepted - a suspended account can be brought back.</t>
  </si>
  <si>
    <t>Sign in as the customer and read the dashboard.</t>
  </si>
  <si>
    <t>The suspension message is gone.</t>
  </si>
  <si>
    <t>Band pricing is back at EUR 450.00 - because the trade status was still approved underneath, reactivating restores the entitlement immediately.</t>
  </si>
  <si>
    <t>Place an order.</t>
  </si>
  <si>
    <t>TSU-006</t>
  </si>
  <si>
    <t>Invalid account-status transitions are refused</t>
  </si>
  <si>
    <t>An active account and a rejected account are available.</t>
  </si>
  <si>
    <t>Transitions to attempt.</t>
  </si>
  <si>
    <t>In admin, attempt to move an ACTIVE account straight to Rejected.</t>
  </si>
  <si>
    <t>REFUSED - an active account cannot jump straight to rejected. Record the message.</t>
  </si>
  <si>
    <t>Attempt to set an account status to an unknown value such as "frozen".</t>
  </si>
  <si>
    <t>REFUSED. Status unchanged.</t>
  </si>
  <si>
    <t>Move an account to the status it ALREADY has (active to active).</t>
  </si>
  <si>
    <t>Allowed - a no-op transition is permitted and changes nothing.</t>
  </si>
  <si>
    <t>Ask the dev team to put an account into Rejected, then attempt to reactivate it.</t>
  </si>
  <si>
    <t>REFUSED - rejected is TERMINAL for an ACCOUNT. (Note the contrast: rejected is NOT terminal for a trade APPLICATION - see TRJ-008.)</t>
  </si>
  <si>
    <t>TSU-007</t>
  </si>
  <si>
    <t>Withdrawing trade status does not disturb the account, and vice versa</t>
  </si>
  <si>
    <t>An approved trade account that is active.</t>
  </si>
  <si>
    <t>Change one axis at a time.</t>
  </si>
  <si>
    <t>Note the current account status and trade status.</t>
  </si>
  <si>
    <t>Account active, trade approved.</t>
  </si>
  <si>
    <t>Suspend the TRADE status only.</t>
  </si>
  <si>
    <t>Trade suspended; ACCOUNT still active; the customer can still order, at retail.</t>
  </si>
  <si>
    <t>Return trade status to approved, then suspend the ACCOUNT only.</t>
  </si>
  <si>
    <t>Account suspended; TRADE status still approved; the customer cannot order at all.</t>
  </si>
  <si>
    <t>Return the account to active.</t>
  </si>
  <si>
    <t>Both axes back to their original values; band pricing restored.</t>
  </si>
  <si>
    <t>Confirm the two were never changed together by a single action.</t>
  </si>
  <si>
    <t>Account status and trade status are independent. An action on one must not silently move the other. The one documented exception is that APPROVING a trade application also marks verification verified.</t>
  </si>
  <si>
    <t>Pricing &amp; Quantity Bands</t>
  </si>
  <si>
    <t>Band prices for 'testing product' (product ID 99240288, slug testing-product, retail EUR 505.00 ex VAT): quantity 5-10 = EUR 450.00, 11-20 = EUR 430.00, 21-30 = EUR 420.00 (all ex VAT). There is NO band below 5 and NO band above 30 - those quantities pay retail EUR 505.00. A band NEVER charges above the retail price. Verify the band figures in {admin}/business-products before starting.</t>
  </si>
  <si>
    <t>PQB-001</t>
  </si>
  <si>
    <t>Confirm the band configuration in admin before testing</t>
  </si>
  <si>
    <t>Admin access.</t>
  </si>
  <si>
    <t>URL: {admin}/business-products</t>
  </si>
  <si>
    <t>Open {admin}/business-products.</t>
  </si>
  <si>
    <t>The list loads, showing one row per product that has bands, with a count of bands.</t>
  </si>
  <si>
    <t>Find 'testing product' (product ID 99240288, slug testing-product, retail EUR 505.00 ex VAT) and note the number of bands.</t>
  </si>
  <si>
    <t>The product is listed with 3 bands.</t>
  </si>
  <si>
    <t>Open the product's band ladder.</t>
  </si>
  <si>
    <t>Three bands, in quantity order: 5-10, 11-20, 21-30.</t>
  </si>
  <si>
    <t>Record the final price of each band.</t>
  </si>
  <si>
    <t>EUR 450.00, EUR 430.00 and EUR 420.00 respectively. If these differ, update the expected values throughout this sheet and the Cart, VAT and Checkout sheets before continuing.</t>
  </si>
  <si>
    <t>Confirm the retail selling price of the product.</t>
  </si>
  <si>
    <t>EUR 505.00 ex VAT.</t>
  </si>
  <si>
    <t>Confirm there is no band covering quantity 1-4 or 31+.</t>
  </si>
  <si>
    <t>Correct - those quantities fall back to retail. This is the configured data, not a defect.</t>
  </si>
  <si>
    <t>PQB-002</t>
  </si>
  <si>
    <t>Quantity 1 - below the first band</t>
  </si>
  <si>
    <t>Signed in as the approved Trade account trade.test01@example.com (or the Business account).</t>
  </si>
  <si>
    <t>Quantity: 1</t>
  </si>
  <si>
    <t>Open the product page and set quantity to 1.</t>
  </si>
  <si>
    <t>Unit price EUR 505.00 ex VAT - retail, because no band covers quantity 1.</t>
  </si>
  <si>
    <t>Add 1 unit to the basket and open the basket.</t>
  </si>
  <si>
    <t>EUR 505.00 ex VAT, line total EUR 505.00.</t>
  </si>
  <si>
    <t>Open checkout.</t>
  </si>
  <si>
    <t>EUR 505.00 ex VAT, VAT EUR 116.15, total EUR 621.15 inc VAT.</t>
  </si>
  <si>
    <t>Check the price in the search results and the category listing.</t>
  </si>
  <si>
    <t>Both show a price consistent with the product page for a single unit.</t>
  </si>
  <si>
    <t>PQB-003</t>
  </si>
  <si>
    <t>Quantity 5 - the first band boundary</t>
  </si>
  <si>
    <t>Signed in as an entitled account.</t>
  </si>
  <si>
    <t>Quantity: 5</t>
  </si>
  <si>
    <t>Set the product quantity to 4.</t>
  </si>
  <si>
    <t>EUR 505.00 ex VAT - still below the band.</t>
  </si>
  <si>
    <t>Set the quantity to 5.</t>
  </si>
  <si>
    <t>Drops to EUR 450.00 ex VAT - the 5-10 band begins exactly at 5.</t>
  </si>
  <si>
    <t>Add 5 units to the basket.</t>
  </si>
  <si>
    <t>Unit EUR 450.00, line total EUR 2,250.00 ex VAT.</t>
  </si>
  <si>
    <t>EUR 2,250.00 ex VAT, VAT EUR 517.50, total EUR 2,767.50 inc VAT.</t>
  </si>
  <si>
    <t>PQB-004</t>
  </si>
  <si>
    <t>Quantity 10 - inside the first band</t>
  </si>
  <si>
    <t>Quantity: 10</t>
  </si>
  <si>
    <t>Set the quantity to 10.</t>
  </si>
  <si>
    <t>EUR 450.00 ex VAT per unit - still the 5-10 band.</t>
  </si>
  <si>
    <t>Add 10 to the basket.</t>
  </si>
  <si>
    <t>Line total EUR 4,500.00 ex VAT.</t>
  </si>
  <si>
    <t>EUR 4,500.00 ex VAT, VAT EUR 1,035.00, total EUR 5,535.00 inc VAT.</t>
  </si>
  <si>
    <t>Set the quantity to 11 in the basket.</t>
  </si>
  <si>
    <t>Unit price drops to EUR 430.00 - crossing into the 11-20 band. Line total EUR 4,730.00 ex VAT.</t>
  </si>
  <si>
    <t>PQB-005</t>
  </si>
  <si>
    <t>Quantity 25 - the third band</t>
  </si>
  <si>
    <t>Quantity: 25</t>
  </si>
  <si>
    <t>Set the quantity to 20.</t>
  </si>
  <si>
    <t>EUR 430.00 ex VAT per unit - top of the 11-20 band.</t>
  </si>
  <si>
    <t>Set the quantity to 21.</t>
  </si>
  <si>
    <t>EUR 420.00 ex VAT - the 21-30 band begins.</t>
  </si>
  <si>
    <t>Set the quantity to 25.</t>
  </si>
  <si>
    <t>EUR 420.00 ex VAT per unit, line total EUR 10,500.00 ex VAT.</t>
  </si>
  <si>
    <t>EUR 10,500.00 ex VAT, VAT EUR 2,415.00, total EUR 12,915.00 inc VAT.</t>
  </si>
  <si>
    <t>Set the quantity to 30.</t>
  </si>
  <si>
    <t>EUR 420.00 ex VAT - top of the last band.</t>
  </si>
  <si>
    <t>PQB-006</t>
  </si>
  <si>
    <t>Quantity 31 - above the top band</t>
  </si>
  <si>
    <t>Quantity: 31</t>
  </si>
  <si>
    <t>Set the quantity to 31.</t>
  </si>
  <si>
    <t>Unit price returns to RETAIL EUR 505.00 ex VAT. The top band stops at 30 and there is no open-ended band above it.</t>
  </si>
  <si>
    <t>Check the basket at quantity 31.</t>
  </si>
  <si>
    <t>EUR 505.00 per unit, line total EUR 15,655.00 ex VAT.</t>
  </si>
  <si>
    <t>Confirm this is the configured behaviour and not a bug.</t>
  </si>
  <si>
    <t>Correct for this data set - the ladder simply ends at 30. Record it as an observation for the business (buying 31 costs more than buying 30), but do NOT raise it as a functional defect.</t>
  </si>
  <si>
    <t>Compare the cost of 30 units against 31 units.</t>
  </si>
  <si>
    <t>30 units = EUR 12,600.00 ex VAT; 31 units = EUR 15,655.00 ex VAT. Note this in Tester Comments for the product owner.</t>
  </si>
  <si>
    <t>PQB-007</t>
  </si>
  <si>
    <t>Crossing a threshold up and back down</t>
  </si>
  <si>
    <t>Signed in as an entitled account. Basket empty.</t>
  </si>
  <si>
    <t>Quantities 4 &gt; 5 &gt; 4 &gt; 11 &gt; 10</t>
  </si>
  <si>
    <t>Add 4 units to the basket.</t>
  </si>
  <si>
    <t>EUR 505.00 per unit.</t>
  </si>
  <si>
    <t>Increase the basket quantity to 5.</t>
  </si>
  <si>
    <t>Re-prices to EUR 450.00 per unit immediately.</t>
  </si>
  <si>
    <t>Decrease it back to 4.</t>
  </si>
  <si>
    <t>Returns to EUR 505.00 per unit. Coming back below the threshold must lose the band price.</t>
  </si>
  <si>
    <t>Increase to 11.</t>
  </si>
  <si>
    <t>EUR 430.00 per unit.</t>
  </si>
  <si>
    <t>Decrease to 10.</t>
  </si>
  <si>
    <t>Returns to EUR 450.00 per unit.</t>
  </si>
  <si>
    <t>Refresh the basket page.</t>
  </si>
  <si>
    <t>The price still matches the current quantity - the displayed price is derived, not a stale stored value.</t>
  </si>
  <si>
    <t>PQB-008</t>
  </si>
  <si>
    <t>A band never charges above the retail price</t>
  </si>
  <si>
    <t>Admin access to edit bands. Use a DIFFERENT product from the main one so the pack's figures stay intact, or restore the bands afterwards.</t>
  </si>
  <si>
    <t>Band wholesale price set deliberately ABOVE retail.</t>
  </si>
  <si>
    <t>In {admin}/business-products, pick a test product and note its retail price.</t>
  </si>
  <si>
    <t>Retail price recorded.</t>
  </si>
  <si>
    <t>Create a band for quantity 1 and upwards with a wholesale price HIGHER than the retail price (for example retail + 200).</t>
  </si>
  <si>
    <t>The band saves.</t>
  </si>
  <si>
    <t>Sign in as an entitled account and open that product at quantity 1.</t>
  </si>
  <si>
    <t>The price shown is the RETAIL price, NOT the higher band price. A band can only ever reduce a price, never raise it.</t>
  </si>
  <si>
    <t>Add it to the basket and check the basket and checkout price.</t>
  </si>
  <si>
    <t>Retail price in both. The cap holds everywhere, not just on the product page.</t>
  </si>
  <si>
    <t>Delete the test band afterwards.</t>
  </si>
  <si>
    <t>Band removed; the product is back to retail-only.</t>
  </si>
  <si>
    <t>PQB-009</t>
  </si>
  <si>
    <t>Who is and is not offered bands</t>
  </si>
  <si>
    <t>Accounts available: guest (signed out), personal, business, trade pending, trade approved, trade rejected, trade suspended, suspended account.</t>
  </si>
  <si>
    <t>'testing product' (product ID 99240288, slug testing-product, retail EUR 505.00 ex VAT) at quantity 10</t>
  </si>
  <si>
    <t>Signed OUT (guest), open the product page at quantity 10.</t>
  </si>
  <si>
    <t>NO bands advertised. Retail EUR 505.00.</t>
  </si>
  <si>
    <t>Sign in as a PERSONAL account and check quantity 10.</t>
  </si>
  <si>
    <t>NO bands. Retail EUR 505.00.</t>
  </si>
  <si>
    <t>Sign in as the BUSINESS account and check quantity 10.</t>
  </si>
  <si>
    <t>Bands ARE offered. EUR 450.00. A business account qualifies from signup.</t>
  </si>
  <si>
    <t>Sign in as a trade account with a PENDING application.</t>
  </si>
  <si>
    <t>Sign in as a trade account that was REJECTED.</t>
  </si>
  <si>
    <t>Sign in as a trade account that is APPROVED.</t>
  </si>
  <si>
    <t>Bands offered. EUR 450.00.</t>
  </si>
  <si>
    <t>Sign in as an approved trade account whose TRADE STATUS is suspended.</t>
  </si>
  <si>
    <t>Sign in as an approved trade account whose ACCOUNT is suspended.</t>
  </si>
  <si>
    <t>PQB-010</t>
  </si>
  <si>
    <t>The advertised band price is the price actually charged</t>
  </si>
  <si>
    <t>Quantity 10 - advertised EUR 450.00</t>
  </si>
  <si>
    <t>Read the band price advertised on the product page at quantity 10.</t>
  </si>
  <si>
    <t>Add 10 to the basket and read the basket unit price.</t>
  </si>
  <si>
    <t>EUR 450.00 - identical to the advertised figure.</t>
  </si>
  <si>
    <t>Open checkout and read the unit price.</t>
  </si>
  <si>
    <t>EUR 450.00.</t>
  </si>
  <si>
    <t>Place the order and open the order confirmation.</t>
  </si>
  <si>
    <t>EUR 450.00 per unit, EUR 4,500.00 ex VAT.</t>
  </si>
  <si>
    <t>Open the order in admin.</t>
  </si>
  <si>
    <t>EUR 450.00 per unit.</t>
  </si>
  <si>
    <t>Open the invoice.</t>
  </si>
  <si>
    <t>EUR 450.00 per unit. The advertised price, the basket, checkout, the order and the invoice must all be the same figure - the store must never advertise a rate the till will not honour.</t>
  </si>
  <si>
    <t>PQB-011</t>
  </si>
  <si>
    <t>Admin band editing - validation</t>
  </si>
  <si>
    <t>Admin access. Use a scratch product so the main test data is untouched.</t>
  </si>
  <si>
    <t>Overlapping and invalid bands.</t>
  </si>
  <si>
    <t>In {admin}/business-products, create bands 1-10 and 5-20 on a scratch product and save.</t>
  </si>
  <si>
    <t>REFUSED - the ranges overlap. The message names the row that overlaps. Nothing is saved.</t>
  </si>
  <si>
    <t>Create two open-ended bands (10 upwards and 20 upwards) and save.</t>
  </si>
  <si>
    <t>REFUSED - two open-ended bands overlap each other.</t>
  </si>
  <si>
    <t>Create touching bands 1-9 and 10 upwards and save.</t>
  </si>
  <si>
    <t>ACCEPTED - touching ranges do not overlap.</t>
  </si>
  <si>
    <t>Create a band with a minimum quantity of 0 and save.</t>
  </si>
  <si>
    <t>REFUSED - the minimum quantity must be at least 1.</t>
  </si>
  <si>
    <t>Create a band with maximum 5 and minimum 10 and save.</t>
  </si>
  <si>
    <t>REFUSED - the maximum is below the minimum.</t>
  </si>
  <si>
    <t>Create a band with a negative wholesale price and save.</t>
  </si>
  <si>
    <t>REFUSED - prices and discounts cannot be negative.</t>
  </si>
  <si>
    <t>Create a percentage-discount band of 120% and save.</t>
  </si>
  <si>
    <t>REFUSED - a percentage discount cannot exceed 100.</t>
  </si>
  <si>
    <t>After a refused save, re-open the product's band ladder.</t>
  </si>
  <si>
    <t>The PREVIOUSLY SAVED bands are still intact. A refused save must not wipe the existing ladder.</t>
  </si>
  <si>
    <t>PQB-012</t>
  </si>
  <si>
    <t>Admin band editing - the price is derived, not taken from the browser</t>
  </si>
  <si>
    <t>Admin access, developer tools available.</t>
  </si>
  <si>
    <t>Send a forged final_price in the save request.</t>
  </si>
  <si>
    <t>Create a band on a scratch product with wholesale 100 and a fixed discount of 25, and save.</t>
  </si>
  <si>
    <t>Saved. The stored final price is EUR 75.00 - derived from the inputs.</t>
  </si>
  <si>
    <t>Create a band with wholesale 200 and a 10% discount.</t>
  </si>
  <si>
    <t>Stored final price is EUR 180.00.</t>
  </si>
  <si>
    <t>Create a band with wholesale 10 and a fixed discount of 40.</t>
  </si>
  <si>
    <t>Stored final price is EUR 0.00 - floored at zero, never negative.</t>
  </si>
  <si>
    <t>Using developer tools, resend the band save request with "final_price": 1 injected alongside wholesale 100 and discount 25.</t>
  </si>
  <si>
    <t>The stored final price is still EUR 75.00. The browser's figure is IGNORED - it is what the customer pays, so the server derives it.</t>
  </si>
  <si>
    <t>Confirm the customer-facing price matches.</t>
  </si>
  <si>
    <t>An entitled customer is quoted EUR 75.00, not EUR 1.00.</t>
  </si>
  <si>
    <t>PQB-013</t>
  </si>
  <si>
    <t>Replacing and deleting a band ladder</t>
  </si>
  <si>
    <t>Admin access, scratch product with 3 bands.</t>
  </si>
  <si>
    <t>Save a shorter ladder; delete the ladder.</t>
  </si>
  <si>
    <t>On a scratch product with three bands, save a ladder containing only ONE band.</t>
  </si>
  <si>
    <t>The product now has exactly ONE band - the ladder is replaced wholesale, not appended to.</t>
  </si>
  <si>
    <t>Save an EMPTY ladder.</t>
  </si>
  <si>
    <t>The product has no bands at all and reverts to retail for everyone.</t>
  </si>
  <si>
    <t>Recreate a band, then use the delete action on the product.</t>
  </si>
  <si>
    <t>All bands for that product are removed.</t>
  </si>
  <si>
    <t>Confirm an entitled customer now sees retail for that product.</t>
  </si>
  <si>
    <t>Retail price, no bands advertised.</t>
  </si>
  <si>
    <t>PQB-014</t>
  </si>
  <si>
    <t>Band pricing interaction with a flash sale or promotion</t>
  </si>
  <si>
    <t>Ask the dev team to put the test product into an active flash sale, or use a product already in one. If no promotion mechanism is configured, mark Not Applicable.</t>
  </si>
  <si>
    <t>Flash sale price vs band price.</t>
  </si>
  <si>
    <t>Note the flash-sale price and the band price for the product.</t>
  </si>
  <si>
    <t>Both recorded.</t>
  </si>
  <si>
    <t>Sign in as an entitled account and open the product at quantity 10.</t>
  </si>
  <si>
    <t>Record which price wins. The rule implemented is that a band never charges above the prevailing retail ladder, and the flash price is part of that ladder - so the charged price should be the LOWER of the two.</t>
  </si>
  <si>
    <t>Add to the basket and check the basket and checkout price.</t>
  </si>
  <si>
    <t>The same figure as the product page. Whatever the rule, it must be applied consistently across all three.</t>
  </si>
  <si>
    <t>Place an order and check the order and invoice.</t>
  </si>
  <si>
    <t>Same figure again.</t>
  </si>
  <si>
    <t>Record the outcome clearly in Actual Result.</t>
  </si>
  <si>
    <t>If product page and checkout disagree, that is a defect regardless of which rule is correct.</t>
  </si>
  <si>
    <t>Cart &amp; Cart Repricing</t>
  </si>
  <si>
    <t>The basket price is derived on read, not stored and trusted. That means an entitlement change must re-price a basket that already exists. The tester must also prove that editing prices in the browser cannot change what is charged.</t>
  </si>
  <si>
    <t>CRP-001</t>
  </si>
  <si>
    <t>Build a basket before trade approval</t>
  </si>
  <si>
    <t>A Trade account with a PENDING application (register trade.cart01@example.com if needed).</t>
  </si>
  <si>
    <t>Email: trade.cart01@example.com | Phone: +353861234573 | 10 units of the test product</t>
  </si>
  <si>
    <t>Register a Trade account, verify the email, and leave the application Pending.</t>
  </si>
  <si>
    <t>Account active, trade status pending.</t>
  </si>
  <si>
    <t>Sign in and add 10 units of 'testing product' (product ID 99240288, slug testing-product, retail EUR 505.00 ex VAT) to the basket.</t>
  </si>
  <si>
    <t>Added.</t>
  </si>
  <si>
    <t>Open the basket and record the unit price and line total.</t>
  </si>
  <si>
    <t>EUR 505.00 per unit, EUR 5,050.00 ex VAT - retail, because the application is still pending.</t>
  </si>
  <si>
    <t>Leave the basket as it is and sign out.</t>
  </si>
  <si>
    <t>Basket is retained against the account.</t>
  </si>
  <si>
    <t>CRP-002</t>
  </si>
  <si>
    <t>Approve the trade account and re-price the existing basket</t>
  </si>
  <si>
    <t>CRP-001 done.</t>
  </si>
  <si>
    <t>Approve in admin, then refresh the basket.</t>
  </si>
  <si>
    <t>In admin, approve the trade application for trade.cart01@example.com.</t>
  </si>
  <si>
    <t>Sign in as the customer and open the basket WITHOUT removing or re-adding anything.</t>
  </si>
  <si>
    <t>The basket has RE-PRICED to EUR 450.00 per unit, EUR 4,500.00 ex VAT. The existing basket picks up the new entitlement on read - the customer should not have to empty and rebuild it.</t>
  </si>
  <si>
    <t>Still EUR 450.00.</t>
  </si>
  <si>
    <t>EUR 450.00 per unit, EUR 4,500.00 ex VAT, VAT EUR 1,035.00, total EUR 5,535.00 inc VAT.</t>
  </si>
  <si>
    <t>Return to the basket and change the quantity to 25.</t>
  </si>
  <si>
    <t>Re-prices to EUR 420.00 per unit, EUR 10,500.00 ex VAT.</t>
  </si>
  <si>
    <t>Set the quantity back to 10.</t>
  </si>
  <si>
    <t>CRP-003</t>
  </si>
  <si>
    <t>Suspend the account and re-price the existing basket</t>
  </si>
  <si>
    <t>CRP-002 done - basket holds 10 units at the band price.</t>
  </si>
  <si>
    <t>Suspend the account, then refresh the basket.</t>
  </si>
  <si>
    <t>In admin, suspend the ACCOUNT for trade.cart01@example.com.</t>
  </si>
  <si>
    <t>Account status = suspended.</t>
  </si>
  <si>
    <t>As the customer, refresh the basket.</t>
  </si>
  <si>
    <t>RE-PRICED to EUR 505.00 per unit, EUR 5,050.00 ex VAT. Trade pricing is withdrawn from the existing basket.</t>
  </si>
  <si>
    <t>Attempt to check out.</t>
  </si>
  <si>
    <t>Refused - a suspended account cannot place an order.</t>
  </si>
  <si>
    <t>In admin, return the account to Active.</t>
  </si>
  <si>
    <t>Account active again.</t>
  </si>
  <si>
    <t>Refresh the basket.</t>
  </si>
  <si>
    <t>Back to EUR 450.00 per unit.</t>
  </si>
  <si>
    <t>Now suspend the TRADE STATUS instead (leaving the account active) and refresh the basket.</t>
  </si>
  <si>
    <t>Re-priced to EUR 505.00 per unit, but checkout IS allowed - at retail.</t>
  </si>
  <si>
    <t>Restore the trade status to approved.</t>
  </si>
  <si>
    <t>Basket returns to EUR 450.00.</t>
  </si>
  <si>
    <t>CRP-004</t>
  </si>
  <si>
    <t>The basket price survives sign-out, sign-in and another browser</t>
  </si>
  <si>
    <t>CRP-003 done - approved, basket holds 10 units at EUR 450.00.</t>
  </si>
  <si>
    <t>Same account in a second browser.</t>
  </si>
  <si>
    <t>Sign out and sign back in, then open the basket.</t>
  </si>
  <si>
    <t>Still 10 units at EUR 450.00 per unit.</t>
  </si>
  <si>
    <t>Open a different browser (or a private window), sign in as the same customer and open the basket.</t>
  </si>
  <si>
    <t>The same 10 units at EUR 450.00. The basket belongs to the account, not to one browser.</t>
  </si>
  <si>
    <t>Change the quantity to 15 in the second browser.</t>
  </si>
  <si>
    <t>EUR 430.00 per unit there.</t>
  </si>
  <si>
    <t>Return to the first browser and refresh the basket.</t>
  </si>
  <si>
    <t>Shows 15 units at EUR 430.00 - the change made elsewhere is reflected on refresh.</t>
  </si>
  <si>
    <t>CRP-005</t>
  </si>
  <si>
    <t>Remove and re-add a product</t>
  </si>
  <si>
    <t>Basket holds 10 units at the band price.</t>
  </si>
  <si>
    <t>Remove, then re-add 10 units.</t>
  </si>
  <si>
    <t>Remove the product from the basket.</t>
  </si>
  <si>
    <t>Basket is empty and the total is zero.</t>
  </si>
  <si>
    <t>Re-add 10 units of the same product.</t>
  </si>
  <si>
    <t>EUR 450.00 per unit again - the same figure as before removal.</t>
  </si>
  <si>
    <t>Add a SECOND, different product to the basket alongside it.</t>
  </si>
  <si>
    <t>The second product is priced by its OWN rules. If it has no bands, it is at retail even for an entitled account. Record both lines.</t>
  </si>
  <si>
    <t>Check the basket subtotal.</t>
  </si>
  <si>
    <t>The subtotal is the sum of the two correctly-priced lines.</t>
  </si>
  <si>
    <t>Remove the second product.</t>
  </si>
  <si>
    <t>Only the first line remains, still at EUR 450.00 per unit.</t>
  </si>
  <si>
    <t>CRP-006</t>
  </si>
  <si>
    <t>A price sent with an add-to-basket request is ignored</t>
  </si>
  <si>
    <t>Signed in as an entitled account. Developer tools available.</t>
  </si>
  <si>
    <t>POST {storefront}/api/v1/cart/action with a forged price</t>
  </si>
  <si>
    <t>Open developer tools, network tab. Add a product to the basket and find the request.</t>
  </si>
  <si>
    <t>The add-to-basket request is visible.</t>
  </si>
  <si>
    <t>Resend the request with a "price" field of 1.00 injected into the payload.</t>
  </si>
  <si>
    <t>The basket line is priced by the SERVER at the correct figure - EUR 450.00 at quantity 10, or EUR 505.00 at quantity 1. The injected price is ignored.</t>
  </si>
  <si>
    <t>Open the basket and read the unit price.</t>
  </si>
  <si>
    <t>The correct server price, not EUR 1.00.</t>
  </si>
  <si>
    <t>The correct figure again.</t>
  </si>
  <si>
    <t>Try the same with "final_price", "wholesale_price" and "discount" field names.</t>
  </si>
  <si>
    <t>All ignored. The basket price is never taken from the browser.</t>
  </si>
  <si>
    <t>CRP-007</t>
  </si>
  <si>
    <t>A tampered basket row is re-priced on read</t>
  </si>
  <si>
    <t>Signed in as an entitled account with a basket. Ask the dev team to edit the stored basket row price directly in the database, or use an API call that attempts it.</t>
  </si>
  <si>
    <t>Stored basket price altered to 1.00</t>
  </si>
  <si>
    <t>Note the current basket line price.</t>
  </si>
  <si>
    <t>EUR 450.00 per unit at quantity 10.</t>
  </si>
  <si>
    <t>Have the stored basket row price changed directly to 1.00 in the database.</t>
  </si>
  <si>
    <t>The stored value is now wrong.</t>
  </si>
  <si>
    <t>The basket shows EUR 450.00 - the price is RE-DERIVED on read, so a tampered stored value does not survive.</t>
  </si>
  <si>
    <t>Place the order and check the order total.</t>
  </si>
  <si>
    <t>EUR 4,500.00 ex VAT. The customer is charged the correct amount, not the tampered one.</t>
  </si>
  <si>
    <t>CRP-008</t>
  </si>
  <si>
    <t>Editing the price in the browser does not change what is charged</t>
  </si>
  <si>
    <t>Signed in as an entitled account with 10 units in the basket.</t>
  </si>
  <si>
    <t>Edit the displayed price in dev tools.</t>
  </si>
  <si>
    <t>Open the basket. In developer tools, use Edit as HTML to change the displayed unit price from EUR 450.00 to EUR 1.00.</t>
  </si>
  <si>
    <t>The page now DISPLAYS EUR 1.00 - this only changes your own screen.</t>
  </si>
  <si>
    <t>Click through to checkout WITHOUT refreshing.</t>
  </si>
  <si>
    <t>Checkout shows the real figure of EUR 450.00 per unit, EUR 4,500.00 ex VAT. The server recalculates.</t>
  </si>
  <si>
    <t>Place the order.</t>
  </si>
  <si>
    <t>The order total is the real EUR 4,500.00 ex VAT plus VAT. Verify the amount in admin.</t>
  </si>
  <si>
    <t>Repeat, editing the QUANTITY in the DOM rather than the price.</t>
  </si>
  <si>
    <t>The quantity charged is the quantity the server has, and the price matches that quantity's band.</t>
  </si>
  <si>
    <t>Repeat, editing the displayed VAT figure.</t>
  </si>
  <si>
    <t>The VAT charged is recalculated by the server, not taken from the page.</t>
  </si>
  <si>
    <t>CRP-009</t>
  </si>
  <si>
    <t>Quantity validation in the basket</t>
  </si>
  <si>
    <t>Signed in with a basket.</t>
  </si>
  <si>
    <t>Quantities: 0 | -5 | 1.5 | 999999 | abc</t>
  </si>
  <si>
    <t>Set the basket quantity to 0.</t>
  </si>
  <si>
    <t>Either the line is removed or the change is refused with a clear message. It must not result in a zero-priced line that can be ordered.</t>
  </si>
  <si>
    <t>Set the quantity to -5.</t>
  </si>
  <si>
    <t>REFUSED. A negative quantity must never produce a negative line total or a credit.</t>
  </si>
  <si>
    <t>Set the quantity to 1.5.</t>
  </si>
  <si>
    <t>Refused, or rounded to a whole number. Record which.</t>
  </si>
  <si>
    <t>Set the quantity to 999999.</t>
  </si>
  <si>
    <t>Either refused as beyond a sane limit, or accepted subject to stock. It must not cause a server error or an arithmetic overflow.</t>
  </si>
  <si>
    <t>Type "abc" into the quantity field.</t>
  </si>
  <si>
    <t>Refused with a clear message; no server error.</t>
  </si>
  <si>
    <t>CRP-010</t>
  </si>
  <si>
    <t>A guest basket that lands on an entitled account re-prices</t>
  </si>
  <si>
    <t>Signed out. An entitled Business account available to sign in to.</t>
  </si>
  <si>
    <t>Guest basket then sign in.</t>
  </si>
  <si>
    <t>Signed out, add 10 units of 'testing product' (product ID 99240288, slug testing-product, retail EUR 505.00 ex VAT) to the basket as a guest.</t>
  </si>
  <si>
    <t>Added at RETAIL EUR 505.00 per unit - a guest gets no bands.</t>
  </si>
  <si>
    <t>Confirm the guest basket total.</t>
  </si>
  <si>
    <t>EUR 5,050.00 ex VAT.</t>
  </si>
  <si>
    <t>Now sign in as the BUSINESS account business.test01@example.com.</t>
  </si>
  <si>
    <t>Sign-in succeeds and the guest basket is carried onto the account.</t>
  </si>
  <si>
    <t>RE-PRICED to EUR 450.00 per unit, EUR 4,500.00 ex VAT - the account's entitlement now applies.</t>
  </si>
  <si>
    <t>Sign out, build a guest basket again, then sign in as a PERSONAL account.</t>
  </si>
  <si>
    <t>The basket stays at retail EUR 505.00 - a personal account earns no band.</t>
  </si>
  <si>
    <t>CRP-011</t>
  </si>
  <si>
    <t>The basket reacts to a product price change</t>
  </si>
  <si>
    <t>Admin access to change a product price. Basket holds the product.</t>
  </si>
  <si>
    <t>Change the retail price in admin.</t>
  </si>
  <si>
    <t>With 10 units in an entitled customer's basket at EUR 450.00, note the total.</t>
  </si>
  <si>
    <t>EUR 4,500.00 ex VAT.</t>
  </si>
  <si>
    <t>In admin, reduce the product RETAIL price to EUR 400.00 (below the band price) and save.</t>
  </si>
  <si>
    <t>The unit price is now EUR 400.00, NOT EUR 450.00 - a band never charges above the prevailing retail price, so the cap now binds.</t>
  </si>
  <si>
    <t>Restore the retail price to EUR 505.00.</t>
  </si>
  <si>
    <t>VAT &amp; Tax</t>
  </si>
  <si>
    <t>VAT in this application is decided PER PRODUCT (an excludeVAT flag plus a tax rule), NOT by the customer country and NOT by whether a VAT number was supplied. There is no reverse-charge or zero-rating logic. The test product uses tax rule VAT23 at 23%.</t>
  </si>
  <si>
    <t>VAT-001</t>
  </si>
  <si>
    <t>Confirm the tax configuration before testing</t>
  </si>
  <si>
    <t>Tax rules: VAT23 = 23% percentage; VAT Margin = 0%.</t>
  </si>
  <si>
    <t>In admin, open the tax rules configuration.</t>
  </si>
  <si>
    <t>At least two rules exist: VAT23 at 23% (percentage) and VAT Margin at 0%.</t>
  </si>
  <si>
    <t>Open 'testing product' (product ID 99240288, slug testing-product, retail EUR 505.00 ex VAT) in admin and check its tax settings.</t>
  </si>
  <si>
    <t>The product is taxable (VAT is not excluded) and uses tax rule VAT23.</t>
  </si>
  <si>
    <t>Find a SECOND product that uses a different tax rule, or is VAT-excluded.</t>
  </si>
  <si>
    <t>Record its id, name, price and rule - it is needed for the mixed-basket case. If no such product exists, ask the dev team to configure one or mark the mixed cases Not Applicable.</t>
  </si>
  <si>
    <t>Confirm the VAT rate is NOT hardcoded at 23% for every product.</t>
  </si>
  <si>
    <t>Different products can carry different rules. Do not assume one rate applies everywhere.</t>
  </si>
  <si>
    <t>VAT-002</t>
  </si>
  <si>
    <t>VAT on the retail price for a non-entitled account</t>
  </si>
  <si>
    <t>Signed in as a PERSONAL account, or signed out as a guest.</t>
  </si>
  <si>
    <t>Quantity 1 and 10 of the test product.</t>
  </si>
  <si>
    <t>Add 1 unit to the basket and read the ex-VAT price, the VAT and the inc-VAT total.</t>
  </si>
  <si>
    <t>EUR 505.00 ex VAT, VAT EUR 116.15, EUR 621.15 inc VAT.</t>
  </si>
  <si>
    <t>Change the quantity to 10.</t>
  </si>
  <si>
    <t>EUR 5,050.00 ex VAT, VAT EUR 1,161.50, EUR 6,211.50 inc VAT.</t>
  </si>
  <si>
    <t>Verify the VAT arithmetic yourself.</t>
  </si>
  <si>
    <t>5,050.00 x 0.23 = 1,161.50. The displayed VAT matches.</t>
  </si>
  <si>
    <t>The same three figures as the basket.</t>
  </si>
  <si>
    <t>VAT-003</t>
  </si>
  <si>
    <t>VAT is charged on the BAND price, not the retail price</t>
  </si>
  <si>
    <t>Signed in as an entitled account (business, or approved trade).</t>
  </si>
  <si>
    <t>Quantity 10 - band price EUR 450.00</t>
  </si>
  <si>
    <t>Read the VAT figure in the basket.</t>
  </si>
  <si>
    <t>EUR 1,035.00 - that is 23% of EUR 4,500.00, the BAND price. It must NOT be EUR 1,161.50 (23% of retail).</t>
  </si>
  <si>
    <t>Read the inc-VAT total.</t>
  </si>
  <si>
    <t>EUR 5,535.00.</t>
  </si>
  <si>
    <t>Open checkout and compare all three figures.</t>
  </si>
  <si>
    <t>Identical: EUR 4,500.00 ex VAT, EUR 1,035.00 VAT, EUR 5,535.00 inc VAT.</t>
  </si>
  <si>
    <t>Change the quantity to 25.</t>
  </si>
  <si>
    <t>EUR 10,500.00 ex VAT, VAT EUR 2,415.00, EUR 12,915.00 inc VAT.</t>
  </si>
  <si>
    <t>Verify the arithmetic.</t>
  </si>
  <si>
    <t>10,500.00 x 0.23 = 2,415.00. Charging VAT on the retail figure would overcharge the customer - a critical defect if seen.</t>
  </si>
  <si>
    <t>VAT-004</t>
  </si>
  <si>
    <t>A basket with products on different tax rules</t>
  </si>
  <si>
    <t>VAT-001 identified a second product with a different rule. If none exists, mark Not Applicable.</t>
  </si>
  <si>
    <t>Test product (VAT23) + second product (different rule).</t>
  </si>
  <si>
    <t>Add 10 units of the test product and 1 of the second product to the basket.</t>
  </si>
  <si>
    <t>Both lines are shown.</t>
  </si>
  <si>
    <t>Read the VAT attributed to each line.</t>
  </si>
  <si>
    <t>Each line is taxed by ITS OWN rule. The test product line is taxed at 23%; the second at its own rate.</t>
  </si>
  <si>
    <t>Read the basket VAT total.</t>
  </si>
  <si>
    <t>It is the SUM of the per-line VAT figures, not a single 23% applied to the whole subtotal.</t>
  </si>
  <si>
    <t>Verify the arithmetic line by line.</t>
  </si>
  <si>
    <t>Each line total matches its own rule. A single blanket rate across a mixed basket is a defect.</t>
  </si>
  <si>
    <t>Open checkout and compare.</t>
  </si>
  <si>
    <t>The same per-line and total VAT figures.</t>
  </si>
  <si>
    <t>VAT-005</t>
  </si>
  <si>
    <t>A VAT-excluded product is not taxed</t>
  </si>
  <si>
    <t>A product flagged to exclude VAT. If none exists, ask the dev team to flag one or mark Not Applicable.</t>
  </si>
  <si>
    <t>VAT-excluded product.</t>
  </si>
  <si>
    <t>Add the VAT-excluded product to the basket on its own.</t>
  </si>
  <si>
    <t>The line shows NO VAT.</t>
  </si>
  <si>
    <t>Read the basket total.</t>
  </si>
  <si>
    <t>The inc-VAT total equals the ex-VAT total for this line - nothing is added.</t>
  </si>
  <si>
    <t>Add the VAT23 test product alongside it.</t>
  </si>
  <si>
    <t>Only the taxable line attracts VAT. The excluded line still shows none.</t>
  </si>
  <si>
    <t>Check this holds for an ENTITLED account with a band price too.</t>
  </si>
  <si>
    <t>A band price on a VAT-excluded product is still untaxed. The band and the VAT flag are independent.</t>
  </si>
  <si>
    <t>Same treatment.</t>
  </si>
  <si>
    <t>VAT-006</t>
  </si>
  <si>
    <t>VAT carries correctly through order and invoice</t>
  </si>
  <si>
    <t>Quantity 10, PO-2026-00125</t>
  </si>
  <si>
    <t>Add 10 units, go to checkout and record the ex-VAT, VAT and inc-VAT figures.</t>
  </si>
  <si>
    <t>EUR 4,500.00 / EUR 1,035.00 / EUR 5,535.00.</t>
  </si>
  <si>
    <t>Place the order and read the order confirmation.</t>
  </si>
  <si>
    <t>The same three figures.</t>
  </si>
  <si>
    <t>Open the order in the customer order history.</t>
  </si>
  <si>
    <t>The same three figures. Any disagreement between checkout, order and invoice is a critical defect.</t>
  </si>
  <si>
    <t>Check the VAT number printed on the invoice.</t>
  </si>
  <si>
    <t>The customer's own VAT number is shown - IE1234567A for the business account, IE7654321B for the trade account.</t>
  </si>
  <si>
    <t>VAT-007</t>
  </si>
  <si>
    <t>VAT is not changed by the customer's VAT number or country</t>
  </si>
  <si>
    <t>Two entitled accounts: one with a VAT number, one without (edit the profile to clear it if needed).</t>
  </si>
  <si>
    <t>Same product and quantity for both.</t>
  </si>
  <si>
    <t>As an entitled account WITH a VAT number, add 10 units and record the VAT charged.</t>
  </si>
  <si>
    <t>EUR 1,035.00.</t>
  </si>
  <si>
    <t>As an entitled account WITHOUT a VAT number, add 10 units and record the VAT charged.</t>
  </si>
  <si>
    <t>EUR 1,035.00 - the SAME. VAT is decided per product, not by whether the customer supplied a VAT number.</t>
  </si>
  <si>
    <t>Change a billing address to a non-Irish country and re-check the VAT.</t>
  </si>
  <si>
    <t>UNCHANGED. Country-based VAT and EU reverse-charge are Not Available / Not Implemented. Mark this step Not Applicable rather than Fail.</t>
  </si>
  <si>
    <t>Record the finding for the business.</t>
  </si>
  <si>
    <t>Note in Tester Comments that cross-border VAT treatment is not implemented, so it cannot be relied on.</t>
  </si>
  <si>
    <t>VAT-008</t>
  </si>
  <si>
    <t>VAT with a discount or voucher applied</t>
  </si>
  <si>
    <t>A working voucher or discount code. If none is configured, mark Not Applicable.</t>
  </si>
  <si>
    <t>Voucher applied to an entitled basket.</t>
  </si>
  <si>
    <t>Build a basket of 10 units at the band price and note the figures.</t>
  </si>
  <si>
    <t>EUR 4,500.00 ex VAT, VAT EUR 1,035.00.</t>
  </si>
  <si>
    <t>Apply a percentage voucher.</t>
  </si>
  <si>
    <t>The discount is calculated on the subtotal. Record the discounted subtotal.</t>
  </si>
  <si>
    <t>Read the VAT figure after the discount.</t>
  </si>
  <si>
    <t>Record whether VAT is recalculated on the discounted figure. Note the behaviour precisely - this is the kind of thing that must match the finance team's expectation.</t>
  </si>
  <si>
    <t>Read the payable total.</t>
  </si>
  <si>
    <t>Subtotal less discount, plus VAT. Verify the arithmetic by hand.</t>
  </si>
  <si>
    <t>Confirm the voucher never discounts more than the goods are worth.</t>
  </si>
  <si>
    <t>The payable total never goes below zero.</t>
  </si>
  <si>
    <t>Place the order and check that order and invoice repeat the same figures.</t>
  </si>
  <si>
    <t>All three agree.</t>
  </si>
  <si>
    <t>VAT-009</t>
  </si>
  <si>
    <t>Rounding is correct to the cent</t>
  </si>
  <si>
    <t>An entitled account. Use a quantity that produces an awkward VAT figure.</t>
  </si>
  <si>
    <t>Quantities 3, 7, 13, 17</t>
  </si>
  <si>
    <t>Set the quantity to 3 (retail EUR 505.00 each).</t>
  </si>
  <si>
    <t>EUR 1,515.00 ex VAT, VAT EUR 348.45, EUR 1,863.45 inc VAT. Verify by hand.</t>
  </si>
  <si>
    <t>Set the quantity to 7 (band EUR 450.00 each).</t>
  </si>
  <si>
    <t>EUR 3,150.00 ex VAT, VAT EUR 724.50, EUR 3,874.50 inc VAT.</t>
  </si>
  <si>
    <t>Set the quantity to 13 (band EUR 430.00 each).</t>
  </si>
  <si>
    <t>EUR 5,590.00 ex VAT, VAT EUR 1,285.70, EUR 6,875.70 inc VAT.</t>
  </si>
  <si>
    <t>Set the quantity to 17 (band EUR 430.00 each).</t>
  </si>
  <si>
    <t>EUR 7,310.00 ex VAT, VAT EUR 1,681.30, EUR 8,991.30 inc VAT.</t>
  </si>
  <si>
    <t>Check that no figure is displayed with more than 2 decimal places.</t>
  </si>
  <si>
    <t>All money values show exactly 2 decimals.</t>
  </si>
  <si>
    <t>Check that the sum of the parts equals the whole.</t>
  </si>
  <si>
    <t>ex-VAT + VAT = inc-VAT exactly, with no one-cent drift.</t>
  </si>
  <si>
    <t>Checkout is where the PO requirement bites and where the final charged figures are settled. The PO number is entered HERE, not at registration, and is required only when the account's profile has the PO preference switched on. Max 64 characters.</t>
  </si>
  <si>
    <t>CHK-001</t>
  </si>
  <si>
    <t>Business checkout - every field and figure</t>
  </si>
  <si>
    <t>Signed in as business.test01@example.com (entitled, PO requirement ON). Basket holds 10 units.</t>
  </si>
  <si>
    <t>10 units at EUR 450.00 | PO: PO-2026-00125</t>
  </si>
  <si>
    <t>Add 10 units of 'testing product' (product ID 99240288, retail EUR 505.00 ex VAT) to the basket and go to {storefront}/checkout.</t>
  </si>
  <si>
    <t>The checkout page loads with no error.</t>
  </si>
  <si>
    <t>Check the customer details shown.</t>
  </si>
  <si>
    <t>Name Daniel Murphy and email business.test01@example.com are shown correctly.</t>
  </si>
  <si>
    <t>Check the company details shown.</t>
  </si>
  <si>
    <t>Murphy IT Solutions Ltd and VAT number IE1234567A are shown. A business checkout must identify the company being invoiced.</t>
  </si>
  <si>
    <t>Check the billing address shown.</t>
  </si>
  <si>
    <t>The registered Dublin address.</t>
  </si>
  <si>
    <t>Check the product line - name, quantity and unit price.</t>
  </si>
  <si>
    <t>Test product, quantity 10, EUR 450.00 per unit.</t>
  </si>
  <si>
    <t>Check the line subtotal.</t>
  </si>
  <si>
    <t>Check any discount line.</t>
  </si>
  <si>
    <t>No discount unless one was applied. If a discount shows, verify it against the discount rules.</t>
  </si>
  <si>
    <t>Check the VAT line.</t>
  </si>
  <si>
    <t>EUR 1,035.00 - 23% of the band price.</t>
  </si>
  <si>
    <t>Check the shipping line.</t>
  </si>
  <si>
    <t>Record the shipping charge and confirm it matches the configured shipping rule for this order value and address.</t>
  </si>
  <si>
    <t>Check the grand total.</t>
  </si>
  <si>
    <t>EUR 5,535.00 plus any shipping. Verify the arithmetic by hand.</t>
  </si>
  <si>
    <t>Check the PO number field is present.</t>
  </si>
  <si>
    <t>A purchase order field is shown, because this account requires one.</t>
  </si>
  <si>
    <t>Check the payment method options offered.</t>
  </si>
  <si>
    <t>Record which methods are available. The application supports Cash on Delivery, Stripe, PayPal and several others depending on configuration.</t>
  </si>
  <si>
    <t>CHK-002</t>
  </si>
  <si>
    <t>PO number is REQUIRED when the account requires it</t>
  </si>
  <si>
    <t>Signed in as business.test01@example.com with the PO preference ON. At checkout with a basket.</t>
  </si>
  <si>
    <t>PO: empty, then PO-2026-00125</t>
  </si>
  <si>
    <t>Leave the PO number field EMPTY and attempt to place the order.</t>
  </si>
  <si>
    <t>REFUSED with: "Enter the purchase order number for this order." The order is not created.</t>
  </si>
  <si>
    <t>Enter a single space in the PO field and try again.</t>
  </si>
  <si>
    <t>Still refused - whitespace is trimmed and treated as empty.</t>
  </si>
  <si>
    <t>Accepted. The order is created.</t>
  </si>
  <si>
    <t>Confirm the order was NOT created by either refused attempt.</t>
  </si>
  <si>
    <t>Exactly ONE order exists for this checkout, not three.</t>
  </si>
  <si>
    <t>CHK-003</t>
  </si>
  <si>
    <t>PO number length and character validation</t>
  </si>
  <si>
    <t>Signed in as business.test01@example.com with the PO preference ON.</t>
  </si>
  <si>
    <t>PO of 64 characters, then 65 characters.</t>
  </si>
  <si>
    <t>Enter a PO number of exactly 64 characters and place the order.</t>
  </si>
  <si>
    <t>ACCEPTED - 64 is the limit.</t>
  </si>
  <si>
    <t>Start another checkout and enter a PO number of 65 characters.</t>
  </si>
  <si>
    <t>REFUSED with: "That purchase order number is too long."</t>
  </si>
  <si>
    <t>Enter a PO with special characters, for example PO/2026-00125#A.</t>
  </si>
  <si>
    <t>Record the behaviour - accepted or refused. Either is defensible; note what happens.</t>
  </si>
  <si>
    <t>Enter a PO containing &lt;script&gt;alert(1)&lt;/script&gt;.</t>
  </si>
  <si>
    <t>No JavaScript alert fires at checkout, on the order screen, in admin or on the invoice. The value is stored and displayed as inert text, or refused.</t>
  </si>
  <si>
    <t>Enter PO-2026-00125 and complete a clean order for the later cases.</t>
  </si>
  <si>
    <t>Order placed.</t>
  </si>
  <si>
    <t>CHK-004</t>
  </si>
  <si>
    <t>PO number is OPTIONAL when the account does not require it</t>
  </si>
  <si>
    <t>Signed in as the Trade account trade.test01@example.com, whose profile does NOT have the PO preference on.</t>
  </si>
  <si>
    <t>PO: empty</t>
  </si>
  <si>
    <t>Check the trade account's PO preference on the profile.</t>
  </si>
  <si>
    <t>The PO requirement is OFF (Trade registration does not collect it; confirm on the profile).</t>
  </si>
  <si>
    <t>Build a basket and go to checkout. Leave the PO field empty.</t>
  </si>
  <si>
    <t>Place the order - ACCEPTED without a PO number.</t>
  </si>
  <si>
    <t>Open the order and check the PO field.</t>
  </si>
  <si>
    <t>Empty / not shown. An absent PO must not appear as "null" or "0".</t>
  </si>
  <si>
    <t>Now switch the PO preference ON from the profile and check out again with the field empty.</t>
  </si>
  <si>
    <t>REFUSED with "Enter the purchase order number for this order." The preference is what gates it.</t>
  </si>
  <si>
    <t>CHK-005</t>
  </si>
  <si>
    <t>Trade checkout at band prices</t>
  </si>
  <si>
    <t>Signed in as the APPROVED trade account trade.test01@example.com.</t>
  </si>
  <si>
    <t>25 units at EUR 420.00</t>
  </si>
  <si>
    <t>Add 25 units of 'testing product' (product ID 99240288, retail EUR 505.00 ex VAT) and go to checkout.</t>
  </si>
  <si>
    <t>Checkout loads.</t>
  </si>
  <si>
    <t>Check the unit price.</t>
  </si>
  <si>
    <t>EUR 420.00 - the 21-30 band.</t>
  </si>
  <si>
    <t>Check the subtotal.</t>
  </si>
  <si>
    <t>EUR 10,500.00 ex VAT.</t>
  </si>
  <si>
    <t>Check VAT.</t>
  </si>
  <si>
    <t>EUR 2,415.00.</t>
  </si>
  <si>
    <t>EUR 12,915.00 inc VAT plus any shipping.</t>
  </si>
  <si>
    <t>O'Brien Electrical Services Ltd and VAT number IE7654321B.</t>
  </si>
  <si>
    <t>Confirm the trade status is reflected where the page shows account information.</t>
  </si>
  <si>
    <t>The account is identified as an approved trade account, or at least is priced as one. Record what is shown.</t>
  </si>
  <si>
    <t>CHK-006</t>
  </si>
  <si>
    <t>Checkout field validation</t>
  </si>
  <si>
    <t>At checkout with a basket.</t>
  </si>
  <si>
    <t>Remove required values one at a time.</t>
  </si>
  <si>
    <t>Clear the delivery address (or choose no address) and try to place the order.</t>
  </si>
  <si>
    <t>Refused with a clear message naming the missing address.</t>
  </si>
  <si>
    <t>Clear the contact phone if it is editable at checkout and try again.</t>
  </si>
  <si>
    <t>Refused with a clear message, or the stored number is used. Record which.</t>
  </si>
  <si>
    <t>Select no payment method and try to place the order.</t>
  </si>
  <si>
    <t>Refused with a clear message.</t>
  </si>
  <si>
    <t>Enter an obviously invalid postcode/Eircode and try again.</t>
  </si>
  <si>
    <t>Record the behaviour. There is no Eircode format validation implemented, so a malformed code is likely ACCEPTED - mark Not Applicable rather than Fail if so.</t>
  </si>
  <si>
    <t>Restore valid values and place the order.</t>
  </si>
  <si>
    <t>CHK-007</t>
  </si>
  <si>
    <t>Checkout with an empty basket</t>
  </si>
  <si>
    <t>Signed in with an EMPTY basket.</t>
  </si>
  <si>
    <t>No items.</t>
  </si>
  <si>
    <t>Empty the basket completely, then navigate directly to {storefront}/checkout.</t>
  </si>
  <si>
    <t>The checkout either redirects back to the basket or shows a clear "your basket is empty" message. It must NOT show a zero-value order that can be placed.</t>
  </si>
  <si>
    <t>Attempt to place an order from that state.</t>
  </si>
  <si>
    <t>Refused. No zero-value order is created.</t>
  </si>
  <si>
    <t>Check the order list in admin.</t>
  </si>
  <si>
    <t>No new order appears.</t>
  </si>
  <si>
    <t>CHK-008</t>
  </si>
  <si>
    <t>A suspended account cannot check out</t>
  </si>
  <si>
    <t>An entitled account that has been suspended in admin.</t>
  </si>
  <si>
    <t>Suspended account with a basket.</t>
  </si>
  <si>
    <t>Build a basket as an active entitled account, then have an admin suspend the ACCOUNT.</t>
  </si>
  <si>
    <t>As the customer, reload any page.</t>
  </si>
  <si>
    <t>The customer is signed out automatically and told the account is suspended - the open session is ended by the suspension, not left running.</t>
  </si>
  <si>
    <t>Attempt to sign back in and reach checkout.</t>
  </si>
  <si>
    <t>REFUSED at sign-in with the suspension message. Checkout is never reached as an authenticated customer.</t>
  </si>
  <si>
    <t>Confirm no order was created.</t>
  </si>
  <si>
    <t>Nothing new in the admin order list.</t>
  </si>
  <si>
    <t>Have the admin reactivate the account, then sign in again and place the order.</t>
  </si>
  <si>
    <t>Sign-in works again and the order is accepted at the band price. A fresh sign-in is required - the session ended by the suspension is not restored.</t>
  </si>
  <si>
    <t>CHK-009</t>
  </si>
  <si>
    <t>Signed out. Guest checkout available at {storefront}/guest-checkout.</t>
  </si>
  <si>
    <t>Guest details; 10 units.</t>
  </si>
  <si>
    <t>Signed out, add 10 units of 'testing product' (product ID 99240288, retail EUR 505.00 ex VAT) to the basket.</t>
  </si>
  <si>
    <t>Added at RETAIL EUR 505.00 per unit.</t>
  </si>
  <si>
    <t>Go to the guest checkout.</t>
  </si>
  <si>
    <t>The guest checkout loads and asks for contact and delivery details.</t>
  </si>
  <si>
    <t>Check the unit price and totals.</t>
  </si>
  <si>
    <t>EUR 505.00 per unit, EUR 5,050.00 ex VAT, VAT EUR 1,161.50, EUR 6,211.50 inc VAT. A guest gets no band pricing.</t>
  </si>
  <si>
    <t>Confirm there is NO company or VAT number section, and no PO field.</t>
  </si>
  <si>
    <t>Correct - a guest has no company behind them. If a PO field appears, record it.</t>
  </si>
  <si>
    <t>Complete the guest order with valid details.</t>
  </si>
  <si>
    <t>The order is created.</t>
  </si>
  <si>
    <t>Check the order in admin.</t>
  </si>
  <si>
    <t>It appears as a guest order with no account type and no company. VAT and totals are as recorded above.</t>
  </si>
  <si>
    <t>CHK-010</t>
  </si>
  <si>
    <t>Checkout totals cannot be manipulated from the browser</t>
  </si>
  <si>
    <t>Signed in as an entitled account at checkout with 10 units. Developer tools available.</t>
  </si>
  <si>
    <t>Forge total, VAT, quantity, price and PO in the request.</t>
  </si>
  <si>
    <t>At checkout, open developer tools and find the place-order request.</t>
  </si>
  <si>
    <t>The request is visible.</t>
  </si>
  <si>
    <t>Resend it with the grand total changed to 1.00.</t>
  </si>
  <si>
    <t>The order is created at the REAL total of EUR 5,535.00 inc VAT (plus shipping), not EUR 1.00. Verify in admin.</t>
  </si>
  <si>
    <t>Resend with the VAT figure changed to 0.</t>
  </si>
  <si>
    <t>VAT is recalculated by the server at EUR 1,035.00. Verify in admin.</t>
  </si>
  <si>
    <t>Resend with the unit price changed to 1.00.</t>
  </si>
  <si>
    <t>The real band price of EUR 450.00 is charged.</t>
  </si>
  <si>
    <t>Resend with the quantity changed but the price left at the old band rate.</t>
  </si>
  <si>
    <t>The price charged matches the band for the quantity actually ordered - the two cannot be mismatched.</t>
  </si>
  <si>
    <t>Resend with another customer's id substituted.</t>
  </si>
  <si>
    <t>The order is created against YOUR account, or refused. It must not be placed against someone else's account.</t>
  </si>
  <si>
    <t>Check every order created by these attempts in admin.</t>
  </si>
  <si>
    <t>Every one carries the correct server-calculated figures. Any order stored at a forged total is a CRITICAL defect.</t>
  </si>
  <si>
    <t>Payment</t>
  </si>
  <si>
    <t>Payment methods depend on what is configured in this environment - Cash on Delivery, Stripe, PayPal and others are supported by the codebase. Use the payment provider's SANDBOX/test mode only. Never use a real card.</t>
  </si>
  <si>
    <t>PAY-001</t>
  </si>
  <si>
    <t>Confirm which payment methods are enabled</t>
  </si>
  <si>
    <t>At checkout with a valid basket.</t>
  </si>
  <si>
    <t>Payment method list.</t>
  </si>
  <si>
    <t>At checkout, list every payment method offered.</t>
  </si>
  <si>
    <t>Record the exact list. The codebase supports Cash on Delivery, Stripe, PayPal, Razorpay, Flutterwave, Iyzico, SumUp and wallet, but only the configured ones appear.</t>
  </si>
  <si>
    <t>Confirm with the dev team which are in SANDBOX mode.</t>
  </si>
  <si>
    <t>Only sandbox/test credentials are in use. If any method is pointing at a live account, STOP and mark the payment cases Blocked.</t>
  </si>
  <si>
    <t>Note the sandbox test card details to use.</t>
  </si>
  <si>
    <t>Obtain them from the dev team - do not use a real card number under any circumstances.</t>
  </si>
  <si>
    <t>PAY-002</t>
  </si>
  <si>
    <t>Successful payment on a Business order</t>
  </si>
  <si>
    <t>Signed in as business.test01@example.com. Basket holds 10 units. Sandbox payment available.</t>
  </si>
  <si>
    <t>Go to checkout, enter PO PO-2026-00125 and select a payment method.</t>
  </si>
  <si>
    <t>Record the exact grand total shown BEFORE paying.</t>
  </si>
  <si>
    <t>Write the figure down - it is what the payment must match.</t>
  </si>
  <si>
    <t>Complete the payment with valid sandbox details.</t>
  </si>
  <si>
    <t>Payment succeeds and you are returned to the store.</t>
  </si>
  <si>
    <t>Read the order confirmation.</t>
  </si>
  <si>
    <t>It shows an order number and the same grand total you recorded.</t>
  </si>
  <si>
    <t>Check the amount actually charged in the payment provider sandbox dashboard.</t>
  </si>
  <si>
    <t>The captured amount EQUALS the grand total shown at checkout. Any difference is a critical defect.</t>
  </si>
  <si>
    <t>Payment status shows as paid. Order status is the configured initial state.</t>
  </si>
  <si>
    <t>Same payment status and the same total.</t>
  </si>
  <si>
    <t>PAY-003</t>
  </si>
  <si>
    <t>Failed payment</t>
  </si>
  <si>
    <t>At checkout with a valid basket. A sandbox card that forces a decline.</t>
  </si>
  <si>
    <t>Declining test card from the provider.</t>
  </si>
  <si>
    <t>Use the sandbox card that forces a DECLINE and attempt payment.</t>
  </si>
  <si>
    <t>The payment fails and a clear message is shown to the customer.</t>
  </si>
  <si>
    <t>Confirm the message does not expose internal detail.</t>
  </si>
  <si>
    <t>No stack trace, no gateway raw error, no internal ids.</t>
  </si>
  <si>
    <t>Check whether an order was created.</t>
  </si>
  <si>
    <t>Record the behaviour precisely: either no order, or an order in an unpaid/failed state. What must NOT happen is an order marked PAID.</t>
  </si>
  <si>
    <t>Check the payment provider sandbox.</t>
  </si>
  <si>
    <t>No amount was captured.</t>
  </si>
  <si>
    <t>Check the basket.</t>
  </si>
  <si>
    <t>The basket is still intact so the customer can try again - losing the basket after a declined payment is worth raising.</t>
  </si>
  <si>
    <t>Retry with a valid sandbox card.</t>
  </si>
  <si>
    <t>Payment succeeds and the order completes normally.</t>
  </si>
  <si>
    <t>PAY-004</t>
  </si>
  <si>
    <t>Cancelled payment</t>
  </si>
  <si>
    <t>Cancel at the provider page.</t>
  </si>
  <si>
    <t>Start a payment and, at the provider's page, click Cancel / Back rather than paying.</t>
  </si>
  <si>
    <t>You are returned to the store with a clear message.</t>
  </si>
  <si>
    <t>Check whether an order was created and in what state.</t>
  </si>
  <si>
    <t>No order, or an order clearly marked unpaid/cancelled. NOT marked paid.</t>
  </si>
  <si>
    <t>Nothing captured.</t>
  </si>
  <si>
    <t>Still intact.</t>
  </si>
  <si>
    <t>Complete a successful payment afterwards.</t>
  </si>
  <si>
    <t>Works normally.</t>
  </si>
  <si>
    <t>PAY-005</t>
  </si>
  <si>
    <t>Double-click and duplicate submission</t>
  </si>
  <si>
    <t>Double-click Pay; resend the request.</t>
  </si>
  <si>
    <t>At checkout, DOUBLE-CLICK the Pay / Place Order button quickly.</t>
  </si>
  <si>
    <t>Exactly ONE order is created. The button should disable after the first click.</t>
  </si>
  <si>
    <t>Check the admin order list.</t>
  </si>
  <si>
    <t>ONE order, not two. A duplicate order means the customer could be charged twice - critical.</t>
  </si>
  <si>
    <t>ONE capture, not two.</t>
  </si>
  <si>
    <t>Repeat, this time resending the place-order request twice from developer tools.</t>
  </si>
  <si>
    <t>Record the outcome. Two identical orders, or two captures, is a critical defect.</t>
  </si>
  <si>
    <t>Place an order, then press browser Back and re-submit the checkout form.</t>
  </si>
  <si>
    <t>No second order is created for the same basket, or the customer is clearly told the order was already placed.</t>
  </si>
  <si>
    <t>PAY-006</t>
  </si>
  <si>
    <t>Refresh after payment</t>
  </si>
  <si>
    <t>A payment just completed.</t>
  </si>
  <si>
    <t>F5 on the confirmation page.</t>
  </si>
  <si>
    <t>On the order confirmation page, press F5 to refresh.</t>
  </si>
  <si>
    <t>The confirmation is shown again, or you are redirected to the order. NO second order is created and NO second charge is taken.</t>
  </si>
  <si>
    <t>Still one order.</t>
  </si>
  <si>
    <t>Still one capture.</t>
  </si>
  <si>
    <t>Navigate away and back to the confirmation URL.</t>
  </si>
  <si>
    <t>No duplicate order or charge.</t>
  </si>
  <si>
    <t>PAY-007</t>
  </si>
  <si>
    <t>Payment amount cannot be manipulated</t>
  </si>
  <si>
    <t>At checkout. Developer tools available.</t>
  </si>
  <si>
    <t>Alter the amount sent to the gateway.</t>
  </si>
  <si>
    <t>At checkout, note the real grand total.</t>
  </si>
  <si>
    <t>Figure recorded.</t>
  </si>
  <si>
    <t>Using developer tools, alter the displayed total to EUR 1.00 and proceed to payment.</t>
  </si>
  <si>
    <t>The amount presented at the payment provider is the REAL total, not EUR 1.00.</t>
  </si>
  <si>
    <t>If the amount can be altered in the request, send a reduced amount and complete the payment.</t>
  </si>
  <si>
    <t>Either the request is refused, or the order is NOT marked paid because the captured amount does not match the order total. An order marked fully paid for EUR 1.00 is a CRITICAL defect - raise it immediately.</t>
  </si>
  <si>
    <t>Check the order state and the captured amount in admin and in the sandbox.</t>
  </si>
  <si>
    <t>They agree with each other and with the real total.</t>
  </si>
  <si>
    <t>PAY-008</t>
  </si>
  <si>
    <t>Order and payment status stay in step</t>
  </si>
  <si>
    <t>Several orders in different payment states.</t>
  </si>
  <si>
    <t>Compare store state against provider state.</t>
  </si>
  <si>
    <t>For a successful order, compare the store payment status against the provider sandbox.</t>
  </si>
  <si>
    <t>Both say paid/captured.</t>
  </si>
  <si>
    <t>For a failed order, compare both.</t>
  </si>
  <si>
    <t>Neither says paid.</t>
  </si>
  <si>
    <t>For a cancelled order, compare both.</t>
  </si>
  <si>
    <t>In admin, move an order through its fulfilment statuses.</t>
  </si>
  <si>
    <t>The order moves forward through the configured states without error.</t>
  </si>
  <si>
    <t>Attempt to move a delivered order back to pending.</t>
  </si>
  <si>
    <t>REFUSED - a delivered order cannot go backwards to pending.</t>
  </si>
  <si>
    <t>Check that a refunded order is terminal.</t>
  </si>
  <si>
    <t>A refunded order cannot be moved on to another state.</t>
  </si>
  <si>
    <t>Check that a cancelled order can still be refunded.</t>
  </si>
  <si>
    <t>Allowed - a cancelled order can still be refunded.</t>
  </si>
  <si>
    <t>PAY-009</t>
  </si>
  <si>
    <t>Payment timeout</t>
  </si>
  <si>
    <t>A payment session left idle. If the provider has no timeout in sandbox, mark Not Applicable.</t>
  </si>
  <si>
    <t>Leave the provider page open.</t>
  </si>
  <si>
    <t>Start a payment and leave the provider page open without completing it for the provider's timeout period.</t>
  </si>
  <si>
    <t>Record what happens - a timeout message, or the session simply expiring.</t>
  </si>
  <si>
    <t>Return to the store.</t>
  </si>
  <si>
    <t>A clear message is shown. No order is marked paid.</t>
  </si>
  <si>
    <t>Place the order again successfully.</t>
  </si>
  <si>
    <t>Works normally, and only ONE paid order results.</t>
  </si>
  <si>
    <t>Orders</t>
  </si>
  <si>
    <t>After a successful checkout, the order must carry the account type, company, VAT, PO number and the exact prices that were quoted. Check the customer view AND the admin view - they are produced by different code.</t>
  </si>
  <si>
    <t>ORD-001</t>
  </si>
  <si>
    <t>Business order carries every expected value</t>
  </si>
  <si>
    <t>A completed Business order from PAY-002.</t>
  </si>
  <si>
    <t>Open the order in the customer order history at {storefront}/user/orders.</t>
  </si>
  <si>
    <t>The order is listed and can be opened.</t>
  </si>
  <si>
    <t>Check the order number.</t>
  </si>
  <si>
    <t>An order number is shown. Record it - later cases refer to it.</t>
  </si>
  <si>
    <t>Check the customer name and email.</t>
  </si>
  <si>
    <t>Daniel Murphy / business.test01@example.com</t>
  </si>
  <si>
    <t>Check the PO number.</t>
  </si>
  <si>
    <t>PO-2026-00125 - the value entered at checkout, not lost in transit.</t>
  </si>
  <si>
    <t>Check the product, quantity and unit price.</t>
  </si>
  <si>
    <t>Check the line subtotal, VAT and grand total.</t>
  </si>
  <si>
    <t>EUR 4,500.00 ex VAT, EUR 1,035.00 VAT, EUR 5,535.00 inc VAT plus shipping.</t>
  </si>
  <si>
    <t>Check the payment status.</t>
  </si>
  <si>
    <t>Paid.</t>
  </si>
  <si>
    <t>Check the order status.</t>
  </si>
  <si>
    <t>The configured initial fulfilment status.</t>
  </si>
  <si>
    <t>Compare every figure against what checkout showed.</t>
  </si>
  <si>
    <t>Identical throughout. Any difference between what was quoted and what was ordered is a critical defect.</t>
  </si>
  <si>
    <t>ORD-002</t>
  </si>
  <si>
    <t>The same order in admin</t>
  </si>
  <si>
    <t>ORD-001 done.</t>
  </si>
  <si>
    <t>Order number from ORD-001.</t>
  </si>
  <si>
    <t>Open {admin}/orders and find the order.</t>
  </si>
  <si>
    <t>It is listed.</t>
  </si>
  <si>
    <t>Open the order detail.</t>
  </si>
  <si>
    <t>The detail view loads.</t>
  </si>
  <si>
    <t>Check the customer and the ACCOUNT TYPE shown.</t>
  </si>
  <si>
    <t>The customer is identified and shown as a Business account.</t>
  </si>
  <si>
    <t>Check the company name and VAT number.</t>
  </si>
  <si>
    <t>Murphy IT Solutions Ltd / IE1234567A</t>
  </si>
  <si>
    <t>Quantity 10 at EUR 450.00.</t>
  </si>
  <si>
    <t>Check the VAT and grand total.</t>
  </si>
  <si>
    <t>EUR 1,035.00 VAT, EUR 5,535.00 inc VAT plus shipping.</t>
  </si>
  <si>
    <t>Compare every figure against the customer-side view from ORD-001.</t>
  </si>
  <si>
    <t>Identical. The two views must not disagree.</t>
  </si>
  <si>
    <t>ORD-003</t>
  </si>
  <si>
    <t>Trade order carries the trade price and company</t>
  </si>
  <si>
    <t>A completed order from the approved trade account trade.test01@example.com.</t>
  </si>
  <si>
    <t>Place an order as trade.test01@example.com for 25 units.</t>
  </si>
  <si>
    <t>Unit price EUR 420.00, subtotal EUR 10,500.00 ex VAT, VAT EUR 2,415.00, total EUR 12,915.00 inc VAT.</t>
  </si>
  <si>
    <t>Check the company details on the order.</t>
  </si>
  <si>
    <t>O'Brien Electrical Services Ltd / IE7654321B</t>
  </si>
  <si>
    <t>Open the same order in admin.</t>
  </si>
  <si>
    <t>The account type is shown as Trade. All figures match the customer view.</t>
  </si>
  <si>
    <t>Confirm the trade band price, not retail, was charged.</t>
  </si>
  <si>
    <t>EUR 420.00 per unit. An order placed by an approved trade account at retail prices is a critical defect.</t>
  </si>
  <si>
    <t>ORD-004</t>
  </si>
  <si>
    <t>A pending trade account orders at retail</t>
  </si>
  <si>
    <t>A trade account with a PENDING application.</t>
  </si>
  <si>
    <t>10 units at EUR 505.00</t>
  </si>
  <si>
    <t>As a pending trade account, place an order for 10 units.</t>
  </si>
  <si>
    <t>Check the unit price on the order.</t>
  </si>
  <si>
    <t>EUR 505.00 - retail.</t>
  </si>
  <si>
    <t>Check the totals.</t>
  </si>
  <si>
    <t>Open the order in admin and check the account type and trade status.</t>
  </si>
  <si>
    <t>Account type Trade, trade status pending. The order correctly records that it was placed before approval.</t>
  </si>
  <si>
    <t>Now approve the trade application in admin.</t>
  </si>
  <si>
    <t>Approved.</t>
  </si>
  <si>
    <t>Re-open the EXISTING order.</t>
  </si>
  <si>
    <t>The order total is UNCHANGED - a historical order must not be re-priced by a later approval. Only new baskets get the new rate.</t>
  </si>
  <si>
    <t>ORD-005</t>
  </si>
  <si>
    <t>Order history shows only the customer's own orders</t>
  </si>
  <si>
    <t>Two accounts with orders.</t>
  </si>
  <si>
    <t>Swap the order id and customer id.</t>
  </si>
  <si>
    <t>Sign in as business.test01@example.com and list the order history.</t>
  </si>
  <si>
    <t>Only this customer's orders are listed.</t>
  </si>
  <si>
    <t>Note the order id of an order belonging to a DIFFERENT customer (from admin).</t>
  </si>
  <si>
    <t>Id recorded.</t>
  </si>
  <si>
    <t>As business.test01@example.com, navigate directly to that other order's URL / request it by id.</t>
  </si>
  <si>
    <t>REFUSED or not found. One customer must never read another customer's order.</t>
  </si>
  <si>
    <t>Repeat with the API request, substituting the other customer id.</t>
  </si>
  <si>
    <t>Refused or scoped to your own account.</t>
  </si>
  <si>
    <t>Sign in as the other customer and confirm their order is intact.</t>
  </si>
  <si>
    <t>Unchanged.</t>
  </si>
  <si>
    <t>ORD-006</t>
  </si>
  <si>
    <t>Guest order records no company or account type</t>
  </si>
  <si>
    <t>The guest order from CHK-009.</t>
  </si>
  <si>
    <t>Guest order.</t>
  </si>
  <si>
    <t>Open the guest order in admin.</t>
  </si>
  <si>
    <t>Check the account type.</t>
  </si>
  <si>
    <t>No account type / guest. It must not be shown as Business or Trade.</t>
  </si>
  <si>
    <t>Check the company and VAT fields.</t>
  </si>
  <si>
    <t>Empty - a guest has no company behind them. They must not show "null".</t>
  </si>
  <si>
    <t>Check the prices.</t>
  </si>
  <si>
    <t>Retail EUR 505.00 per unit throughout.</t>
  </si>
  <si>
    <t>ORD-007</t>
  </si>
  <si>
    <t>Order status changes and their effect</t>
  </si>
  <si>
    <t>An existing paid order.</t>
  </si>
  <si>
    <t>Move through fulfilment states in admin.</t>
  </si>
  <si>
    <t>In admin, move the order to the next fulfilment status.</t>
  </si>
  <si>
    <t>Accepted; the status updates.</t>
  </si>
  <si>
    <t>Check the customer order history.</t>
  </si>
  <si>
    <t>The customer sees the new status.</t>
  </si>
  <si>
    <t>Cancel an order in admin.</t>
  </si>
  <si>
    <t>Accepted; the order shows as cancelled.</t>
  </si>
  <si>
    <t>Check whether a cancelled order still counts as a sale in any admin dashboard figure.</t>
  </si>
  <si>
    <t>Record the behaviour. A cancelled order should not be counted as a completed sale.</t>
  </si>
  <si>
    <t>Refund a cancelled order.</t>
  </si>
  <si>
    <t>Allowed.</t>
  </si>
  <si>
    <t>Attempt to move the refunded order onward.</t>
  </si>
  <si>
    <t>Refused - refunded is terminal.</t>
  </si>
  <si>
    <t>Invoice</t>
  </si>
  <si>
    <t>The invoice is produced in the ADMIN panel from the order detail, and customers have an Invoice action in their order history. Every figure on it must match the order and the checkout exactly.</t>
  </si>
  <si>
    <t>INV-001</t>
  </si>
  <si>
    <t>Business invoice content</t>
  </si>
  <si>
    <t>The Business order from ORD-001.</t>
  </si>
  <si>
    <t>In admin, open the order and open its Invoice view.</t>
  </si>
  <si>
    <t>The invoice renders with no error.</t>
  </si>
  <si>
    <t>Check the invoice number and the order number.</t>
  </si>
  <si>
    <t>Both are present and the order number matches the order. Record the invoice number format.</t>
  </si>
  <si>
    <t>Check the invoice date.</t>
  </si>
  <si>
    <t>Present and correct.</t>
  </si>
  <si>
    <t>Check the company name being billed.</t>
  </si>
  <si>
    <t>Check the VAT number printed.</t>
  </si>
  <si>
    <t>IE1234567A - the customer's own VAT number.</t>
  </si>
  <si>
    <t>Check the billing address.</t>
  </si>
  <si>
    <t>PO-2026-00125 - carried through from checkout.</t>
  </si>
  <si>
    <t>Check the product line - description, quantity, unit price.</t>
  </si>
  <si>
    <t>Test product, 10, EUR 450.00.</t>
  </si>
  <si>
    <t>Check the line total, any discount, the VAT and the grand total.</t>
  </si>
  <si>
    <t>Check the supplier details on the invoice.</t>
  </si>
  <si>
    <t>The store's own company name, address and VAT number are shown - a VAT invoice needs them.</t>
  </si>
  <si>
    <t>INV-002</t>
  </si>
  <si>
    <t>Invoice matches checkout and order exactly</t>
  </si>
  <si>
    <t>INV-001 done. The checkout figures recorded in CHK-001 and the order figures from ORD-001.</t>
  </si>
  <si>
    <t>Compare three sets of figures.</t>
  </si>
  <si>
    <t>Put the checkout figures, the order figures and the invoice figures side by side.</t>
  </si>
  <si>
    <t>All three recorded.</t>
  </si>
  <si>
    <t>Compare the unit price across all three.</t>
  </si>
  <si>
    <t>EUR 450.00 everywhere.</t>
  </si>
  <si>
    <t>Compare the ex-VAT subtotal.</t>
  </si>
  <si>
    <t>EUR 4,500.00 everywhere.</t>
  </si>
  <si>
    <t>Compare the VAT.</t>
  </si>
  <si>
    <t>EUR 1,035.00 everywhere.</t>
  </si>
  <si>
    <t>Compare the grand total.</t>
  </si>
  <si>
    <t>Identical everywhere.</t>
  </si>
  <si>
    <t>Compare the PO number.</t>
  </si>
  <si>
    <t>PO-2026-00125 everywhere - checkout, order, admin order and invoice.</t>
  </si>
  <si>
    <t>Compare the company name and VAT number.</t>
  </si>
  <si>
    <t>Record any single discrepancy as a critical defect.</t>
  </si>
  <si>
    <t>An invoice that disagrees with the order is a finance problem, not a cosmetic one.</t>
  </si>
  <si>
    <t>INV-003</t>
  </si>
  <si>
    <t>Trade invoice</t>
  </si>
  <si>
    <t>The Trade order from ORD-003.</t>
  </si>
  <si>
    <t>Open the trade order's invoice in admin.</t>
  </si>
  <si>
    <t>Renders correctly.</t>
  </si>
  <si>
    <t>Check the unit price and quantity.</t>
  </si>
  <si>
    <t>EUR 420.00 x 25.</t>
  </si>
  <si>
    <t>EUR 10,500.00 ex VAT, EUR 2,415.00 VAT, EUR 12,915.00 inc VAT plus shipping.</t>
  </si>
  <si>
    <t>Check the PO number field.</t>
  </si>
  <si>
    <t>Empty if no PO was entered - and shown as blank, not as "null" or "0".</t>
  </si>
  <si>
    <t>INV-004</t>
  </si>
  <si>
    <t>Customer-side invoice</t>
  </si>
  <si>
    <t>Signed in as business.test01@example.com with a completed order.</t>
  </si>
  <si>
    <t>Invoice action in the order history.</t>
  </si>
  <si>
    <t>Open {storefront}/user/orders and find the Invoice action on a completed order.</t>
  </si>
  <si>
    <t>The Invoice action is present.</t>
  </si>
  <si>
    <t>It renders for the customer.</t>
  </si>
  <si>
    <t>Compare every figure against the admin invoice from INV-001.</t>
  </si>
  <si>
    <t>Identical - company, VAT number, PO, prices, VAT and total.</t>
  </si>
  <si>
    <t>Check the invoice can be printed or saved as PDF.</t>
  </si>
  <si>
    <t>Record whether a download/print option exists and whether it produces a readable document.</t>
  </si>
  <si>
    <t>Confirm the invoice shows NO internal or staff-only information.</t>
  </si>
  <si>
    <t>No internal notes, no admin names, no internal ids, no trade reviewer note.</t>
  </si>
  <si>
    <t>INV-005</t>
  </si>
  <si>
    <t>One customer cannot open another customer's invoice</t>
  </si>
  <si>
    <t>Two customers with orders.</t>
  </si>
  <si>
    <t>Swap the order id in the invoice URL.</t>
  </si>
  <si>
    <t>As business.test01@example.com, open your own invoice and note the URL pattern and order id.</t>
  </si>
  <si>
    <t>Recorded.</t>
  </si>
  <si>
    <t>Substitute another customer's order id in that URL and open it.</t>
  </si>
  <si>
    <t>REFUSED or not found. An invoice carries company and VAT details - leaking it to another customer is a critical defect.</t>
  </si>
  <si>
    <t>Repeat while signed out entirely.</t>
  </si>
  <si>
    <t>Refused.</t>
  </si>
  <si>
    <t>Repeat with a guest order id.</t>
  </si>
  <si>
    <t>INV-006</t>
  </si>
  <si>
    <t>Guest invoice carries no company</t>
  </si>
  <si>
    <t>Guest order invoice.</t>
  </si>
  <si>
    <t>Open the guest order's invoice in admin.</t>
  </si>
  <si>
    <t>Check the company name and VAT number rows.</t>
  </si>
  <si>
    <t>They are ABSENT or blank - a guest order has no company behind it. They must not print "null" or an empty label with nothing after it.</t>
  </si>
  <si>
    <t>Retail EUR 505.00 per unit.</t>
  </si>
  <si>
    <t>Check the layout is not broken by the missing rows.</t>
  </si>
  <si>
    <t>The invoice still reads correctly with those rows absent.</t>
  </si>
  <si>
    <t>Email Notifications</t>
  </si>
  <si>
    <t>Two notification emails are implemented: trade approval and trade rejection. Confirm with the dev team how mail is captured in this environment BEFORE starting - if mail is discarded, mark these Blocked rather than Failed.</t>
  </si>
  <si>
    <t>EML-001</t>
  </si>
  <si>
    <t>Approval email is sent and has the right subject</t>
  </si>
  <si>
    <t>A PENDING trade application. Mail capture cleared.</t>
  </si>
  <si>
    <t>Expected subject: Your Trade Account Has Been Approved</t>
  </si>
  <si>
    <t>In admin, approve the pending trade application.</t>
  </si>
  <si>
    <t>ONE new email has arrived.</t>
  </si>
  <si>
    <t>Check the subject line.</t>
  </si>
  <si>
    <t>Exactly: "Your Trade Account Has Been Approved"</t>
  </si>
  <si>
    <t>Check the recipient.</t>
  </si>
  <si>
    <t>The applicant's own email address - and nobody else. No admin or internal address is copied in.</t>
  </si>
  <si>
    <t>Check the sender address and display name.</t>
  </si>
  <si>
    <t>The store's configured sender. Record it.</t>
  </si>
  <si>
    <t>EML-002</t>
  </si>
  <si>
    <t>Approval email content</t>
  </si>
  <si>
    <t>EML-001 done - the approval email is open.</t>
  </si>
  <si>
    <t>The approved customer's name and company.</t>
  </si>
  <si>
    <t>Check the customer name in the email body.</t>
  </si>
  <si>
    <t>The applicant's name, spelled as registered.</t>
  </si>
  <si>
    <t>Check the company name in the email body.</t>
  </si>
  <si>
    <t>The company from the application. Record whether it appears at all.</t>
  </si>
  <si>
    <t>Check that the email says what changed.</t>
  </si>
  <si>
    <t>It states the trade account is approved and that trade pricing is switched on.</t>
  </si>
  <si>
    <t>Check that it says where the pricing applies.</t>
  </si>
  <si>
    <t>It explains the rates appear on each product and in the basket, and are what will be charged at checkout.</t>
  </si>
  <si>
    <t>Check the call-to-action link.</t>
  </si>
  <si>
    <t>A link to start shopping. Click it - it resolves to a working page on the correct domain, not to localhost or a placeholder.</t>
  </si>
  <si>
    <t>Check the account link.</t>
  </si>
  <si>
    <t>A link to sign in and see trade status, orders and invoices. Click it - it works.</t>
  </si>
  <si>
    <t>Check the branding.</t>
  </si>
  <si>
    <t>The store logo, colours and name are correct and images load.</t>
  </si>
  <si>
    <t>Check the reviewer note if one was entered.</t>
  </si>
  <si>
    <t>If a note was entered, confirm whether it appears. It must be a customer-safe message - see EML-009.</t>
  </si>
  <si>
    <t>Read the plain-text part of the email as well as the HTML part.</t>
  </si>
  <si>
    <t>Both are readable and carry the same message.</t>
  </si>
  <si>
    <t>EML-003</t>
  </si>
  <si>
    <t>The approved customer really does have trade pricing</t>
  </si>
  <si>
    <t>EML-001 done.</t>
  </si>
  <si>
    <t>Quantity 10.</t>
  </si>
  <si>
    <t>Sign in as the approved customer.</t>
  </si>
  <si>
    <t>Dashboard shows approved.</t>
  </si>
  <si>
    <t>Open the product at quantity 10.</t>
  </si>
  <si>
    <t>EUR 450.00 ex VAT. The email's promise matches reality - an email saying pricing is on while the store still charges retail is a critical defect.</t>
  </si>
  <si>
    <t>EML-004</t>
  </si>
  <si>
    <t>Rejection email is sent and has the right subject</t>
  </si>
  <si>
    <t>Expected subject: Update on Your Trade Account Application</t>
  </si>
  <si>
    <t>In admin, reject the pending application with a customer-safe reason.</t>
  </si>
  <si>
    <t>Rejection succeeds.</t>
  </si>
  <si>
    <t>ONE new email.</t>
  </si>
  <si>
    <t>Exactly: "Update on Your Trade Account Application"</t>
  </si>
  <si>
    <t>The applicant only.</t>
  </si>
  <si>
    <t>EML-005</t>
  </si>
  <si>
    <t>Rejection email content</t>
  </si>
  <si>
    <t>EML-004 done.</t>
  </si>
  <si>
    <t>The rejected customer.</t>
  </si>
  <si>
    <t>Check the customer name.</t>
  </si>
  <si>
    <t>Correct.</t>
  </si>
  <si>
    <t>Check the email states the outcome clearly.</t>
  </si>
  <si>
    <t>It says the application was reviewed and could not be approved at this time. It is clear without being harsh.</t>
  </si>
  <si>
    <t>Check it explains the account is still usable.</t>
  </si>
  <si>
    <t>It states the account is still open and the customer can order at standard prices exactly as before. This matters - a rejected customer must not think their account is closed.</t>
  </si>
  <si>
    <t>Check it offers a way back.</t>
  </si>
  <si>
    <t>It invites the customer to get in touch if circumstances have changed or they believe the decision is wrong, with a contact address.</t>
  </si>
  <si>
    <t>A "continue shopping" link that resolves to a working page.</t>
  </si>
  <si>
    <t>Correct logo, colours and store name.</t>
  </si>
  <si>
    <t>Read the plain-text part too.</t>
  </si>
  <si>
    <t>Readable and consistent with the HTML part.</t>
  </si>
  <si>
    <t>EML-006</t>
  </si>
  <si>
    <t>The rejected customer really has no trade pricing</t>
  </si>
  <si>
    <t>Sign in as the rejected customer.</t>
  </si>
  <si>
    <t>Sign-in succeeds - the account is still open.</t>
  </si>
  <si>
    <t>RETAIL EUR 505.00. No bands.</t>
  </si>
  <si>
    <t>Place a retail order.</t>
  </si>
  <si>
    <t>Accepted - matching what the email promised.</t>
  </si>
  <si>
    <t>EML-007</t>
  </si>
  <si>
    <t>A repeated identical decision does not re-notify</t>
  </si>
  <si>
    <t>An already-approved and an already-rejected application. Mail capture cleared.</t>
  </si>
  <si>
    <t>Repeat each decision.</t>
  </si>
  <si>
    <t>Clear the inbox. Approve an already-approved application.</t>
  </si>
  <si>
    <t>NO email is sent.</t>
  </si>
  <si>
    <t>Clear the inbox. Reject an already-rejected application.</t>
  </si>
  <si>
    <t>Clear the inbox. Edit the reviewer note on a decided application and save.</t>
  </si>
  <si>
    <t>NO email is sent. Editing the note after the decision must not re-notify.</t>
  </si>
  <si>
    <t>Clear the inbox. Open the review queue and open an application without deciding.</t>
  </si>
  <si>
    <t>NO email is sent. Reading must never notify.</t>
  </si>
  <si>
    <t>Clear the inbox. Suspend the trade status of an approved account.</t>
  </si>
  <si>
    <t>Record whether an email is sent. The documented notifications are approval and rejection.</t>
  </si>
  <si>
    <t>EML-008</t>
  </si>
  <si>
    <t>A genuine new transition does send a new email</t>
  </si>
  <si>
    <t>A REJECTED application. Mail capture cleared.</t>
  </si>
  <si>
    <t>Rejected &gt; Pending &gt; Approved</t>
  </si>
  <si>
    <t>Clear the inbox. Move the rejected application back to Pending.</t>
  </si>
  <si>
    <t>Record whether an email is sent for this step.</t>
  </si>
  <si>
    <t>Clear the inbox. Approve it.</t>
  </si>
  <si>
    <t>A NEW approval email IS sent, with the subject "Your Trade Account Has Been Approved". A real transition must notify even though the customer was emailed about the earlier rejection.</t>
  </si>
  <si>
    <t>Confirm the customer now has band pricing.</t>
  </si>
  <si>
    <t>EML-009</t>
  </si>
  <si>
    <t>No internal or sensitive information in either email</t>
  </si>
  <si>
    <t>Decisions made with internal-sounding notes.</t>
  </si>
  <si>
    <t>Note: INTERNAL - credit check failed, ticket #4471</t>
  </si>
  <si>
    <t>Reject an application with the note "INTERNAL - credit check failed, ticket #4471".</t>
  </si>
  <si>
    <t>Read the resulting email in full, HTML and plain text.</t>
  </si>
  <si>
    <t>Record exactly whether that text appears. Exposing an internal ticket reference to a customer is a CRITICAL defect.</t>
  </si>
  <si>
    <t>Check the email for database ids.</t>
  </si>
  <si>
    <t>No raw customer id, order id or application id is exposed.</t>
  </si>
  <si>
    <t>Check the email for internal URLs.</t>
  </si>
  <si>
    <t>No admin panel URLs, no localhost, no internal hostnames.</t>
  </si>
  <si>
    <t>Check the email for staff names.</t>
  </si>
  <si>
    <t>No reviewer name or admin username.</t>
  </si>
  <si>
    <t>Check the email headers for internal detail.</t>
  </si>
  <si>
    <t>No internal server paths or debug headers.</t>
  </si>
  <si>
    <t>Force an internal error during a decision if the dev team can arrange it.</t>
  </si>
  <si>
    <t>The customer sees a generic message; no stack trace or database error reaches the email.</t>
  </si>
  <si>
    <t>EML-010</t>
  </si>
  <si>
    <t>A very long reviewer note is shortened</t>
  </si>
  <si>
    <t>A pending application. A note of 2000 characters.</t>
  </si>
  <si>
    <t>2000-character note.</t>
  </si>
  <si>
    <t>Reject an application with a 2000-character note.</t>
  </si>
  <si>
    <t>Open the resulting email.</t>
  </si>
  <si>
    <t>The note is SHORTENED rather than sent whole. The email is not broken by the length.</t>
  </si>
  <si>
    <t>Check the shortened text reads cleanly.</t>
  </si>
  <si>
    <t>Truncated at a sensible point, still readable.</t>
  </si>
  <si>
    <t>Reject another application with a note that is a single space.</t>
  </si>
  <si>
    <t>Treated as NO note - the email has no empty reason block or dangling label.</t>
  </si>
  <si>
    <t>EML-011</t>
  </si>
  <si>
    <t>The decision stands even if the email fails</t>
  </si>
  <si>
    <t>Ask the dev team to break the mail transport (bad SMTP credentials) for this case.</t>
  </si>
  <si>
    <t>Broken mail transport.</t>
  </si>
  <si>
    <t>With the mail transport deliberately broken, approve a pending application.</t>
  </si>
  <si>
    <t>The APPROVAL STILL SUCCEEDS. Record the response - it should report that the customer could not be told.</t>
  </si>
  <si>
    <t>Check the trade status in admin.</t>
  </si>
  <si>
    <t>Approved. A failed email must NOT roll back the decision.</t>
  </si>
  <si>
    <t>Confirm the customer has band pricing.</t>
  </si>
  <si>
    <t>EUR 450.00 at quantity 10 - the entitlement is real even though the email failed.</t>
  </si>
  <si>
    <t>Restore the mail transport.</t>
  </si>
  <si>
    <t>Mail works again.</t>
  </si>
  <si>
    <t>Approve another application.</t>
  </si>
  <si>
    <t>Succeeds and the email arrives.</t>
  </si>
  <si>
    <t>EML-012</t>
  </si>
  <si>
    <t>A customer with no or an unusable email address</t>
  </si>
  <si>
    <t>Ask the dev team for a trade applicant with a blank or malformed email address, or create one directly.</t>
  </si>
  <si>
    <t>Applicant with no email.</t>
  </si>
  <si>
    <t>Approve an application for a customer with NO email address.</t>
  </si>
  <si>
    <t>The approval STILL SUCCEEDS and the trade status becomes approved. No unhandled error.</t>
  </si>
  <si>
    <t>Check the response.</t>
  </si>
  <si>
    <t>It reports that the customer was not told.</t>
  </si>
  <si>
    <t>Reject an application for a customer with an unusable email address.</t>
  </si>
  <si>
    <t>The rejection still succeeds; no crash.</t>
  </si>
  <si>
    <t>Confirm the entitlement change took effect in both cases.</t>
  </si>
  <si>
    <t>Trade status is correct and pricing follows it.</t>
  </si>
  <si>
    <t>EML-013</t>
  </si>
  <si>
    <t>Email rendering across clients and on mobile</t>
  </si>
  <si>
    <t>Approval and rejection emails available.</t>
  </si>
  <si>
    <t>Desktop client, webmail and a phone.</t>
  </si>
  <si>
    <t>Open the approval email in a desktop mail client.</t>
  </si>
  <si>
    <t>Renders correctly; images load; no broken layout.</t>
  </si>
  <si>
    <t>Open it in webmail (Gmail or Outlook web).</t>
  </si>
  <si>
    <t>Open it on a phone.</t>
  </si>
  <si>
    <t>Readable without horizontal scrolling. Text is large enough to read and the call-to-action button is tappable.</t>
  </si>
  <si>
    <t>Open it with images BLOCKED.</t>
  </si>
  <si>
    <t>The message is still understandable - it does not depend entirely on images.</t>
  </si>
  <si>
    <t>Repeat for the rejection email.</t>
  </si>
  <si>
    <t>Same standard.</t>
  </si>
  <si>
    <t>Admin</t>
  </si>
  <si>
    <t>The admin surfaces for business and trade: the customer list and record, the trade review queue, the verification action, the account status action and the quantity band editor. Each is behind a permission - a normal customer must reach none of it.</t>
  </si>
  <si>
    <t>ADM-001</t>
  </si>
  <si>
    <t>View Business and Trade customers in the customer list</t>
  </si>
  <si>
    <t>Admin signed in. Business and trade accounts exist.</t>
  </si>
  <si>
    <t>URL: {admin}/registered-users</t>
  </si>
  <si>
    <t>Open {admin}/registered-users.</t>
  </si>
  <si>
    <t>The customer list loads.</t>
  </si>
  <si>
    <t>Check that the list shows the ACCOUNT TYPE for each customer.</t>
  </si>
  <si>
    <t>Account type is visible in the list. A list showing only name and email would make the trade queue unusable.</t>
  </si>
  <si>
    <t>Check the list shows the account state.</t>
  </si>
  <si>
    <t>Account status and, for trade accounts, trade status are visible or reachable.</t>
  </si>
  <si>
    <t>Filter the list by account type Business.</t>
  </si>
  <si>
    <t>Only business accounts are returned.</t>
  </si>
  <si>
    <t>Filter by account type Trade.</t>
  </si>
  <si>
    <t>Only trade accounts are returned.</t>
  </si>
  <si>
    <t>Filter by account type Personal.</t>
  </si>
  <si>
    <t>Only personal accounts are returned.</t>
  </si>
  <si>
    <t>Search by email address.</t>
  </si>
  <si>
    <t>The matching customer is found.</t>
  </si>
  <si>
    <t>Page through the list.</t>
  </si>
  <si>
    <t>Paging works and does not repeat or skip customers.</t>
  </si>
  <si>
    <t>ADM-002</t>
  </si>
  <si>
    <t>Open a customer record and read the business profile</t>
  </si>
  <si>
    <t>ADM-001 done.</t>
  </si>
  <si>
    <t>Customer: business.test01@example.com</t>
  </si>
  <si>
    <t>Open the customer record for business.test01@example.com.</t>
  </si>
  <si>
    <t>The record loads.</t>
  </si>
  <si>
    <t>Check account type, account status, trade status and verification status are all shown.</t>
  </si>
  <si>
    <t>All four are visible. They are four separate facts and the screen must not conflate them.</t>
  </si>
  <si>
    <t>Check the business profile section.</t>
  </si>
  <si>
    <t>Company name, VAT number, company registration number, billing address and sector are shown.</t>
  </si>
  <si>
    <t>Check the pricing entitlement indicator.</t>
  </si>
  <si>
    <t>It shows whether this account currently gets band pricing.</t>
  </si>
  <si>
    <t>Open a TRADE customer record.</t>
  </si>
  <si>
    <t>It additionally shows the trade type, expected spend, website and resale confirmation.</t>
  </si>
  <si>
    <t>Open a PERSONAL customer record.</t>
  </si>
  <si>
    <t>No company details. Verification status reads as "not required" - which is a different state from "not checked yet".</t>
  </si>
  <si>
    <t>ADM-003</t>
  </si>
  <si>
    <t>The trade review queue and its filters</t>
  </si>
  <si>
    <t>Applications exist in several states.</t>
  </si>
  <si>
    <t>The queue loads.</t>
  </si>
  <si>
    <t>Filter by Pending.</t>
  </si>
  <si>
    <t>Only pending applications are returned.</t>
  </si>
  <si>
    <t>Filter by Approved.</t>
  </si>
  <si>
    <t>Only approved.</t>
  </si>
  <si>
    <t>Filter by Rejected.</t>
  </si>
  <si>
    <t>Only rejected.</t>
  </si>
  <si>
    <t>Filter by Suspended.</t>
  </si>
  <si>
    <t>Only suspended.</t>
  </si>
  <si>
    <t>Clear the filter.</t>
  </si>
  <si>
    <t>All applications are returned.</t>
  </si>
  <si>
    <t>Search by company name.</t>
  </si>
  <si>
    <t>The matching application is found.</t>
  </si>
  <si>
    <t>Search by email.</t>
  </si>
  <si>
    <t>Check the queue shows enough to triage without opening each row.</t>
  </si>
  <si>
    <t>Company, email and status at minimum.</t>
  </si>
  <si>
    <t>ADM-004</t>
  </si>
  <si>
    <t>Mark a business account verified</t>
  </si>
  <si>
    <t>The Business account business.test01@example.com with verification status pending.</t>
  </si>
  <si>
    <t>Verification: verified</t>
  </si>
  <si>
    <t>Verification status = pending.</t>
  </si>
  <si>
    <t>Use the verification action to mark the company details VERIFIED.</t>
  </si>
  <si>
    <t>Verification status = verified and survives the refresh.</t>
  </si>
  <si>
    <t>Check whether the pricing entitlement changed.</t>
  </si>
  <si>
    <t>UNCHANGED - a business account already had band pricing from signup. Verification and entitlement are separate facts.</t>
  </si>
  <si>
    <t>Attempt to set the verification status to an unknown value.</t>
  </si>
  <si>
    <t>REFUSED.</t>
  </si>
  <si>
    <t>Attempt to set a verification status on a PERSONAL account.</t>
  </si>
  <si>
    <t>Refused, or reported as nothing to verify - a personal account has no company details to check.</t>
  </si>
  <si>
    <t>ADM-005</t>
  </si>
  <si>
    <t>Suspend and reactivate from the customer record</t>
  </si>
  <si>
    <t>An active customer account.</t>
  </si>
  <si>
    <t>Status: suspended, then active.</t>
  </si>
  <si>
    <t>Open the customer record and set the account status to Suspended with a note.</t>
  </si>
  <si>
    <t>Accepted; status and note are stored.</t>
  </si>
  <si>
    <t>Refresh.</t>
  </si>
  <si>
    <t>Still suspended, note still present.</t>
  </si>
  <si>
    <t>Set the status back to Active.</t>
  </si>
  <si>
    <t>Attempt to set the status to an unknown value.</t>
  </si>
  <si>
    <t>Attempt to move an active account straight to Rejected.</t>
  </si>
  <si>
    <t>Confirm suspending the account did NOT change the trade status.</t>
  </si>
  <si>
    <t>Trade status unchanged - the two ladders are independent.</t>
  </si>
  <si>
    <t>ADM-006</t>
  </si>
  <si>
    <t>The quantity band editor</t>
  </si>
  <si>
    <t>Admin with product permissions.</t>
  </si>
  <si>
    <t>The list loads with one row per product that has bands, and a band count.</t>
  </si>
  <si>
    <t>Search the list by product title.</t>
  </si>
  <si>
    <t>The matching product is found.</t>
  </si>
  <si>
    <t>Open a product's band ladder.</t>
  </si>
  <si>
    <t>Bands are listed in quantity order.</t>
  </si>
  <si>
    <t>Add a band and save.</t>
  </si>
  <si>
    <t>Saved and shown in the ladder.</t>
  </si>
  <si>
    <t>Edit a band's discount and save.</t>
  </si>
  <si>
    <t>The final price is recalculated by the server, not taken from the browser.</t>
  </si>
  <si>
    <t>Delete the ladder for a scratch product.</t>
  </si>
  <si>
    <t>All its bands are removed and the product reverts to retail.</t>
  </si>
  <si>
    <t>Confirm an entitled customer sees the change.</t>
  </si>
  <si>
    <t>The customer-facing price matches the ladder now stored.</t>
  </si>
  <si>
    <t>ADM-007</t>
  </si>
  <si>
    <t>Admin screens need a manual refresh to show outside changes</t>
  </si>
  <si>
    <t>Two admin sessions.</t>
  </si>
  <si>
    <t>Change in one, observe the other.</t>
  </si>
  <si>
    <t>Open the same trade application in two admin sessions.</t>
  </si>
  <si>
    <t>Both show Pending.</t>
  </si>
  <si>
    <t>Approve in the first session.</t>
  </si>
  <si>
    <t>Approved there.</t>
  </si>
  <si>
    <t>Look at the second session WITHOUT refreshing.</t>
  </si>
  <si>
    <t>It still shows Pending. There is no WebSocket or push transport - live updates are Not Available / Not Implemented. Mark Not Applicable rather than Fail.</t>
  </si>
  <si>
    <t>Refresh the second session.</t>
  </si>
  <si>
    <t>It now shows Approved.</t>
  </si>
  <si>
    <t>ADM-008</t>
  </si>
  <si>
    <t>Admin actions are permission-gated</t>
  </si>
  <si>
    <t>An admin account WITHOUT the relevant permissions, if one can be created. Otherwise mark the sub-steps Not Applicable.</t>
  </si>
  <si>
    <t>Low-privilege admin.</t>
  </si>
  <si>
    <t>Ask the dev team for an admin account without trade/customer permissions.</t>
  </si>
  <si>
    <t>Account available, or mark this case Not Applicable.</t>
  </si>
  <si>
    <t>Sign in as that admin and open the trade queue.</t>
  </si>
  <si>
    <t>REFUSED - the response body reports no access.</t>
  </si>
  <si>
    <t>Attempt to approve an application.</t>
  </si>
  <si>
    <t>Refused; the trade status is unchanged.</t>
  </si>
  <si>
    <t>Attempt to open the band editor.</t>
  </si>
  <si>
    <t>Attempt to change a customer account status.</t>
  </si>
  <si>
    <t>Confirm none of the refused attempts changed anything or sent an email.</t>
  </si>
  <si>
    <t>All state unchanged; mail capture empty.</t>
  </si>
  <si>
    <t>Security &amp; Authorization</t>
  </si>
  <si>
    <t>The rule being tested throughout: the SERVER decides permissions and prices, never the browser. A refused admin API call answers HTTP 201 with the refusal in the response BODY - always read the body, never judge by the HTTP status code alone.</t>
  </si>
  <si>
    <t>SEC-001</t>
  </si>
  <si>
    <t>A customer cannot reach admin URLs</t>
  </si>
  <si>
    <t>Signed in as a normal customer.</t>
  </si>
  <si>
    <t>Admin URLs and APIs.</t>
  </si>
  <si>
    <t>Signed in as business.test01@example.com, navigate to {admin}/trade-applications.</t>
  </si>
  <si>
    <t>Access is refused. You are not shown the trade queue.</t>
  </si>
  <si>
    <t>Navigate to {admin}/registered-users.</t>
  </si>
  <si>
    <t>Navigate to {admin}/business-products.</t>
  </si>
  <si>
    <t>Navigate to {admin}/orders.</t>
  </si>
  <si>
    <t>Call GET {storefront}/api/admin/trade-application/all directly with the customer token.</t>
  </si>
  <si>
    <t>Refused. CHECK THE RESPONSE BODY - it reports unauthenticated/no access even though the HTTP code is 201.</t>
  </si>
  <si>
    <t>Call GET {storefront}/api/admin/user/all with the customer token.</t>
  </si>
  <si>
    <t>Refused in the body.</t>
  </si>
  <si>
    <t>Call GET {storefront}/api/admin/business-products/all with the customer token.</t>
  </si>
  <si>
    <t>SEC-002</t>
  </si>
  <si>
    <t>An anonymous caller reaches nothing</t>
  </si>
  <si>
    <t>Signed out entirely. A REST client.</t>
  </si>
  <si>
    <t>Admin APIs with no credentials.</t>
  </si>
  <si>
    <t>Call GET /api/admin/trade-application/all with no authorisation.</t>
  </si>
  <si>
    <t>Response body reports "Unauthenticated."</t>
  </si>
  <si>
    <t>Call POST /api/admin/trade-application/action/{id} with a trade status of approved.</t>
  </si>
  <si>
    <t>Refused. Verify in admin that the trade status is unchanged.</t>
  </si>
  <si>
    <t>Call POST /api/admin/user/status/{id} with a status of active.</t>
  </si>
  <si>
    <t>Refused. Verify no account status changed.</t>
  </si>
  <si>
    <t>Call POST /api/admin/business-products/action with a band payload.</t>
  </si>
  <si>
    <t>Refused. Verify no band was created.</t>
  </si>
  <si>
    <t>Call DELETE /api/admin/business-products/delete/{id}.</t>
  </si>
  <si>
    <t>Refused. Verify the bands still exist.</t>
  </si>
  <si>
    <t>Confirm no email was sent by any of these.</t>
  </si>
  <si>
    <t>SEC-003</t>
  </si>
  <si>
    <t>A customer cannot promote their own account</t>
  </si>
  <si>
    <t>Signed in as a personal or business customer.</t>
  </si>
  <si>
    <t>Forged profile and signup payloads.</t>
  </si>
  <si>
    <t>Send a profile update with "account_type": "trade".</t>
  </si>
  <si>
    <t>Ignored - the account type is unchanged in admin.</t>
  </si>
  <si>
    <t>Send a profile update with "trade_status": "approved".</t>
  </si>
  <si>
    <t>Ignored - no trade approval, no band pricing.</t>
  </si>
  <si>
    <t>Send a profile update with "verification_status": "verified".</t>
  </si>
  <si>
    <t>Ignored - only an admin action marks company details verified.</t>
  </si>
  <si>
    <t>Send a profile update with "status": "active" while suspended.</t>
  </si>
  <si>
    <t>Ignored - the suspension stands.</t>
  </si>
  <si>
    <t>Send a profile update with "requires_po": false while suspended.</t>
  </si>
  <si>
    <t>The PO preference IS the customer's own to set - record whether it changes. That is expected; the privileged fields above are the ones that must not.</t>
  </si>
  <si>
    <t>Check band pricing after every attempt.</t>
  </si>
  <si>
    <t>Unchanged throughout - retail for a personal account.</t>
  </si>
  <si>
    <t>SEC-004</t>
  </si>
  <si>
    <t>A customer cannot act on another customer</t>
  </si>
  <si>
    <t>Two customer accounts with orders and profiles.</t>
  </si>
  <si>
    <t>Substitute the other customer id.</t>
  </si>
  <si>
    <t>As customer A, request customer B's profile by substituting the id.</t>
  </si>
  <si>
    <t>You get your OWN profile or a refusal - never B's data.</t>
  </si>
  <si>
    <t>As customer A, send a profile SAVE with B's id and a changed company name.</t>
  </si>
  <si>
    <t>B is unchanged. Verify in admin.</t>
  </si>
  <si>
    <t>As customer A, request B's order by id.</t>
  </si>
  <si>
    <t>Refused or not found.</t>
  </si>
  <si>
    <t>As customer A, request B's invoice by order id.</t>
  </si>
  <si>
    <t>As customer A, request B's basket.</t>
  </si>
  <si>
    <t>You get your own basket, not B's.</t>
  </si>
  <si>
    <t>As customer A, attempt to approve B's trade application.</t>
  </si>
  <si>
    <t>Refused; B's trade status is unchanged.</t>
  </si>
  <si>
    <t>SEC-005</t>
  </si>
  <si>
    <t>Price and quantity cannot be set by the browser</t>
  </si>
  <si>
    <t>Forged values in cart and order requests.</t>
  </si>
  <si>
    <t>Send an add-to-basket request with "price": 1.00.</t>
  </si>
  <si>
    <t>The line is priced by the server at the correct band figure.</t>
  </si>
  <si>
    <t>Send an add-to-basket request with a negative quantity.</t>
  </si>
  <si>
    <t>Refused. No negative line, no credit.</t>
  </si>
  <si>
    <t>Send an update-quantity request with a quantity of 0.</t>
  </si>
  <si>
    <t>The line is removed or refused - never a zero-priced orderable line.</t>
  </si>
  <si>
    <t>Send a place-order request with the grand total altered.</t>
  </si>
  <si>
    <t>The order is created at the server-calculated total. Verify in admin.</t>
  </si>
  <si>
    <t>Send a place-order request with the VAT altered to 0.</t>
  </si>
  <si>
    <t>VAT is recalculated by the server.</t>
  </si>
  <si>
    <t>Send a place-order request with the unit price altered.</t>
  </si>
  <si>
    <t>The correct band price is charged.</t>
  </si>
  <si>
    <t>Check every order created by these attempts.</t>
  </si>
  <si>
    <t>All carry correct server figures. Any order stored at a forged amount is a critical defect.</t>
  </si>
  <si>
    <t>SEC-006</t>
  </si>
  <si>
    <t>PO number cannot be bypassed</t>
  </si>
  <si>
    <t>An account whose profile requires a PO number.</t>
  </si>
  <si>
    <t>Omit or forge the PO in the request.</t>
  </si>
  <si>
    <t>At checkout, send the place-order request with the PO field REMOVED from the payload entirely.</t>
  </si>
  <si>
    <t>Refused with "Enter the purchase order number for this order." Removing the field must not bypass the requirement.</t>
  </si>
  <si>
    <t>Send it with the PO as an empty string.</t>
  </si>
  <si>
    <t>Send it with the PO as a single space.</t>
  </si>
  <si>
    <t>Refused - whitespace is trimmed.</t>
  </si>
  <si>
    <t>Send it with a PO longer than 64 characters.</t>
  </si>
  <si>
    <t>Refused with "That purchase order number is too long."</t>
  </si>
  <si>
    <t>Send a valid PO and confirm it is stored.</t>
  </si>
  <si>
    <t>The PO is on the order and on the invoice.</t>
  </si>
  <si>
    <t>SEC-007</t>
  </si>
  <si>
    <t>A forged or expired token reaches nothing</t>
  </si>
  <si>
    <t>A REST client.</t>
  </si>
  <si>
    <t>Tampered bearer tokens.</t>
  </si>
  <si>
    <t>Take a valid customer token, change one character, and call the profile API.</t>
  </si>
  <si>
    <t>Call the profile API with a completely made-up token.</t>
  </si>
  <si>
    <t>Call an admin API with a valid CUSTOMER token.</t>
  </si>
  <si>
    <t>Refused - a customer token does not carry the admin scope. Read the body.</t>
  </si>
  <si>
    <t>Sign out, then reuse the token from that session.</t>
  </si>
  <si>
    <t>Refused - the token is invalidated at sign-out.</t>
  </si>
  <si>
    <t>Call a guest endpoint with a forged guest token.</t>
  </si>
  <si>
    <t>Reaches nothing belonging to a real account.</t>
  </si>
  <si>
    <t>SEC-008</t>
  </si>
  <si>
    <t>Input hygiene across business and trade fields</t>
  </si>
  <si>
    <t>Ability to register and edit accounts.</t>
  </si>
  <si>
    <t>Script and SQL-shaped values.</t>
  </si>
  <si>
    <t>Put &lt;script&gt;alert(1)&lt;/script&gt; into the company name and view it on the dashboard, the profile, the admin customer record, the admin trade queue, the order and the invoice.</t>
  </si>
  <si>
    <t>NO JavaScript alert fires on ANY of those screens. The value renders as inert text everywhere.</t>
  </si>
  <si>
    <t>Put the same value into the billing address and check the same screens.</t>
  </si>
  <si>
    <t>No alert anywhere.</t>
  </si>
  <si>
    <t>Put the same value into the PO number at checkout and check the order, admin order and invoice.</t>
  </si>
  <si>
    <t>Put the same value into the trade reviewer note and check the email and the customer dashboard.</t>
  </si>
  <si>
    <t>No alert; the value is inert.</t>
  </si>
  <si>
    <t>Put Robert'); DROP TABLE users;-- into the company name and save.</t>
  </si>
  <si>
    <t>Saved or refused, but the users table still exists - other customers are still listed in admin.</t>
  </si>
  <si>
    <t>Put a 5000-character value into the billing address.</t>
  </si>
  <si>
    <t>Refused with a clear message or stored cleanly. No 500 error, no blank page.</t>
  </si>
  <si>
    <t>SEC-009</t>
  </si>
  <si>
    <t>Error messages do not leak internal detail</t>
  </si>
  <si>
    <t>Ability to trigger errors.</t>
  </si>
  <si>
    <t>Malformed requests.</t>
  </si>
  <si>
    <t>Send a malformed JSON body to a customer API.</t>
  </si>
  <si>
    <t>A generic error is returned. No stack trace, no file path, no SQL.</t>
  </si>
  <si>
    <t>Request a customer id that does not exist.</t>
  </si>
  <si>
    <t>A clean not-found or generic refusal. No database error text.</t>
  </si>
  <si>
    <t>Send a request that triggers a server exception, if the dev team can arrange one.</t>
  </si>
  <si>
    <t>The customer sees a generic message. The detail goes to the log, not to the response.</t>
  </si>
  <si>
    <t>Check the trade decision endpoint with a nonexistent customer id.</t>
  </si>
  <si>
    <t>Clean refusal; no internal detail; no email sent.</t>
  </si>
  <si>
    <t>Mobile &amp; Responsive</t>
  </si>
  <si>
    <t>Run the key business and trade journeys at three widths. The pass condition throughout: no horizontal page scrolling, nothing cut off, and every control reachable and tappable. Tables and long forms are the usual failure points.</t>
  </si>
  <si>
    <t>RSP-001</t>
  </si>
  <si>
    <t>Registration wizard on mobile</t>
  </si>
  <si>
    <t>A phone, or browser dev tools at 375 x 667.</t>
  </si>
  <si>
    <t>Business and Trade registration.</t>
  </si>
  <si>
    <t>At 375px width, open {storefront}/register.</t>
  </si>
  <si>
    <t>The account-type step fits the screen. No horizontal scrolling.</t>
  </si>
  <si>
    <t>Check the step indicator.</t>
  </si>
  <si>
    <t>All four steps are visible or sensibly collapsed. Not cut off.</t>
  </si>
  <si>
    <t>Select Business and open the Details step.</t>
  </si>
  <si>
    <t>Every field is reachable by scrolling vertically only.</t>
  </si>
  <si>
    <t>Open the Sector dropdown.</t>
  </si>
  <si>
    <t>It opens and all seven options are selectable.</t>
  </si>
  <si>
    <t>Type into the billing address field.</t>
  </si>
  <si>
    <t>The field is usable and the on-screen keyboard does not hide it.</t>
  </si>
  <si>
    <t>Trigger a validation error by submitting with the company name empty.</t>
  </si>
  <si>
    <t>The error message is visible on screen without horizontal scrolling and clearly relates to the field.</t>
  </si>
  <si>
    <t>Complete the whole registration on the phone.</t>
  </si>
  <si>
    <t>All steps including verification and the two-factor screen are completable.</t>
  </si>
  <si>
    <t>Repeat for the Trade form.</t>
  </si>
  <si>
    <t>The trade dropdowns and the resale checkbox are all usable.</t>
  </si>
  <si>
    <t>RSP-002</t>
  </si>
  <si>
    <t>Dashboard and profile on mobile</t>
  </si>
  <si>
    <t>Signed in as a Business and a Trade account at 375px.</t>
  </si>
  <si>
    <t>Dashboard and profile.</t>
  </si>
  <si>
    <t>Open the dashboard at 375px.</t>
  </si>
  <si>
    <t>The account headline is fully readable. No text is clipped.</t>
  </si>
  <si>
    <t>Check the trade status display on a pending trade account.</t>
  </si>
  <si>
    <t>The status is legible.</t>
  </si>
  <si>
    <t>Every field including the company fields is reachable.</t>
  </si>
  <si>
    <t>Edit and save a field.</t>
  </si>
  <si>
    <t>The save control is reachable and the confirmation is visible.</t>
  </si>
  <si>
    <t>Check the PO preference toggle.</t>
  </si>
  <si>
    <t>Tappable and its label is readable.</t>
  </si>
  <si>
    <t>RSP-003</t>
  </si>
  <si>
    <t>Product page and band table on mobile</t>
  </si>
  <si>
    <t>Signed in as an entitled account at 375px.</t>
  </si>
  <si>
    <t>The band table.</t>
  </si>
  <si>
    <t>Open the product page at 375px.</t>
  </si>
  <si>
    <t>Price and add-to-basket are visible without horizontal scrolling.</t>
  </si>
  <si>
    <t>Find the quantity band table.</t>
  </si>
  <si>
    <t>The band table is readable. If it is wider than the screen it must scroll INSIDE its own container - the whole page must not scroll sideways.</t>
  </si>
  <si>
    <t>Read all three bands.</t>
  </si>
  <si>
    <t>All quantities and prices are legible.</t>
  </si>
  <si>
    <t>Change the quantity and watch the price.</t>
  </si>
  <si>
    <t>The price updates visibly and is not cut off.</t>
  </si>
  <si>
    <t>Add to basket.</t>
  </si>
  <si>
    <t>The control is tappable and gives feedback.</t>
  </si>
  <si>
    <t>RSP-004</t>
  </si>
  <si>
    <t>Basket and checkout on mobile</t>
  </si>
  <si>
    <t>Basket and checkout with a PO number.</t>
  </si>
  <si>
    <t>Open the basket at 375px.</t>
  </si>
  <si>
    <t>Line items, quantity control and totals are all readable and reachable.</t>
  </si>
  <si>
    <t>Change the quantity.</t>
  </si>
  <si>
    <t>The control is usable with a thumb and the price updates.</t>
  </si>
  <si>
    <t>All sections are reachable by vertical scrolling only.</t>
  </si>
  <si>
    <t>Check the totals block.</t>
  </si>
  <si>
    <t>Subtotal, VAT, shipping and grand total are all visible and not truncated.</t>
  </si>
  <si>
    <t>Enter a PO number.</t>
  </si>
  <si>
    <t>The field is usable; the keyboard does not obscure it.</t>
  </si>
  <si>
    <t>Trigger the PO validation error by leaving it empty.</t>
  </si>
  <si>
    <t>The error is visible on screen.</t>
  </si>
  <si>
    <t>Select a payment method and place the order.</t>
  </si>
  <si>
    <t>All controls are tappable and the order completes.</t>
  </si>
  <si>
    <t>Fully readable.</t>
  </si>
  <si>
    <t>RSP-005</t>
  </si>
  <si>
    <t>Admin trade management on tablet and mobile</t>
  </si>
  <si>
    <t>Admin signed in at 768px, then 375px.</t>
  </si>
  <si>
    <t>Trade queue and customer record.</t>
  </si>
  <si>
    <t>At 768px, open {admin}/trade-applications.</t>
  </si>
  <si>
    <t>The queue is usable. Any wide table scrolls inside its own container.</t>
  </si>
  <si>
    <t>Open an application and read the submitted details.</t>
  </si>
  <si>
    <t>All fields are readable.</t>
  </si>
  <si>
    <t>Approve an application.</t>
  </si>
  <si>
    <t>The action control is reachable and the result is visible.</t>
  </si>
  <si>
    <t>At 375px, repeat.</t>
  </si>
  <si>
    <t>Record honestly whether the admin panel is usable at phone width. Admin panels are often desktop-first - if it is not usable, record the severity as Minor unless admins genuinely need phone access.</t>
  </si>
  <si>
    <t>Open the customer record and the band editor at 768px.</t>
  </si>
  <si>
    <t>Both usable; note anything cut off.</t>
  </si>
  <si>
    <t>RSP-006</t>
  </si>
  <si>
    <t>Tablet width for the customer journey</t>
  </si>
  <si>
    <t>A tablet, or dev tools at 768 x 1024.</t>
  </si>
  <si>
    <t>Full journey.</t>
  </si>
  <si>
    <t>Run registration, dashboard, product, basket and checkout at 768px.</t>
  </si>
  <si>
    <t>Every screen is usable with no horizontal page scrolling.</t>
  </si>
  <si>
    <t>Check the band table at 768px.</t>
  </si>
  <si>
    <t>Readable.</t>
  </si>
  <si>
    <t>Check the checkout totals at 768px.</t>
  </si>
  <si>
    <t>All figures visible.</t>
  </si>
  <si>
    <t>Rotate to landscape (1024 x 768).</t>
  </si>
  <si>
    <t>Layout adapts; nothing is cut off.</t>
  </si>
  <si>
    <t>RSP-007</t>
  </si>
  <si>
    <t>Desktop widths</t>
  </si>
  <si>
    <t>Desktop browser.</t>
  </si>
  <si>
    <t>1920px, 1366px and 1280px.</t>
  </si>
  <si>
    <t>Run the customer journey at 1920px.</t>
  </si>
  <si>
    <t>Layout is correct with no excessive stretching of text lines.</t>
  </si>
  <si>
    <t>Repeat at 1366px.</t>
  </si>
  <si>
    <t>Repeat at 1280px - a common laptop width.</t>
  </si>
  <si>
    <t>Correct. The band table, checkout totals and admin tables all fit.</t>
  </si>
  <si>
    <t>Check the admin trade queue and band editor at 1280px.</t>
  </si>
  <si>
    <t>Usable without horizontal scrolling.</t>
  </si>
  <si>
    <t>Zoom the browser to 150% at 1366px.</t>
  </si>
  <si>
    <t>The layout reflows and nothing is cut off - some users browse zoomed.</t>
  </si>
  <si>
    <t>RSP-008</t>
  </si>
  <si>
    <t>Validation messages and buttons at every width</t>
  </si>
  <si>
    <t>All three widths.</t>
  </si>
  <si>
    <t>Validation errors.</t>
  </si>
  <si>
    <t>Trigger a registration validation error at 375px, 768px and 1366px.</t>
  </si>
  <si>
    <t>The message is visible and legible at all three.</t>
  </si>
  <si>
    <t>Trigger the PO checkout error at all three widths.</t>
  </si>
  <si>
    <t>Visible at all three.</t>
  </si>
  <si>
    <t>Check that primary buttons are reachable without horizontal scrolling at all three.</t>
  </si>
  <si>
    <t>All reachable.</t>
  </si>
  <si>
    <t>Check tap target sizes on the phone.</t>
  </si>
  <si>
    <t>Buttons and checkboxes are large enough to hit accurately.</t>
  </si>
  <si>
    <t>Check that no page scrolls sideways at any width.</t>
  </si>
  <si>
    <t>No horizontal page scrollbar anywhere in the business/trade journey.</t>
  </si>
  <si>
    <t>Regression Testing</t>
  </si>
  <si>
    <t>Confirm the business and trade work has not broken what was already there. Personal and guest journeys must behave exactly as before, and existing pricing, discounts and VAT must be untouched for non-entitled customers.</t>
  </si>
  <si>
    <t>REG-001</t>
  </si>
  <si>
    <t>Personal registration still works</t>
  </si>
  <si>
    <t>No account for personal.test01@example.com.</t>
  </si>
  <si>
    <t>Email: personal.test01@example.com | Phone: +353871234570 | Password: Test@2026Secure!</t>
  </si>
  <si>
    <t>Open {storefront}/register and choose Personal.</t>
  </si>
  <si>
    <t>The Details step shows NO company fields - no company name, no sector, no VAT, no billing-address requirement beyond the normal one.</t>
  </si>
  <si>
    <t>Complete a personal registration and verify the email.</t>
  </si>
  <si>
    <t>Sign in and open the dashboard.</t>
  </si>
  <si>
    <t>Account type Personal. No trade application, no trade status.</t>
  </si>
  <si>
    <t>Check the verification status in admin.</t>
  </si>
  <si>
    <t>Verification status reads "not required" - a personal account has no company details to check, which is a different state from "not checked yet".</t>
  </si>
  <si>
    <t>Confirm no business profile row was created.</t>
  </si>
  <si>
    <t>A personal account has no business profile.</t>
  </si>
  <si>
    <t>REG-002</t>
  </si>
  <si>
    <t>Personal login and browsing</t>
  </si>
  <si>
    <t>REG-001 done.</t>
  </si>
  <si>
    <t>Personal account.</t>
  </si>
  <si>
    <t>Sign in as the personal account.</t>
  </si>
  <si>
    <t>Succeeds.</t>
  </si>
  <si>
    <t>Browse the product catalogue.</t>
  </si>
  <si>
    <t>Products list normally.</t>
  </si>
  <si>
    <t>Use the site search.</t>
  </si>
  <si>
    <t>Results return normally.</t>
  </si>
  <si>
    <t>Open a category/listing page.</t>
  </si>
  <si>
    <t>Loads normally with correct prices.</t>
  </si>
  <si>
    <t>Open a product page.</t>
  </si>
  <si>
    <t>Retail price EUR 505.00. NO band table is advertised.</t>
  </si>
  <si>
    <t>Sign out and browse as a guest.</t>
  </si>
  <si>
    <t>Everything above still works, at retail prices.</t>
  </si>
  <si>
    <t>REG-003</t>
  </si>
  <si>
    <t>Personal cart, checkout, payment and order</t>
  </si>
  <si>
    <t>Signed in as the personal account.</t>
  </si>
  <si>
    <t>10 units at retail.</t>
  </si>
  <si>
    <t>Add 10 units of 'testing product' (product ID 99240288, retail EUR 505.00 ex VAT) to the basket.</t>
  </si>
  <si>
    <t>Retail EUR 505.00 per unit, EUR 5,050.00 ex VAT.</t>
  </si>
  <si>
    <t>Check VAT in the basket.</t>
  </si>
  <si>
    <t>EUR 1,161.50 - 23% of retail.</t>
  </si>
  <si>
    <t>Go to checkout.</t>
  </si>
  <si>
    <t>No PO field is required. No company section.</t>
  </si>
  <si>
    <t>EUR 5,050.00 ex VAT, EUR 1,161.50 VAT, EUR 6,211.50 inc VAT plus shipping.</t>
  </si>
  <si>
    <t>Place and pay for the order.</t>
  </si>
  <si>
    <t>Completes normally.</t>
  </si>
  <si>
    <t>Check the order and the invoice.</t>
  </si>
  <si>
    <t>Correct figures; no empty company/VAT rows showing "null".</t>
  </si>
  <si>
    <t>REG-004</t>
  </si>
  <si>
    <t>Guest checkout still works</t>
  </si>
  <si>
    <t>Add 10 units to the basket as a guest.</t>
  </si>
  <si>
    <t>Complete a guest checkout.</t>
  </si>
  <si>
    <t>The order is placed.</t>
  </si>
  <si>
    <t>Recorded as a guest order with retail prices and no company details.</t>
  </si>
  <si>
    <t>Confirm the guest flow was not broken by the PO requirement.</t>
  </si>
  <si>
    <t>No PO field blocks a guest order.</t>
  </si>
  <si>
    <t>REG-005</t>
  </si>
  <si>
    <t>Existing discounts and vouchers still apply</t>
  </si>
  <si>
    <t>A working voucher or discount. If none is configured, mark Not Applicable.</t>
  </si>
  <si>
    <t>Voucher on a personal basket.</t>
  </si>
  <si>
    <t>As a personal account, apply a percentage voucher to a basket.</t>
  </si>
  <si>
    <t>The discount applies to the subtotal as before.</t>
  </si>
  <si>
    <t>Check the payable total.</t>
  </si>
  <si>
    <t>Correct arithmetic; never below zero.</t>
  </si>
  <si>
    <t>Apply an expired voucher.</t>
  </si>
  <si>
    <t>Apply a voucher that has not started.</t>
  </si>
  <si>
    <t>Apply the same voucher as an ENTITLED account with a band price.</t>
  </si>
  <si>
    <t>Record the interaction between the band price and the voucher. Verify the arithmetic by hand and confirm checkout, order and invoice all agree.</t>
  </si>
  <si>
    <t>Check any bundle or loyalty discount still works.</t>
  </si>
  <si>
    <t>Applies as before for a personal account.</t>
  </si>
  <si>
    <t>REG-006</t>
  </si>
  <si>
    <t>Existing VAT behaviour for non-entitled customers</t>
  </si>
  <si>
    <t>Personal and guest accounts.</t>
  </si>
  <si>
    <t>Test product and a second product.</t>
  </si>
  <si>
    <t>As a personal account, check VAT on the test product.</t>
  </si>
  <si>
    <t>23% of retail - EUR 1,161.50 on 10 units.</t>
  </si>
  <si>
    <t>As a guest, check the same.</t>
  </si>
  <si>
    <t>Identical.</t>
  </si>
  <si>
    <t>Check a VAT-excluded product if one exists.</t>
  </si>
  <si>
    <t>Still untaxed.</t>
  </si>
  <si>
    <t>Check a mixed basket.</t>
  </si>
  <si>
    <t>Each line taxed by its own rule, as before.</t>
  </si>
  <si>
    <t>Confirm the band work did not change VAT for anyone without an entitlement.</t>
  </si>
  <si>
    <t>Identical to the pre-change behaviour.</t>
  </si>
  <si>
    <t>REG-007</t>
  </si>
  <si>
    <t>Admin functionality outside business/trade</t>
  </si>
  <si>
    <t>Admin signed in.</t>
  </si>
  <si>
    <t>Core admin screens.</t>
  </si>
  <si>
    <t>Open the admin dashboard.</t>
  </si>
  <si>
    <t>Loads with no error.</t>
  </si>
  <si>
    <t>Open the product list and edit a product.</t>
  </si>
  <si>
    <t>Open the order list and open an order.</t>
  </si>
  <si>
    <t>Open the customer list.</t>
  </si>
  <si>
    <t>Works normally, now additionally showing account type.</t>
  </si>
  <si>
    <t>Open the tax rules and discount screens.</t>
  </si>
  <si>
    <t>Work normally.</t>
  </si>
  <si>
    <t>Confirm no admin screen throws an error for a PERSONAL customer with no business profile.</t>
  </si>
  <si>
    <t>Personal customers render correctly with empty company sections rather than an error.</t>
  </si>
  <si>
    <t>REG-008</t>
  </si>
  <si>
    <t>Accounts created before the business/trade columns existed</t>
  </si>
  <si>
    <t>A legacy account identified by the dev team. If none exists, mark Not Applicable.</t>
  </si>
  <si>
    <t>Legacy account.</t>
  </si>
  <si>
    <t>Treated as ACTIVE - a missing status reads as active, not suspended. This matters: reading it as suspended would lock out every old customer.</t>
  </si>
  <si>
    <t>Renders with empty company fields rather than an error.</t>
  </si>
  <si>
    <t>Add to basket and check the price.</t>
  </si>
  <si>
    <t>Retail.</t>
  </si>
  <si>
    <t>Open the account in admin.</t>
  </si>
  <si>
    <t>Renders without error.</t>
  </si>
  <si>
    <t>End-to-End Scenarios</t>
  </si>
  <si>
    <t>Five complete journeys, each run start to finish in one sitting without jumping between sheets. Run these LAST, after the module sheets, as the final confidence check. Use fresh accounts so each scenario stands alone.</t>
  </si>
  <si>
    <t>E2E-001</t>
  </si>
  <si>
    <t>Business: registration through to invoice</t>
  </si>
  <si>
    <t>No account for business.e2e01@example.com.</t>
  </si>
  <si>
    <t>Email: business.e2e01@example.com | Phone: +353871234580 | Company: E2E Business Ltd | Sector: Professional services / office | VAT: IE1111111E | Billing: 1 E2E Street, Dublin, D01 AB11, Ireland | PO required: yes | Password: Test@2026Secure!</t>
  </si>
  <si>
    <t>Register a Business account with the data above.</t>
  </si>
  <si>
    <t>Registration is accepted at every step.</t>
  </si>
  <si>
    <t>Complete email verification.</t>
  </si>
  <si>
    <t>Account verified.</t>
  </si>
  <si>
    <t>Account type Business, status active.</t>
  </si>
  <si>
    <t>Open the profile and confirm every registered value is present.</t>
  </si>
  <si>
    <t>Company, VAT, billing address, sector and the PO preference are all there.</t>
  </si>
  <si>
    <t>Sign out and sign back in.</t>
  </si>
  <si>
    <t>Everything persists.</t>
  </si>
  <si>
    <t>Open 'testing product' (product ID 99240288, retail EUR 505.00 ex VAT) and check the price at quantity 1.</t>
  </si>
  <si>
    <t>EUR 505.00 - no band below quantity 5.</t>
  </si>
  <si>
    <t>Check the price at quantity 10.</t>
  </si>
  <si>
    <t>EUR 450.00 - the band applies immediately for a business account, with no approval needed.</t>
  </si>
  <si>
    <t>EUR 1,035.00 - on the band price.</t>
  </si>
  <si>
    <t>Go to checkout and check every figure.</t>
  </si>
  <si>
    <t>EUR 4,500.00 ex VAT, EUR 1,035.00 VAT, EUR 5,535.00 inc VAT plus shipping. Company and VAT number shown.</t>
  </si>
  <si>
    <t>Leave the PO empty and try to place the order.</t>
  </si>
  <si>
    <t>Refused: "Enter the purchase order number for this order."</t>
  </si>
  <si>
    <t>Enter PO-2026-E2E-001 and place the order.</t>
  </si>
  <si>
    <t>Pay with a sandbox method.</t>
  </si>
  <si>
    <t>Payment succeeds; the captured amount equals the checkout total.</t>
  </si>
  <si>
    <t>Open the order in the customer history.</t>
  </si>
  <si>
    <t>All figures, the company, the VAT number and the PO number are correct.</t>
  </si>
  <si>
    <t>Identical figures; account type Business.</t>
  </si>
  <si>
    <t>Identical figures; company, VAT number and PO all present.</t>
  </si>
  <si>
    <t>Compare checkout, order and invoice one final time.</t>
  </si>
  <si>
    <t>All three agree exactly. Any discrepancy is a critical defect.</t>
  </si>
  <si>
    <t>E2E-002</t>
  </si>
  <si>
    <t>Trade: application through approval to invoice</t>
  </si>
  <si>
    <t>No account for trade.e2e01@example.com. Mail capture cleared.</t>
  </si>
  <si>
    <t>Email: trade.e2e01@example.com | Phone: +353861234580 | Company: E2E Trade Ltd | Trade: IT reseller or MSP | VAT: IE2222222E | Expected spend: Over EUR 5,000 | Billing: 2 E2E Estate, Cork, T12 CD22, Ireland | Password: Test@2026Secure!</t>
  </si>
  <si>
    <t>Register a Trade account with the data above and verify the email.</t>
  </si>
  <si>
    <t>Sign in and read the dashboard.</t>
  </si>
  <si>
    <t>Trade account, application PENDING.</t>
  </si>
  <si>
    <t>RETAIL EUR 505.00 - no bands while pending.</t>
  </si>
  <si>
    <t>Add 10 units to the basket and leave them there.</t>
  </si>
  <si>
    <t>Basket at EUR 5,050.00 ex VAT.</t>
  </si>
  <si>
    <t>In admin, open {admin}/trade-applications and find the applicant.</t>
  </si>
  <si>
    <t>Open the application and review every submitted value.</t>
  </si>
  <si>
    <t>Company, VAT, trade type, expected spend and address all match what was entered.</t>
  </si>
  <si>
    <t>Approve with the note "Verified - E2E run".</t>
  </si>
  <si>
    <t>Approval succeeds and reports the transition.</t>
  </si>
  <si>
    <t>ONE email with subject "Your Trade Account Has Been Approved", addressed to the applicant only.</t>
  </si>
  <si>
    <t>Read the email in full.</t>
  </si>
  <si>
    <t>Correct name, correct message, working links, correct branding, NO internal detail.</t>
  </si>
  <si>
    <t>Now shows approved.</t>
  </si>
  <si>
    <t>Open the EXISTING basket without touching it.</t>
  </si>
  <si>
    <t>RE-PRICED to EUR 450.00 per unit, EUR 4,500.00 ex VAT.</t>
  </si>
  <si>
    <t>EUR 420.00 per unit, EUR 10,500.00 ex VAT.</t>
  </si>
  <si>
    <t>Change it back to 10.</t>
  </si>
  <si>
    <t>Go to checkout and enter PO-2026-E2E-002.</t>
  </si>
  <si>
    <t>Accepted (the PO field is optional for this account but should still be stored).</t>
  </si>
  <si>
    <t>Check every checkout figure.</t>
  </si>
  <si>
    <t>EUR 4,500.00 ex VAT, EUR 1,035.00 VAT, EUR 5,535.00 inc VAT plus shipping. Company E2E Trade Ltd and VAT IE2222222E shown.</t>
  </si>
  <si>
    <t>Payment succeeds; the captured amount matches.</t>
  </si>
  <si>
    <t>Open the order in the customer history and in admin.</t>
  </si>
  <si>
    <t>Both show account type Trade, the band price, the company, the VAT number and the PO number.</t>
  </si>
  <si>
    <t>All the same figures.</t>
  </si>
  <si>
    <t>Compare checkout, order and invoice.</t>
  </si>
  <si>
    <t>All three agree exactly.</t>
  </si>
  <si>
    <t>E2E-003</t>
  </si>
  <si>
    <t>Trade: application through rejection</t>
  </si>
  <si>
    <t>No account for trade.e2e02@example.com. Mail capture cleared.</t>
  </si>
  <si>
    <t>Email: trade.e2e02@example.com | Phone: +353861234581 | Company: E2E Reject Ltd | Trade: Other | VAT: IE3333333E | Expected spend: Under EUR 500 | Password: Test@2026Secure!</t>
  </si>
  <si>
    <t>Sign in and confirm the dashboard says pending.</t>
  </si>
  <si>
    <t>Pending.</t>
  </si>
  <si>
    <t>Confirm retail pricing at quantity 10.</t>
  </si>
  <si>
    <t>EUR 505.00.</t>
  </si>
  <si>
    <t>In admin, reject the application with the note "Unable to verify the company."</t>
  </si>
  <si>
    <t>ONE email with subject "Update on Your Trade Account Application", to the applicant only.</t>
  </si>
  <si>
    <t>It says the application was not approved, that the account is STILL OPEN at standard prices, and offers a way to get back in touch. NO internal detail.</t>
  </si>
  <si>
    <t>Sign in as the customer.</t>
  </si>
  <si>
    <t>Sign-in SUCCEEDS - the account is not closed.</t>
  </si>
  <si>
    <t>Read the dashboard.</t>
  </si>
  <si>
    <t>States the application was not approved.</t>
  </si>
  <si>
    <t>Check the product price at quantities 1, 5, 10 and 25.</t>
  </si>
  <si>
    <t>RETAIL EUR 505.00 at every quantity. No bands anywhere.</t>
  </si>
  <si>
    <t>Check the basket, checkout, search and listing prices.</t>
  </si>
  <si>
    <t>Retail everywhere - consistent across all surfaces.</t>
  </si>
  <si>
    <t>Place a retail order and pay.</t>
  </si>
  <si>
    <t>Accepted. A rejected trade application does not stop the customer buying at retail.</t>
  </si>
  <si>
    <t>Check the order and invoice.</t>
  </si>
  <si>
    <t>Retail figures throughout; company and VAT number still shown (the company details were still supplied).</t>
  </si>
  <si>
    <t>E2E-004</t>
  </si>
  <si>
    <t>Approved trade, existing basket, then suspension</t>
  </si>
  <si>
    <t>An approved trade account with band pricing - reuse E2E-002's account.</t>
  </si>
  <si>
    <t>Basket of 10 units at EUR 450.00.</t>
  </si>
  <si>
    <t>Sign in as the approved trade account and add 10 units to the basket.</t>
  </si>
  <si>
    <t>Record the basket totals including VAT.</t>
  </si>
  <si>
    <t>EUR 1,035.00 VAT, EUR 5,535.00 inc VAT.</t>
  </si>
  <si>
    <t>Leave the basket and sign out.</t>
  </si>
  <si>
    <t>Basket retained.</t>
  </si>
  <si>
    <t>In admin, SUSPEND the trade status of the account.</t>
  </si>
  <si>
    <t>Trade status suspended; account status still active.</t>
  </si>
  <si>
    <t>Sign in as the customer and refresh the basket WITHOUT touching the items.</t>
  </si>
  <si>
    <t>RE-PRICED to EUR 505.00 per unit, EUR 5,050.00 ex VAT, VAT EUR 1,161.50.</t>
  </si>
  <si>
    <t>Check the product page and the listing.</t>
  </si>
  <si>
    <t>Retail everywhere; no bands advertised.</t>
  </si>
  <si>
    <t>Retail figures, and checkout IS allowed - suspending trade status withdraws pricing, not the ability to buy.</t>
  </si>
  <si>
    <t>In admin, reinstate the trade status to approved.</t>
  </si>
  <si>
    <t>Approved again.</t>
  </si>
  <si>
    <t>Now SUSPEND THE ACCOUNT instead.</t>
  </si>
  <si>
    <t>Account status suspended; trade status still approved.</t>
  </si>
  <si>
    <t>Reload any page as the customer.</t>
  </si>
  <si>
    <t>Signed out automatically, with the suspension message.</t>
  </si>
  <si>
    <t>Attempt to sign in again.</t>
  </si>
  <si>
    <t>REFUSED - a suspended account cannot sign in at all, so it cannot order.</t>
  </si>
  <si>
    <t>Confirm the message names no internal reason.</t>
  </si>
  <si>
    <t>Only the customer-facing sentence; the staff note is not shown.</t>
  </si>
  <si>
    <t>In admin, reactivate the account.</t>
  </si>
  <si>
    <t>Active.</t>
  </si>
  <si>
    <t>Sign in again and place the order.</t>
  </si>
  <si>
    <t>Sign-in works again and a NEW session is created; the basket is still there at EUR 450.00 per unit and the order is accepted. Note the customer had to sign in again - reactivation does not revive the old session.</t>
  </si>
  <si>
    <t>E2E-005</t>
  </si>
  <si>
    <t>Rejected, reconsidered, then approved</t>
  </si>
  <si>
    <t>The rejected trade account from E2E-003. Mail capture cleared.</t>
  </si>
  <si>
    <t>Rejected &gt; Pending &gt; Approved.</t>
  </si>
  <si>
    <t>Confirm the account is Rejected and gets retail pricing.</t>
  </si>
  <si>
    <t>Rejected; EUR 505.00 at quantity 10.</t>
  </si>
  <si>
    <t>In admin, move the rejected application back to PENDING.</t>
  </si>
  <si>
    <t>ACCEPTED - rejection is not terminal for a trade application.</t>
  </si>
  <si>
    <t>Check the inbox.</t>
  </si>
  <si>
    <t>Record whether an email is sent for the move to pending.</t>
  </si>
  <si>
    <t>Confirm pricing is still retail while pending.</t>
  </si>
  <si>
    <t>EUR 505.00 at quantity 10.</t>
  </si>
  <si>
    <t>Clear the inbox, then APPROVE the application.</t>
  </si>
  <si>
    <t>A NEW approval email with subject "Your Trade Account Has Been Approved". A genuine new transition notifies the customer even though they were emailed about the earlier rejection.</t>
  </si>
  <si>
    <t>Shows approved; no trace of the earlier rejection in the current status.</t>
  </si>
  <si>
    <t>EUR 450.00 - trade pricing is now active.</t>
  </si>
  <si>
    <t>Check verification status in admin.</t>
  </si>
  <si>
    <t>VERIFIED - approving the application is also what marks the company details checked.</t>
  </si>
  <si>
    <t>Build a basket, check out and pay.</t>
  </si>
  <si>
    <t>Band pricing throughout; order completes.</t>
  </si>
  <si>
    <t>Band price, company and VAT number all correct.</t>
  </si>
  <si>
    <t>Admin Customer Preview</t>
  </si>
  <si>
    <t>The admin customer record at {admin}/registered-users/{id}, reached with the View button on the customer list or the "View full customer record" link on a trade application. It shows every value the customer submitted, grouped by the account type they chose. Sections that do not belong to the account type are ABSENT, not blank - a business account has no trade section at all.</t>
  </si>
  <si>
    <t>ACP-001</t>
  </si>
  <si>
    <t>Open a customer record from the customer list</t>
  </si>
  <si>
    <t>Admin signed in with user.view. The Business account from the Business Registration sheet exists.</t>
  </si>
  <si>
    <t>Find business.test01@example.com and locate the View button on its row.</t>
  </si>
  <si>
    <t>A View button is present on the row.</t>
  </si>
  <si>
    <t>Click View.</t>
  </si>
  <si>
    <t>The customer record opens at {admin}/registered-users/{id}. It loads with no error and no blank screen.</t>
  </si>
  <si>
    <t>Check the page header.</t>
  </si>
  <si>
    <t>The customer name, email and phone are shown, with the company name beneath them.</t>
  </si>
  <si>
    <t>Use the "All customers" link at the top.</t>
  </si>
  <si>
    <t>You are returned to the customer list.</t>
  </si>
  <si>
    <t>ACP-002</t>
  </si>
  <si>
    <t>The overview badges name every state at a glance</t>
  </si>
  <si>
    <t>ACP-001 done.</t>
  </si>
  <si>
    <t>Look at the badge row at the top of the record, without scrolling.</t>
  </si>
  <si>
    <t>Account type, account status and verification status are all visible immediately.</t>
  </si>
  <si>
    <t>Read the account type badge.</t>
  </si>
  <si>
    <t>Shows BUSINESS, styled distinctly from the status badges.</t>
  </si>
  <si>
    <t>Read the account status badge.</t>
  </si>
  <si>
    <t>Shows "Account: Active".</t>
  </si>
  <si>
    <t>Read the verification badge.</t>
  </si>
  <si>
    <t>Shows "Verification: Not checked" for a business account that staff have not yet checked, or "Verification: Verified" once they have.</t>
  </si>
  <si>
    <t>Confirm there is NO trade status badge on a business account.</t>
  </si>
  <si>
    <t>Correct - trade status belongs to trade accounts. A business account must not show a trade badge at all.</t>
  </si>
  <si>
    <t>Read the Registered, Last updated and Customer ID values.</t>
  </si>
  <si>
    <t>All three are populated with real values, not "—" or "null".</t>
  </si>
  <si>
    <t>Read the "Business pricing" value.</t>
  </si>
  <si>
    <t>Shows "Entitled" for an active business account - it qualifies from signup.</t>
  </si>
  <si>
    <t>ACP-003</t>
  </si>
  <si>
    <t>A Business record shows every value submitted at registration</t>
  </si>
  <si>
    <t>The Business account registered with the full data set.</t>
  </si>
  <si>
    <t>Daniel Murphy | Murphy IT Solutions Ltd | CRO 123456 | VAT IE1234567A | Sector: Professional services / office | PO required: Yes | Credit application: Yes</t>
  </si>
  <si>
    <t>Open the record and find the Personal information section.</t>
  </si>
  <si>
    <t>Full name shows exactly "Daniel Murphy". Email and phone match what was registered.</t>
  </si>
  <si>
    <t>Find the Business information section.</t>
  </si>
  <si>
    <t>It is present.</t>
  </si>
  <si>
    <t>Check Company name.</t>
  </si>
  <si>
    <t>Check Company registration number.</t>
  </si>
  <si>
    <t>Check VAT number.</t>
  </si>
  <si>
    <t>Check Sector.</t>
  </si>
  <si>
    <t>Shows exactly: Professional services / office</t>
  </si>
  <si>
    <t>Find the Registered address section and check Billing address.</t>
  </si>
  <si>
    <t>Find the Account preferences section.</t>
  </si>
  <si>
    <t>Check "Purchase order required at checkout".</t>
  </si>
  <si>
    <t>Shows a Yes badge - matching the box ticked at registration.</t>
  </si>
  <si>
    <t>Check "Credit account requested".</t>
  </si>
  <si>
    <t>Shows a Yes badge.</t>
  </si>
  <si>
    <t>Check the marketing preferences.</t>
  </si>
  <si>
    <t>Email offers, SMS offers and Product recommendations each show Yes or No matching what was chosen at registration.</t>
  </si>
  <si>
    <t>Compare every value on screen against the registration data you entered.</t>
  </si>
  <si>
    <t>Every single one matches. Any value that differs, or is missing from this screen entirely, is a defect - registration data must not disappear after submission.</t>
  </si>
  <si>
    <t>ACP-004</t>
  </si>
  <si>
    <t>A Business record shows NO trade fields</t>
  </si>
  <si>
    <t>ACP-003 done.</t>
  </si>
  <si>
    <t>Business account.</t>
  </si>
  <si>
    <t>Scroll the whole record looking for a "Trade application" section.</t>
  </si>
  <si>
    <t>There is NO trade application section anywhere on a business record.</t>
  </si>
  <si>
    <t>Look for Trade type, Expected monthly spend, Website or Resale confirmed.</t>
  </si>
  <si>
    <t>None of these appear. They are trade-only questions and a business customer was never asked them.</t>
  </si>
  <si>
    <t>Confirm they are ABSENT rather than shown blank.</t>
  </si>
  <si>
    <t>Critical: they must not appear as empty rows. An empty "Trade type" row reads as though the customer failed to answer a question they were never asked.</t>
  </si>
  <si>
    <t>Look for a "Trade mailing list" preference.</t>
  </si>
  <si>
    <t>Absent - that preference is trade-only.</t>
  </si>
  <si>
    <t>ACP-005</t>
  </si>
  <si>
    <t>A Personal record shows no company or trade data</t>
  </si>
  <si>
    <t>A personal account exists (register personal.test01@example.com if needed).</t>
  </si>
  <si>
    <t>Open the personal customer record.</t>
  </si>
  <si>
    <t>It loads.</t>
  </si>
  <si>
    <t>Shows PERSONAL.</t>
  </si>
  <si>
    <t>Shows "Verification: Not required" - a personal account has no company details to check. This is a different state from "Not checked".</t>
  </si>
  <si>
    <t>Look for a Business information section.</t>
  </si>
  <si>
    <t>ABSENT.</t>
  </si>
  <si>
    <t>Look for a Registered address section.</t>
  </si>
  <si>
    <t>ABSENT - registration collects a billing address only from business and trade accounts.</t>
  </si>
  <si>
    <t>Look for a Trade application section.</t>
  </si>
  <si>
    <t>Confirm the sections that ARE shown.</t>
  </si>
  <si>
    <t>Personal information, Account preferences and Account and verification. Nothing else.</t>
  </si>
  <si>
    <t>Check the Personal information values.</t>
  </si>
  <si>
    <t>Name, email and phone all match what was registered.</t>
  </si>
  <si>
    <t>Check Account preferences.</t>
  </si>
  <si>
    <t>Only the three marketing preferences - no PO requirement and no credit application, because those are business questions.</t>
  </si>
  <si>
    <t>ACP-006</t>
  </si>
  <si>
    <t>A Trade Pending record shows the whole application</t>
  </si>
  <si>
    <t>The trade account from the Trade Registration sheet, still Pending.</t>
  </si>
  <si>
    <t>James O'Brien | O'Brien Electrical Services Ltd | VAT IE7654321B | CRO 654321 | Trade: Field engineer / sole trader | Spend: EUR 2,000 - 5,000 | Website https://example.com | Resale: Yes</t>
  </si>
  <si>
    <t>Open the trade customer record.</t>
  </si>
  <si>
    <t>Read the badge row.</t>
  </si>
  <si>
    <t>Account type TRADE, plus "Account: Active", "Verification: Not checked" AND "Trade: Pending". All four visible without scrolling.</t>
  </si>
  <si>
    <t>Check Personal information.</t>
  </si>
  <si>
    <t>Full name shows exactly "James O'Brien" - the apostrophe intact and not escaped as &amp;#39;.</t>
  </si>
  <si>
    <t>Check the Business information section.</t>
  </si>
  <si>
    <t>Company name O'Brien Electrical Services Ltd, VAT IE7654321B, CRO 654321.</t>
  </si>
  <si>
    <t>Confirm there is NO Sector field on the trade record.</t>
  </si>
  <si>
    <t>Correct - sector is a business-only question. It must be absent, not blank.</t>
  </si>
  <si>
    <t>Find the Trade application section.</t>
  </si>
  <si>
    <t>Check Trade type.</t>
  </si>
  <si>
    <t>Shows exactly: Field engineer / sole trader</t>
  </si>
  <si>
    <t>Check Expected monthly spend.</t>
  </si>
  <si>
    <t>Shows exactly the band chosen at registration.</t>
  </si>
  <si>
    <t>Check Website.</t>
  </si>
  <si>
    <t>Shows exactly: https://example.com</t>
  </si>
  <si>
    <t>Check Resale confirmed.</t>
  </si>
  <si>
    <t>Check "Applied on".</t>
  </si>
  <si>
    <t>Shows the date the application was submitted.</t>
  </si>
  <si>
    <t>Check "Decision recorded".</t>
  </si>
  <si>
    <t>Shows "Not provided" - no decision has been made yet.</t>
  </si>
  <si>
    <t>Check "Note sent to the customer".</t>
  </si>
  <si>
    <t>Shows "Not provided" - no note yet.</t>
  </si>
  <si>
    <t>Check the "Business pricing" value in the overview.</t>
  </si>
  <si>
    <t>Shows "Not entitled" - a pending trade account buys at retail.</t>
  </si>
  <si>
    <t>ACP-007</t>
  </si>
  <si>
    <t>An optional field left blank reads as "Not provided"</t>
  </si>
  <si>
    <t>A trade or business account registered without the optional website / CRO number.</t>
  </si>
  <si>
    <t>Register trade.minimal01@example.com leaving website and CRO empty.</t>
  </si>
  <si>
    <t>Register an account leaving the optional fields empty, then open its admin record.</t>
  </si>
  <si>
    <t>Find the optional field that was left blank.</t>
  </si>
  <si>
    <t>It shows the italic text "Not provided", greyed - NOT an empty row, NOT "null", NOT "0", NOT "—" alone.</t>
  </si>
  <si>
    <t>Confirm a required field that WAS filled shows its value normally.</t>
  </si>
  <si>
    <t>Filled values render in normal text.</t>
  </si>
  <si>
    <t>Check a Yes/No preference that was left unticked.</t>
  </si>
  <si>
    <t>Shows a "No" badge, NOT "Not provided". A No is an answer, not a blank.</t>
  </si>
  <si>
    <t>ACP-008</t>
  </si>
  <si>
    <t>A Trade Approved record shows the decision and the entitlement</t>
  </si>
  <si>
    <t>ACP-006 done. Approve the application from this screen or the trade queue with a note.</t>
  </si>
  <si>
    <t>Note: Verified against CRO listing.</t>
  </si>
  <si>
    <t>Approve the trade application, entering the note "Verified against CRO listing."</t>
  </si>
  <si>
    <t>The approval succeeds.</t>
  </si>
  <si>
    <t>Now shows "Trade: Approved".</t>
  </si>
  <si>
    <t>Now shows "Verification: Verified" - approving the application is also what marks the company details checked. The two cannot drift apart.</t>
  </si>
  <si>
    <t>Now shows "Entitled".</t>
  </si>
  <si>
    <t>Check "Decision recorded" in the Trade application section.</t>
  </si>
  <si>
    <t>Now shows the date and time of the decision.</t>
  </si>
  <si>
    <t>Shows "Verified against CRO listing." and is labelled as a note the CUSTOMER sees, not an internal remark.</t>
  </si>
  <si>
    <t>Confirm every registration value is still present and unchanged.</t>
  </si>
  <si>
    <t>Company, VAT, CRO, trade type, spend, website, address and preferences are all exactly as before. Approving must not alter submitted data.</t>
  </si>
  <si>
    <t>ACP-009</t>
  </si>
  <si>
    <t>A Trade Rejected record</t>
  </si>
  <si>
    <t>A trade application in Rejected state (use trade.reject01@example.com).</t>
  </si>
  <si>
    <t>Note: Could not verify the company at the address given.</t>
  </si>
  <si>
    <t>Reject the application with the note above, then open the record.</t>
  </si>
  <si>
    <t>Shows "Trade: Rejected".</t>
  </si>
  <si>
    <t>Still "Account: Active" - rejecting the application does not close the customer account.</t>
  </si>
  <si>
    <t>Shows "Not entitled".</t>
  </si>
  <si>
    <t>Check the Trade application section.</t>
  </si>
  <si>
    <t>Decision recorded shows the date; the note shows the rejection reason.</t>
  </si>
  <si>
    <t>Confirm the whole application is still readable.</t>
  </si>
  <si>
    <t>Company, VAT, trade type, spend and address are all still shown - a rejected application must remain reviewable for a later appeal.</t>
  </si>
  <si>
    <t>ACP-010</t>
  </si>
  <si>
    <t>A Trade Suspended record keeps the two axes separate</t>
  </si>
  <si>
    <t>An approved trade account (use trade.suspend01@example.com).</t>
  </si>
  <si>
    <t>Suspend the TRADE status, then separately suspend the ACCOUNT.</t>
  </si>
  <si>
    <t>Suspend the TRADE status from the record.</t>
  </si>
  <si>
    <t>Shows "Trade: Suspended" and "Account: Active". Only the trade axis moved.</t>
  </si>
  <si>
    <t>Reinstate the trade status to Approved, then suspend the ACCOUNT instead.</t>
  </si>
  <si>
    <t>Shows "Account: Suspended" and "Trade: Approved". The application still stands underneath the suspension.</t>
  </si>
  <si>
    <t>Shows "Not entitled" - a suspended account gets nothing even with an approved application.</t>
  </si>
  <si>
    <t>Check the internal status note area.</t>
  </si>
  <si>
    <t>The suspension note entered by staff is shown, visually distinct (amber, left-bordered) and labelled "Internal status note".</t>
  </si>
  <si>
    <t>Confirm the internal note does NOT appear among the submitted fields.</t>
  </si>
  <si>
    <t>Critical: it must never appear inside Personal information, Business information, Trade application or Preferences. It is a staff remark, not customer-submitted data.</t>
  </si>
  <si>
    <t>Reactivate the account before continuing.</t>
  </si>
  <si>
    <t>Badges return to Active / Approved and pricing returns to Entitled.</t>
  </si>
  <si>
    <t>ACP-011</t>
  </si>
  <si>
    <t>Reading is clearly separated from acting</t>
  </si>
  <si>
    <t>Any customer record open.</t>
  </si>
  <si>
    <t>Business or trade account.</t>
  </si>
  <si>
    <t>Look for the section banner above the detail cards.</t>
  </si>
  <si>
    <t>A "View details" banner states the section is read-only.</t>
  </si>
  <si>
    <t>Look for the banner above the action controls.</t>
  </si>
  <si>
    <t>An "Admin actions" banner, styled in red, states these change the customer account.</t>
  </si>
  <si>
    <t>Confirm the detail sections contain no editable inputs.</t>
  </si>
  <si>
    <t>The submitted data is displayed as text only. There is no way to accidentally edit a customer value while reading it.</t>
  </si>
  <si>
    <t>Confirm the only inputs on the page are in the Admin actions section.</t>
  </si>
  <si>
    <t>Only the trade note field sits in the actions area.</t>
  </si>
  <si>
    <t>Scroll through the record without clicking anything, then refresh.</t>
  </si>
  <si>
    <t>Nothing changed. Verify in the database or by re-reading that no customer value was modified by viewing.</t>
  </si>
  <si>
    <t>ACP-012</t>
  </si>
  <si>
    <t>Approve a trade application after reviewing on one screen</t>
  </si>
  <si>
    <t>A pending trade application.</t>
  </si>
  <si>
    <t>Decision made from the customer record.</t>
  </si>
  <si>
    <t>Open the pending trade customer record.</t>
  </si>
  <si>
    <t>Without navigating away, confirm you can read: account type, customer details, company details, VAT, trade type, expected spend, website, resale confirmation, address, verification status and application status.</t>
  </si>
  <si>
    <t>ALL of these are readable on this one page. Record any that require navigating to another screen - the whole point is that a reviewer should not have to.</t>
  </si>
  <si>
    <t>Find the Admin actions section.</t>
  </si>
  <si>
    <t>Trade application, Company details check and Account status controls are all present.</t>
  </si>
  <si>
    <t>Enter a note and click Approve.</t>
  </si>
  <si>
    <t>A confirmation dialog appears explaining that pricing switches on immediately and the customer is emailed.</t>
  </si>
  <si>
    <t>Confirm the dialog.</t>
  </si>
  <si>
    <t>The approval succeeds and the badges update without a manual page reload.</t>
  </si>
  <si>
    <t>One approval email with subject "Your Trade Account Has Been Approved".</t>
  </si>
  <si>
    <t>ACP-013</t>
  </si>
  <si>
    <t>Only the actions the backend will accept are offered</t>
  </si>
  <si>
    <t>Trade accounts in several states.</t>
  </si>
  <si>
    <t>Pending / Approved / Rejected accounts.</t>
  </si>
  <si>
    <t>Open a PENDING trade record and read the trade buttons.</t>
  </si>
  <si>
    <t>Approve and Reject are offered. "Suspend trade pricing" is NOT offered - a pending application cannot be suspended.</t>
  </si>
  <si>
    <t>Open an APPROVED record.</t>
  </si>
  <si>
    <t>Reject and "Suspend trade pricing" are offered; Approve is not (it is already approved).</t>
  </si>
  <si>
    <t>Open a REJECTED record.</t>
  </si>
  <si>
    <t>Approve and "Back to pending" are offered.</t>
  </si>
  <si>
    <t>Open a record whose ACCOUNT is rejected.</t>
  </si>
  <si>
    <t>No Reactivate button. Instead a line reads "A rejected account cannot be reactivated." - rejected is terminal for an account.</t>
  </si>
  <si>
    <t>Open a PERSONAL record.</t>
  </si>
  <si>
    <t>No trade controls and no "Company details check" controls - a personal account has no company details to verify.</t>
  </si>
  <si>
    <t>Attempt an action and have it refused by the server (for example suspend a pending application through the API).</t>
  </si>
  <si>
    <t>The screen shows the refusal message and the badges still show the real state, not the state you asked for.</t>
  </si>
  <si>
    <t>ACP-014</t>
  </si>
  <si>
    <t>Mark company details verified from the record</t>
  </si>
  <si>
    <t>The Business account with verification status "Not checked".</t>
  </si>
  <si>
    <t>Open the business record and find "Company details check" in Admin actions.</t>
  </si>
  <si>
    <t>Mark verified / Mark rejected controls are present.</t>
  </si>
  <si>
    <t>Click "Mark verified".</t>
  </si>
  <si>
    <t>Succeeds. The verification badge changes to "Verification: Verified".</t>
  </si>
  <si>
    <t>Check the "Business pricing" value.</t>
  </si>
  <si>
    <t>UNCHANGED - still Entitled. A business account already had band pricing from signup; verification and entitlement are separate facts.</t>
  </si>
  <si>
    <t>Click "Back to unchecked".</t>
  </si>
  <si>
    <t>The badge returns to "Verification: Not checked".</t>
  </si>
  <si>
    <t>ACP-015</t>
  </si>
  <si>
    <t>Data survives refresh, sign-out and sign-in</t>
  </si>
  <si>
    <t>A fully populated trade record.</t>
  </si>
  <si>
    <t>Any account type.</t>
  </si>
  <si>
    <t>Open a customer record and note every displayed value.</t>
  </si>
  <si>
    <t>Values recorded.</t>
  </si>
  <si>
    <t>Press F5 to refresh.</t>
  </si>
  <si>
    <t>Every value is identical after the reload.</t>
  </si>
  <si>
    <t>Sign out of the admin panel and sign back in.</t>
  </si>
  <si>
    <t>Open the same customer record again.</t>
  </si>
  <si>
    <t>Every value is still present and identical. No registration data has been lost.</t>
  </si>
  <si>
    <t>Repeat for a Business, a Personal and a Trade record.</t>
  </si>
  <si>
    <t>All three survive intact.</t>
  </si>
  <si>
    <t>ACP-016</t>
  </si>
  <si>
    <t>Registration, profile and admin all agree</t>
  </si>
  <si>
    <t>A Business and a Trade account whose registration values you recorded.</t>
  </si>
  <si>
    <t>Compare three surfaces.</t>
  </si>
  <si>
    <t>Write down the values entered at registration for the Business account.</t>
  </si>
  <si>
    <t>Sign in as that customer and open {storefront}/user/profile. Record what it shows.</t>
  </si>
  <si>
    <t>Open the same customer in the admin record. Record what it shows.</t>
  </si>
  <si>
    <t>Compare company name across all three.</t>
  </si>
  <si>
    <t>Compare VAT number, CRO number, sector and billing address across all three.</t>
  </si>
  <si>
    <t>Compare the PO requirement and credit application across all three.</t>
  </si>
  <si>
    <t>Edit a value from the customer profile, save, then re-open the admin record.</t>
  </si>
  <si>
    <t>The admin record shows the UPDATED value. The two surfaces must not drift.</t>
  </si>
  <si>
    <t>Repeat the comparison for the Trade account, including trade type, expected spend, website and resale confirmation.</t>
  </si>
  <si>
    <t>Identical across registration, profile and admin.</t>
  </si>
  <si>
    <t>List any field collected at registration that appears on NEITHER the profile NOR the admin record.</t>
  </si>
  <si>
    <t>Record each one as a missing implementation. The record has a "Not collected at registration" section for fields that were never asked - anything collected but not displayed anywhere is a different problem and should be raised.</t>
  </si>
  <si>
    <t>ACP-017</t>
  </si>
  <si>
    <t>The record names what registration never asked for</t>
  </si>
  <si>
    <t>The "Not collected at registration" section.</t>
  </si>
  <si>
    <t>Find the "Not collected at registration" section and expand it.</t>
  </si>
  <si>
    <t>It lists the fields the application does not collect.</t>
  </si>
  <si>
    <t>Read the entries on a TRADE record.</t>
  </si>
  <si>
    <t>It names separate first/last name, structured address fields, delivery address at registration, sector, years in business, and "reviewed by" on the application.</t>
  </si>
  <si>
    <t>Read the entries on a BUSINESS record.</t>
  </si>
  <si>
    <t>It names the trade-only fields as not applicable to this account type.</t>
  </si>
  <si>
    <t>Confirm these are presented as facts about the form, not as customer failures.</t>
  </si>
  <si>
    <t>The wording explains the field was never asked for. Do NOT raise defects for these - they are documented gaps.</t>
  </si>
  <si>
    <t>ACP-018</t>
  </si>
  <si>
    <t>Delivery addresses are shown and labelled as post-registration</t>
  </si>
  <si>
    <t>A customer who has added at least one delivery address. If none has, mark Not Applicable.</t>
  </si>
  <si>
    <t>Customer with a saved address.</t>
  </si>
  <si>
    <t>As the customer, add a delivery address in the storefront.</t>
  </si>
  <si>
    <t>Open the admin customer record and find the Delivery addresses section.</t>
  </si>
  <si>
    <t>The section appears, with a count.</t>
  </si>
  <si>
    <t>Check the address values.</t>
  </si>
  <si>
    <t>Address lines, city, county, Eircode and country all match what the customer entered.</t>
  </si>
  <si>
    <t>Check the default address.</t>
  </si>
  <si>
    <t>It carries a "Default" badge.</t>
  </si>
  <si>
    <t>Read the note above the addresses.</t>
  </si>
  <si>
    <t>It states these were added after registration and that registration itself collects only the billing address. A reviewer must not mistake them for registration data.</t>
  </si>
  <si>
    <t>Open a customer with NO delivery addresses.</t>
  </si>
  <si>
    <t>The section is absent entirely - not an empty box.</t>
  </si>
  <si>
    <t>ACP-019</t>
  </si>
  <si>
    <t>No credentials or authentication secrets are exposed</t>
  </si>
  <si>
    <t>Admin signed in. Developer tools available.</t>
  </si>
  <si>
    <t>Inspect the API response behind the record.</t>
  </si>
  <si>
    <t>Open a customer record with developer tools on the Network tab.</t>
  </si>
  <si>
    <t>The user/find request is visible.</t>
  </si>
  <si>
    <t>Read the full JSON response body.</t>
  </si>
  <si>
    <t>Inspect it carefully for the fields below.</t>
  </si>
  <si>
    <t>Search the response for "password".</t>
  </si>
  <si>
    <t>ABSENT. No password and no password hash.</t>
  </si>
  <si>
    <t>Search the response for "code".</t>
  </si>
  <si>
    <t>The live one-time verification/sign-in code must be ABSENT. This code can sign the customer in, so its presence is a CRITICAL defect - raise it immediately.</t>
  </si>
  <si>
    <t>Search for "two_factor_secret" and "two_factor_recovery_codes".</t>
  </si>
  <si>
    <t>Both ABSENT.</t>
  </si>
  <si>
    <t>Search for "remember_token".</t>
  </si>
  <si>
    <t>Search for payment credentials or card data.</t>
  </si>
  <si>
    <t>Check what IS shown about verification on the page.</t>
  </si>
  <si>
    <t>Only whether email and phone are confirmed and whether two-factor is on - never the secrets themselves.</t>
  </si>
  <si>
    <t>ACP-020</t>
  </si>
  <si>
    <t>The record is permission-gated</t>
  </si>
  <si>
    <t>A customer account, and if possible an admin without user.view / user.edit.</t>
  </si>
  <si>
    <t>Direct URL and direct API.</t>
  </si>
  <si>
    <t>Sign out of admin entirely and open {admin}/registered-users/1 directly.</t>
  </si>
  <si>
    <t>Access is refused. No customer data is shown.</t>
  </si>
  <si>
    <t>Call GET /api/admin/user/find/{id} with no authorisation.</t>
  </si>
  <si>
    <t>Refused. NOTE: this API answers HTTP 201 with the refusal in the response BODY - confirm the body reads "Unauthenticated." rather than judging by the HTTP code.</t>
  </si>
  <si>
    <t>Sign in as a normal CUSTOMER and call the same endpoint.</t>
  </si>
  <si>
    <t>Refused in the body. No customer record is returned.</t>
  </si>
  <si>
    <t>If an admin without user.view is available, sign in as them and open the record.</t>
  </si>
  <si>
    <t>If an admin with user.view but WITHOUT user.edit is available, open the record.</t>
  </si>
  <si>
    <t>The details are readable but the Admin actions section is not offered. Confirm the backend also refuses the action if called directly.</t>
  </si>
  <si>
    <t>ACP-021</t>
  </si>
  <si>
    <t>Sections are collapsible and the layout is scannable</t>
  </si>
  <si>
    <t>Any customer record.</t>
  </si>
  <si>
    <t>Trade account (the longest record).</t>
  </si>
  <si>
    <t>Open a trade record.</t>
  </si>
  <si>
    <t>All sections are expanded on arrival, so a reviewer can read the whole application without clicking.</t>
  </si>
  <si>
    <t>Click a section heading.</t>
  </si>
  <si>
    <t>It collapses and the +/− indicator flips.</t>
  </si>
  <si>
    <t>Click it again.</t>
  </si>
  <si>
    <t>It expands again with the same content.</t>
  </si>
  <si>
    <t>Check that labels and values are visually distinct.</t>
  </si>
  <si>
    <t>Labels are small and grey, values larger and darker.</t>
  </si>
  <si>
    <t>Check Yes/No answers.</t>
  </si>
  <si>
    <t>Shown as coloured pills, not bare text.</t>
  </si>
  <si>
    <t>Confirm the page is not one long unstructured form.</t>
  </si>
  <si>
    <t>Content is grouped into titled cards with clear headings.</t>
  </si>
  <si>
    <t>ACP-022</t>
  </si>
  <si>
    <t>The record is usable on tablet and mobile</t>
  </si>
  <si>
    <t>1366px, 768px and 375px.</t>
  </si>
  <si>
    <t>Open a trade customer record at 1366px.</t>
  </si>
  <si>
    <t>Fields are laid out in multiple columns. No horizontal page scrolling.</t>
  </si>
  <si>
    <t>Resize to 768px.</t>
  </si>
  <si>
    <t>The layout reflows. Badges wrap rather than overflowing. No horizontal page scrolling.</t>
  </si>
  <si>
    <t>Resize to 375px.</t>
  </si>
  <si>
    <t>Fields stack into a single column. Every value is readable and every action button is reachable.</t>
  </si>
  <si>
    <t>Check the badge row at 375px.</t>
  </si>
  <si>
    <t>All badges are visible, wrapped onto multiple lines rather than cut off.</t>
  </si>
  <si>
    <t>Check the Admin actions section at 375px.</t>
  </si>
  <si>
    <t>The note field and all buttons are usable with a thumb.</t>
  </si>
  <si>
    <t>Confirm no page scrolls sideways at any of the three widths.</t>
  </si>
  <si>
    <t>No horizontal scrollbar anywhere on the record.</t>
  </si>
  <si>
    <t>ACP-023</t>
  </si>
  <si>
    <t>Reaching the record from a trade application</t>
  </si>
  <si>
    <t>A pending trade application in the queue.</t>
  </si>
  <si>
    <t>Open {admin}/trade-applications and find a pending applicant.</t>
  </si>
  <si>
    <t>The card shows company, contact, trade, VAT, CRO, expected spend, website, applied date, business address and resale confirmation.</t>
  </si>
  <si>
    <t>Check the two account-state facts on the card.</t>
  </si>
  <si>
    <t>The card also shows "Account status" and "Details checked". Verify they match the real state - suspend the account and confirm the card says Suspended, not Active.</t>
  </si>
  <si>
    <t>Find the "View full customer record" link on the card.</t>
  </si>
  <si>
    <t>The link is present.</t>
  </si>
  <si>
    <t>Click it.</t>
  </si>
  <si>
    <t>The full customer record opens for that applicant.</t>
  </si>
  <si>
    <t>Confirm you can now see everything the card did not carry.</t>
  </si>
  <si>
    <t>Marketing preferences, PO requirement, email/phone confirmation and account history are all on the record.</t>
  </si>
  <si>
    <t>Use the back link to return.</t>
  </si>
  <si>
    <t>You are returned to the customer list. (Note: this returns to the customer list, not the trade queue - record whether that is acceptable for your workflow.)</t>
  </si>
  <si>
    <t>ACP-024</t>
  </si>
  <si>
    <t>Submitted values are shown verbatim, including awkward input</t>
  </si>
  <si>
    <t>Ability to register accounts with awkward but legitimate values.</t>
  </si>
  <si>
    <t>Company: O'Brien &amp; Sons (Ltd) | Address with line breaks | Long company name</t>
  </si>
  <si>
    <t>Register a business account with company name "O'Brien &amp; Sons (Ltd)".</t>
  </si>
  <si>
    <t>Registration succeeds.</t>
  </si>
  <si>
    <t>Open the admin record and read the company name.</t>
  </si>
  <si>
    <t>Shows exactly O'Brien &amp; Sons (Ltd). The apostrophe and ampersand render as themselves, NOT as &amp;#39; or &amp;amp;.</t>
  </si>
  <si>
    <t>Register an account whose billing address contains line breaks.</t>
  </si>
  <si>
    <t>Read the billing address on the record.</t>
  </si>
  <si>
    <t>The whole address is shown, wrapped or with its line breaks preserved. Nothing is truncated.</t>
  </si>
  <si>
    <t>Register an account with a 200-character company name.</t>
  </si>
  <si>
    <t>Open the record - the name wraps within its card rather than overflowing or being cut off.</t>
  </si>
  <si>
    <t>Register an account with &lt;script&gt;alert(1)&lt;/script&gt; as the company name.</t>
  </si>
  <si>
    <t>Open the record - NO JavaScript alert fires. The value renders as inert text.</t>
  </si>
  <si>
    <t>Wizard Type Switching</t>
  </si>
  <si>
    <t>The registration wizard at {storefront}/register keeps ONE form so moving back and forward does not lose what was typed. What it submits is filtered by the chosen account type. Company name, VAT, CRO and billing address are SHARED by business and trade and survive a switch between them; sector / PO / credit are business-only and trade / spend / website / resale are trade-only.</t>
  </si>
  <si>
    <t>WIZ-001</t>
  </si>
  <si>
    <t>Test Case 1 — Business, fill details, Back, Forward</t>
  </si>
  <si>
    <t>No user signed in. Registration page open.</t>
  </si>
  <si>
    <t>Company: Murphy IT Solutions Ltd | Sector: Professional services / office | Billing: 25 Main Street, Dublin, Ireland | VAT: IE1234567A | CRO: 123456 | PO: ticked | Credit: ticked</t>
  </si>
  <si>
    <t>Open {storefront}/register and choose Business.</t>
  </si>
  <si>
    <t>The Details step opens showing the business field set.</t>
  </si>
  <si>
    <t>Fill in every business field with the test data, and the common fields (name, email, phone, password). Do NOT submit.</t>
  </si>
  <si>
    <t>All values accepted.</t>
  </si>
  <si>
    <t>Click "← Change account type" to return to the Account Type step.</t>
  </si>
  <si>
    <t>The type step opens. NOTHING is submitted - no account is created.</t>
  </si>
  <si>
    <t>Confirm the Business card is marked as the current choice.</t>
  </si>
  <si>
    <t>The Business card carries a "Current choice" marker and a highlighted border. The other two do not.</t>
  </si>
  <si>
    <t>Click the Business card again to go forward to Details.</t>
  </si>
  <si>
    <t>The Details step reopens. No confirmation dialog appears - the type has not changed.</t>
  </si>
  <si>
    <t>Still "Murphy IT Solutions Ltd".</t>
  </si>
  <si>
    <t>Still "Professional services / office".</t>
  </si>
  <si>
    <t>Check Billing address.</t>
  </si>
  <si>
    <t>Still "25 Main Street, Dublin, Ireland".</t>
  </si>
  <si>
    <t>Check VAT number and CRO number.</t>
  </si>
  <si>
    <t>Still IE1234567A and 123456.</t>
  </si>
  <si>
    <t>Check the PO required and Credit application boxes.</t>
  </si>
  <si>
    <t>Both still ticked.</t>
  </si>
  <si>
    <t>Check the common fields - name, email, phone, password.</t>
  </si>
  <si>
    <t>All still populated.</t>
  </si>
  <si>
    <t>In admin, search for the email address used.</t>
  </si>
  <si>
    <t>NO account exists. Moving around the wizard must never create a customer, a business profile or a trade application.</t>
  </si>
  <si>
    <t>WIZ-002</t>
  </si>
  <si>
    <t>Test Case 2 — Business to Personal</t>
  </si>
  <si>
    <t>WIZ-001 done: business details filled but not submitted.</t>
  </si>
  <si>
    <t>Switch to Personal.</t>
  </si>
  <si>
    <t>From the filled business Details step, go back to Account Type.</t>
  </si>
  <si>
    <t>Type step opens with Business marked as current.</t>
  </si>
  <si>
    <t>Click the Personal card.</t>
  </si>
  <si>
    <t>A confirmation dialog appears listing the answers that will no longer be part of the registration - Company name, Sector, Billing address, VAT number, CRO number, Purchase order requirement, Credit account request.</t>
  </si>
  <si>
    <t>Click Cancel on the dialog.</t>
  </si>
  <si>
    <t>You stay on the type step. Business is still the current choice and nothing was lost.</t>
  </si>
  <si>
    <t>Click the Personal card again and click Continue/OK.</t>
  </si>
  <si>
    <t>The Details step opens with the PERSONAL field set.</t>
  </si>
  <si>
    <t>Look for Company name, Sector, CRO number, Billing address.</t>
  </si>
  <si>
    <t>ALL ABSENT. Business-only fields must not be displayed as personal fields.</t>
  </si>
  <si>
    <t>Look for the PO required and Credit application checkboxes.</t>
  </si>
  <si>
    <t>Look for the trade fields.</t>
  </si>
  <si>
    <t>Check the common fields.</t>
  </si>
  <si>
    <t>Name, email, phone and password are still populated - they belong to every account type.</t>
  </si>
  <si>
    <t>Submit the personal registration and complete email verification.</t>
  </si>
  <si>
    <t>The account is created.</t>
  </si>
  <si>
    <t>In admin, open the new customer record.</t>
  </si>
  <si>
    <t>Account type PERSONAL. Verification status "Not required". NO business profile at all - not an empty one.</t>
  </si>
  <si>
    <t>Confirm no company data was stored.</t>
  </si>
  <si>
    <t>No company name, VAT, CRO, sector or billing address anywhere on the record.</t>
  </si>
  <si>
    <t>WIZ-003</t>
  </si>
  <si>
    <t>Test Case 3 — Personal to Business</t>
  </si>
  <si>
    <t>Registration page open. Personal selected and the common fields filled.</t>
  </si>
  <si>
    <t>Then switch to Business.</t>
  </si>
  <si>
    <t>Choose Personal, fill the common fields, do not submit.</t>
  </si>
  <si>
    <t>Personal details step, no company fields.</t>
  </si>
  <si>
    <t>Go back to Account Type and click Business.</t>
  </si>
  <si>
    <t>NO confirmation dialog - a personal account has no type-specific answers to strand.</t>
  </si>
  <si>
    <t>Check the Details step.</t>
  </si>
  <si>
    <t>The business field set is displayed: Company name, Sector, VAT, CRO, Billing address, PO and Credit checkboxes.</t>
  </si>
  <si>
    <t>Submit with the company name empty.</t>
  </si>
  <si>
    <t>Refused with "Enter the company name." - business validation is now active.</t>
  </si>
  <si>
    <t>Submit with Sector empty.</t>
  </si>
  <si>
    <t>Refused with "Choose what the business does."</t>
  </si>
  <si>
    <t>Submit with Billing address empty.</t>
  </si>
  <si>
    <t>Refused with "We need a billing address for VAT invoices."</t>
  </si>
  <si>
    <t>Fill all business fields and submit.</t>
  </si>
  <si>
    <t>Accepted; the wizard advances to Verify.</t>
  </si>
  <si>
    <t>If business values were entered earlier in this same wizard session, check whether they were restored.</t>
  </si>
  <si>
    <t>The wizard keeps values in state, so anything typed before is restored. Record the actual behaviour.</t>
  </si>
  <si>
    <t>WIZ-004</t>
  </si>
  <si>
    <t>Test Case 4 — Business to Trade, VAT becomes required</t>
  </si>
  <si>
    <t>Business details filled in, not submitted.</t>
  </si>
  <si>
    <t>Switch to Trade.</t>
  </si>
  <si>
    <t>From a filled business Details step, go back to Account Type and click Trade.</t>
  </si>
  <si>
    <t>A confirmation dialog lists Sector, Purchase order requirement and Credit account request as answers that will no longer count. It must NOT list Company name, VAT number, CRO number or Billing address - trade uses those too.</t>
  </si>
  <si>
    <t>The Details step opens with the TRADE field set.</t>
  </si>
  <si>
    <t>Check the shared company fields.</t>
  </si>
  <si>
    <t>Company name, VAT number, CRO number and Billing address are still populated with what was typed on the business step. They are shared, so switching must not clear them.</t>
  </si>
  <si>
    <t>Look for Sector.</t>
  </si>
  <si>
    <t>ABSENT - sector is a business-only question.</t>
  </si>
  <si>
    <t>Check the trade fields are now shown.</t>
  </si>
  <si>
    <t>Trade dropdown, Expected monthly spend dropdown, Website and the Resale confirmation checkbox are all present.</t>
  </si>
  <si>
    <t>Clear the VAT number and submit.</t>
  </si>
  <si>
    <t>REFUSED with "Enter your VAT number." VAT is OPTIONAL for business and REQUIRED for trade - the rule changed with the type.</t>
  </si>
  <si>
    <t>Restore VAT, leave the Trade dropdown empty and submit.</t>
  </si>
  <si>
    <t>Refused with "Choose the trade that best describes your work."</t>
  </si>
  <si>
    <t>Leave Expected monthly spend empty and submit.</t>
  </si>
  <si>
    <t>Refused with "Choose your expected monthly spend."</t>
  </si>
  <si>
    <t>Leave the resale confirmation unticked and submit.</t>
  </si>
  <si>
    <t>Refused with "Trade accounts need this confirmation."</t>
  </si>
  <si>
    <t>Check that no business-only validation error is still on screen.</t>
  </si>
  <si>
    <t>No "Choose what the business does." message remains - sector is no longer part of this registration.</t>
  </si>
  <si>
    <t>WIZ-005</t>
  </si>
  <si>
    <t>Test Case 5 — Trade to Business</t>
  </si>
  <si>
    <t>Trade details filled in, not submitted.</t>
  </si>
  <si>
    <t>Switch to Business.</t>
  </si>
  <si>
    <t>Choose Trade, fill every trade field, do not submit.</t>
  </si>
  <si>
    <t>Trade details filled.</t>
  </si>
  <si>
    <t>A confirmation dialog lists Trade, Expected monthly spend, Website, Resale confirmation and Trade mailing list. It must NOT list Company name, VAT, CRO or Billing address.</t>
  </si>
  <si>
    <t>The Details step opens with the BUSINESS field set.</t>
  </si>
  <si>
    <t>Look for the Trade dropdown, Expected spend, Website and Resale confirmation.</t>
  </si>
  <si>
    <t>ALL ABSENT. Trade-only fields must not be shown as business fields.</t>
  </si>
  <si>
    <t>Check Sector is now shown and is empty (or holds whatever was typed earlier).</t>
  </si>
  <si>
    <t>The Sector dropdown is present.</t>
  </si>
  <si>
    <t>Company name, VAT, CRO and Billing address still hold the trade-step values.</t>
  </si>
  <si>
    <t>ACCEPTED as far as VAT is concerned - VAT is optional for a business account. Business validation is now in force.</t>
  </si>
  <si>
    <t>Check no trade validation error remains.</t>
  </si>
  <si>
    <t>No "Trade accounts need this confirmation." or "Choose the trade..." messages remain.</t>
  </si>
  <si>
    <t>WIZ-006</t>
  </si>
  <si>
    <t>Test Case 6 — Business to Trade, submitted</t>
  </si>
  <si>
    <t>WIZ-004 done: trade field set, all fields valid.</t>
  </si>
  <si>
    <t>Fresh email: trade.switch01@example.com</t>
  </si>
  <si>
    <t>With the trade field set filled in, open developer tools on the Network tab and submit.</t>
  </si>
  <si>
    <t>The signup request is sent.</t>
  </si>
  <si>
    <t>Inspect the request payload.</t>
  </si>
  <si>
    <t>It contains account_type "trade", the common fields, the shared company fields and the trade fields. It must NOT contain sector, requires_po or credit_application.</t>
  </si>
  <si>
    <t>In admin, open the customer record.</t>
  </si>
  <si>
    <t>Account type TRADE, trade status PENDING, verification status "Not checked".</t>
  </si>
  <si>
    <t>Trade type, expected spend, website and resale confirmation are all stored as entered.</t>
  </si>
  <si>
    <t>Check for a Sector field on the record.</t>
  </si>
  <si>
    <t>ABSENT - sector is not shown on a trade record and was not stored.</t>
  </si>
  <si>
    <t>Check the Account preferences section.</t>
  </si>
  <si>
    <t>Purchase order required and Credit account requested both show No - they were business answers and did not carry over.</t>
  </si>
  <si>
    <t>Check the trade review queue.</t>
  </si>
  <si>
    <t>The applicant appears as Pending.</t>
  </si>
  <si>
    <t>Check the product price at quantity 10 as this customer.</t>
  </si>
  <si>
    <t>RETAIL - a pending trade account gets no band pricing.</t>
  </si>
  <si>
    <t>WIZ-007</t>
  </si>
  <si>
    <t>Test Case 7 — Trade to Business, submitted</t>
  </si>
  <si>
    <t>WIZ-005 done: business field set, all fields valid.</t>
  </si>
  <si>
    <t>Fresh email: business.switch01@example.com</t>
  </si>
  <si>
    <t>Fill the business field set and submit with developer tools open.</t>
  </si>
  <si>
    <t>account_type "business", common fields, shared company fields, sector, requires_po, credit_application. It must NOT contain trade, expected_spend, website, resale_confirmed or pref_trade_list.</t>
  </si>
  <si>
    <t>Account type BUSINESS.</t>
  </si>
  <si>
    <t>Check the trade status.</t>
  </si>
  <si>
    <t>EMPTY / none. A business registration must not create a trade application however much trade data was typed earlier.</t>
  </si>
  <si>
    <t>This customer does NOT appear in it at all.</t>
  </si>
  <si>
    <t>Company name, VAT, CRO, sector and billing address all as entered.</t>
  </si>
  <si>
    <t>Confirm no trade fields appear on the record.</t>
  </si>
  <si>
    <t>No Trade type, Expected spend, Website or Resale confirmation.</t>
  </si>
  <si>
    <t>BAND PRICING - a business account is entitled from signup. It got business entitlement, not trade entitlement.</t>
  </si>
  <si>
    <t>WIZ-008</t>
  </si>
  <si>
    <t>Test Case 8 — Business to Personal, submitted</t>
  </si>
  <si>
    <t>WIZ-002 done.</t>
  </si>
  <si>
    <t>Fresh email: personal.switch01@example.com</t>
  </si>
  <si>
    <t>Fill business details, switch to Personal, confirm the dialog, then submit with developer tools open.</t>
  </si>
  <si>
    <t>account_type "personal", plus only name, email, phone, password, terms and the three marketing preferences. NO company_name, vat_number, cro_number, billing_address, sector, requires_po, credit_application or any trade field.</t>
  </si>
  <si>
    <t>Account type PERSONAL. Verification status "Not required".</t>
  </si>
  <si>
    <t>Confirm no business profile row exists for this customer.</t>
  </si>
  <si>
    <t>None - not an empty one. Ask the dev team to confirm in the database if needed.</t>
  </si>
  <si>
    <t>RETAIL - no band pricing.</t>
  </si>
  <si>
    <t>WIZ-009</t>
  </si>
  <si>
    <t>The server ignores cross-type fields even when the browser sends them</t>
  </si>
  <si>
    <t>Ability to send a hand-made request with a REST client.</t>
  </si>
  <si>
    <t>Send a signup with account_type "personal" but carrying company_name, vat_number, sector and every trade field.</t>
  </si>
  <si>
    <t>The account is created as PERSONAL with NO business profile. The extra fields are ignored, not stored.</t>
  </si>
  <si>
    <t>Send a signup with account_type "business" carrying trade, expected_spend, resale_confirmed and trade_status "approved".</t>
  </si>
  <si>
    <t>The account is created as BUSINESS. Trade status is EMPTY - it is derived from the account type and never read from the request. No trade application exists.</t>
  </si>
  <si>
    <t>Send a signup with account_type "trade" carrying sector, requires_po and credit_application.</t>
  </si>
  <si>
    <t>The account is TRADE with trade status pending. Sector is not stored; PO and credit both read No.</t>
  </si>
  <si>
    <t>Send a signup with account_type "business" and pref_trade_list 1.</t>
  </si>
  <si>
    <t>The trade mailing-list preference is NOT set - it is trade-only.</t>
  </si>
  <si>
    <t>Send a signup with account_type "wholesale".</t>
  </si>
  <si>
    <t>Refused - only personal, business and trade are accepted.</t>
  </si>
  <si>
    <t>Send a signup with account_type "trade" but no VAT number.</t>
  </si>
  <si>
    <t>Refused with "Enter your VAT number." Trade rules apply the moment the type says trade, whatever else the body contains.</t>
  </si>
  <si>
    <t>After every attempt above, confirm what was actually stored in admin.</t>
  </si>
  <si>
    <t>In each case the stored account matches the claimed type and carries only that type's fields. Frontend filtering is a convenience - the server is the control.</t>
  </si>
  <si>
    <t>WIZ-010</t>
  </si>
  <si>
    <t>Refreshing the browser mid-wizard</t>
  </si>
  <si>
    <t>A registration in progress with the Details step filled but not submitted.</t>
  </si>
  <si>
    <t>Press F5.</t>
  </si>
  <si>
    <t>Fill the Details step for a business registration. Do not submit. Press F5.</t>
  </si>
  <si>
    <t>The page reloads on the Details step - the step and type survive in the URL query string.</t>
  </si>
  <si>
    <t>Check the form fields.</t>
  </si>
  <si>
    <t>They are EMPTY. Wizard state lives in component memory and is deliberately NOT persisted to storage. This is the documented behaviour, not a defect - mark Not Applicable if you expected otherwise.</t>
  </si>
  <si>
    <t>Nothing in admin for that email address.</t>
  </si>
  <si>
    <t>Re-enter the details and submit.</t>
  </si>
  <si>
    <t>Registration completes normally.</t>
  </si>
  <si>
    <t>Confirm Back then Forward (without a refresh) DOES preserve the values.</t>
  </si>
  <si>
    <t>It does - see WIZ-001. Only a full page reload clears the form.</t>
  </si>
  <si>
    <t>WIZ-011</t>
  </si>
  <si>
    <t>Switching type on mobile</t>
  </si>
  <si>
    <t>A phone, or dev tools at 375 x 667.</t>
  </si>
  <si>
    <t>Business to Trade at 375px.</t>
  </si>
  <si>
    <t>At 375px open {storefront}/register and choose Business.</t>
  </si>
  <si>
    <t>The type cards are usable and the details step fits with no horizontal page scrolling.</t>
  </si>
  <si>
    <t>Fill the business fields and go back to Account Type.</t>
  </si>
  <si>
    <t>The back control is reachable with a thumb.</t>
  </si>
  <si>
    <t>Check the "Current choice" marker on the Business card.</t>
  </si>
  <si>
    <t>Visible and legible at this width, not cut off.</t>
  </si>
  <si>
    <t>Tap Trade.</t>
  </si>
  <si>
    <t>The confirmation dialog is readable on the small screen and both buttons are tappable.</t>
  </si>
  <si>
    <t>Confirm and check the Details step.</t>
  </si>
  <si>
    <t>The trade field set is shown, stacked in one column. No horizontal page scrolling.</t>
  </si>
  <si>
    <t>Check that switching did not leave a layout gap or jump.</t>
  </si>
  <si>
    <t>The form re-renders cleanly in place.</t>
  </si>
  <si>
    <t>Repeat at 768px.</t>
  </si>
  <si>
    <t>Same behaviour, no overflow.</t>
  </si>
  <si>
    <t>Suspended Account Access</t>
  </si>
  <si>
    <t>ACCOUNT status suspended now blocks everything: sign-in is refused and every open session is ended immediately. TRADE status suspended is a different ladder and does NOT block sign-in - that customer still signs in and buys at retail. The customer-facing message is always "Your account has been suspended. Please contact support for assistance." and never repeats the staff note.</t>
  </si>
  <si>
    <t>SUS-001</t>
  </si>
  <si>
    <t>A suspended account cannot sign in</t>
  </si>
  <si>
    <t>An active customer account that can sign in. Admin access.</t>
  </si>
  <si>
    <t>Any active customer.</t>
  </si>
  <si>
    <t>Sign in as the customer and confirm it works.</t>
  </si>
  <si>
    <t>Sign-in succeeds and the dashboard loads.</t>
  </si>
  <si>
    <t>Sign out.</t>
  </si>
  <si>
    <t>Accepted; the record shows Suspended.</t>
  </si>
  <si>
    <t>Attempt to sign in with the same, correct credentials.</t>
  </si>
  <si>
    <t>REFUSED with "Your account has been suspended. Please contact support for assistance."</t>
  </si>
  <si>
    <t>Confirm no session was created.</t>
  </si>
  <si>
    <t>You stay on the sign-in page and are NOT redirected to the dashboard.</t>
  </si>
  <si>
    <t>Confirm the message does not repeat the staff note.</t>
  </si>
  <si>
    <t>The words "Payment dispute under review" appear nowhere on screen.</t>
  </si>
  <si>
    <t>Try to reach the dashboard by typing its URL.</t>
  </si>
  <si>
    <t>Refused / redirected to sign-in. No account data is shown.</t>
  </si>
  <si>
    <t>Check the product price at quantity 10 while signed out.</t>
  </si>
  <si>
    <t>Retail. No business or trade pricing is granted to a suspended account.</t>
  </si>
  <si>
    <t>SUS-002</t>
  </si>
  <si>
    <t>A wrong password does not reveal the suspension</t>
  </si>
  <si>
    <t>A suspended account.</t>
  </si>
  <si>
    <t>Deliberately wrong password.</t>
  </si>
  <si>
    <t>Attempt to sign in to the suspended account with a WRONG password.</t>
  </si>
  <si>
    <t>The message is the ordinary bad-credentials one, NOT the suspension message. Otherwise the sign-in form tells anyone which addresses exist and what state they are in.</t>
  </si>
  <si>
    <t>Attempt with the correct password.</t>
  </si>
  <si>
    <t>Now the suspension message is shown.</t>
  </si>
  <si>
    <t>Attempt to sign in to an address that does not exist at all.</t>
  </si>
  <si>
    <t>The same ordinary bad-credentials message.</t>
  </si>
  <si>
    <t>SUS-003</t>
  </si>
  <si>
    <t>An open session ends when the account is suspended</t>
  </si>
  <si>
    <t>Two browsers available.</t>
  </si>
  <si>
    <t>Browser A = customer, Browser B = admin.</t>
  </si>
  <si>
    <t>In Browser A, sign in as the customer and leave the dashboard open.</t>
  </si>
  <si>
    <t>Signed in.</t>
  </si>
  <si>
    <t>In Browser B, sign in as an admin and suspend that customer.</t>
  </si>
  <si>
    <t>Return to Browser A and reload the page, or click anything that calls the server.</t>
  </si>
  <si>
    <t>The customer is signed out automatically. They are sent to the sign-in page and shown "Your account has been suspended. Please contact support for assistance."</t>
  </si>
  <si>
    <t>Confirm the browser is genuinely signed out, not just showing a message.</t>
  </si>
  <si>
    <t>The signed-in header/menu is gone and the account pages are no longer reachable.</t>
  </si>
  <si>
    <t>Press the browser Back button to a page that was open before the suspension.</t>
  </si>
  <si>
    <t>A cached page may render, but any action on it fails and no fresh customer data loads. Server-side authorisation is the control.</t>
  </si>
  <si>
    <t>From that cached page, attempt to place an order or save the profile.</t>
  </si>
  <si>
    <t>REFUSED. Nothing is written.</t>
  </si>
  <si>
    <t>SUS-004</t>
  </si>
  <si>
    <t>Every device loses access, not just the active one</t>
  </si>
  <si>
    <t>Three signed-in sessions for the same customer.</t>
  </si>
  <si>
    <t>Chrome, Firefox (or Incognito), and a mobile browser.</t>
  </si>
  <si>
    <t>Sign in as the same customer in Chrome.</t>
  </si>
  <si>
    <t>Sign in as the same customer in Firefox or a private window.</t>
  </si>
  <si>
    <t>Signed in. Both sessions are live.</t>
  </si>
  <si>
    <t>Sign in as the same customer on a mobile browser.</t>
  </si>
  <si>
    <t>Signed in. Three live sessions.</t>
  </si>
  <si>
    <t>In admin, suspend the account.</t>
  </si>
  <si>
    <t>Interact with the site in Chrome.</t>
  </si>
  <si>
    <t>Signed out with the suspension message.</t>
  </si>
  <si>
    <t>Interact in Firefox.</t>
  </si>
  <si>
    <t>Interact on mobile.</t>
  </si>
  <si>
    <t>Signed out with the suspension message. All three ended, not only the one that was in use.</t>
  </si>
  <si>
    <t>In admin, open the customer record and check the device/session list if shown.</t>
  </si>
  <si>
    <t>No session is still marked active for this customer.</t>
  </si>
  <si>
    <t>SUS-005</t>
  </si>
  <si>
    <t>A previously issued API token stops working</t>
  </si>
  <si>
    <t>A REST client. A token captured from a real sign-in.</t>
  </si>
  <si>
    <t>Bearer token from the sign-in response.</t>
  </si>
  <si>
    <t>Sign in through the API and copy the bearer token from the response.</t>
  </si>
  <si>
    <t>A token is returned.</t>
  </si>
  <si>
    <t>Call a protected customer endpoint with that token, for example GET /api/v1/user/two-factor/status.</t>
  </si>
  <si>
    <t>Succeeds while the account is active.</t>
  </si>
  <si>
    <t>Suspended.</t>
  </si>
  <si>
    <t>Call the same endpoint again with the SAME token.</t>
  </si>
  <si>
    <t>REFUSED with a real HTTP 401. The body carries "session_ended": true and a readable message. This is deliberately a 401 and not the usual HTTP-201-with-the-answer-in-the-body shape, because the browser has to be able to detect it and sign the customer out.</t>
  </si>
  <si>
    <t>Call GET /api/v1/user/profile with that token.</t>
  </si>
  <si>
    <t>HTTP 401 as well, with "session_ended": true. No email, name or account detail is returned.</t>
  </si>
  <si>
    <t>Call GET /api/v1/cart/by-user and GET /api/v1/user/address/all with that token.</t>
  </si>
  <si>
    <t>Both HTTP 401 with "session_ended": true. Previously these answered HTTP 200 carrying "Something went wrong", which told the page nothing and left it looking signed in.</t>
  </si>
  <si>
    <t>Call POST /api/v1/user/update-profile with that token.</t>
  </si>
  <si>
    <t>Refused. No change is written.</t>
  </si>
  <si>
    <t>Now call GET /api/v1/user/profile with NO Authorization header at all.</t>
  </si>
  <si>
    <t>HTTP 200, the ordinary guest response. Guests are unaffected - they carry a guest token, never a bearer.</t>
  </si>
  <si>
    <t>Confirm no protected operation succeeds with the old token.</t>
  </si>
  <si>
    <t>Every one is refused.</t>
  </si>
  <si>
    <t>SUS-006</t>
  </si>
  <si>
    <t>Remember-me cannot sign a suspended account back in</t>
  </si>
  <si>
    <t>Sign-in offers a remember-me option. If it does not, mark Not Applicable.</t>
  </si>
  <si>
    <t>Remember-me ticked.</t>
  </si>
  <si>
    <t>Sign in with remember-me ticked.</t>
  </si>
  <si>
    <t>Close the browser completely.</t>
  </si>
  <si>
    <t>Browser closed.</t>
  </si>
  <si>
    <t>Reopen the browser and visit the site.</t>
  </si>
  <si>
    <t>The customer is NOT silently signed back in. Persistent sign-in here is the long-lived token, and suspension revokes it.</t>
  </si>
  <si>
    <t>Attempt to sign in normally.</t>
  </si>
  <si>
    <t>Refused with the suspension message.</t>
  </si>
  <si>
    <t>SUS-007</t>
  </si>
  <si>
    <t>Protected pages cannot be reached by typing the URL</t>
  </si>
  <si>
    <t>A suspended account, signed out.</t>
  </si>
  <si>
    <t>Type each URL directly.</t>
  </si>
  <si>
    <t>Visit {storefront}/user/dashboard directly.</t>
  </si>
  <si>
    <t>Refused / redirected to sign-in. No customer data rendered.</t>
  </si>
  <si>
    <t>Visit {storefront}/user/profile directly.</t>
  </si>
  <si>
    <t>Refused / redirected.</t>
  </si>
  <si>
    <t>Visit {storefront}/user/orders directly.</t>
  </si>
  <si>
    <t>Visit {storefront}/checkout directly.</t>
  </si>
  <si>
    <t>Not reachable as an authenticated customer.</t>
  </si>
  <si>
    <t>Visit any address-book or account-settings URL the application has.</t>
  </si>
  <si>
    <t>Confirm none of them leaked data before redirecting.</t>
  </si>
  <si>
    <t>No name, email, company, order or address flashed on screen.</t>
  </si>
  <si>
    <t>SUS-008</t>
  </si>
  <si>
    <t>A previously opened checkout cannot be used</t>
  </si>
  <si>
    <t>A suspended account whose checkout page was open before the suspension.</t>
  </si>
  <si>
    <t>Checkout left open in a tab.</t>
  </si>
  <si>
    <t>As an active customer, build a basket and open checkout. Leave the tab open.</t>
  </si>
  <si>
    <t>Checkout is shown with the correct totals.</t>
  </si>
  <si>
    <t>In another browser, suspend the account.</t>
  </si>
  <si>
    <t>Return to the open checkout tab WITHOUT reloading and submit the order.</t>
  </si>
  <si>
    <t>REFUSED. No order is created. Verify in the admin order list.</t>
  </si>
  <si>
    <t>Reload the checkout tab.</t>
  </si>
  <si>
    <t>The customer is signed out and shown the suspension message.</t>
  </si>
  <si>
    <t>No order was created by any of the above.</t>
  </si>
  <si>
    <t>SUS-009</t>
  </si>
  <si>
    <t>Trade suspension is NOT account suspension</t>
  </si>
  <si>
    <t>An approved trade account.</t>
  </si>
  <si>
    <t>Trade status suspended, account left active.</t>
  </si>
  <si>
    <t>In admin, set the TRADE STATUS to Suspended, leaving the ACCOUNT status Active.</t>
  </si>
  <si>
    <t>Trade suspended; account still active.</t>
  </si>
  <si>
    <t>Sign in as that customer.</t>
  </si>
  <si>
    <t>Sign-in SUCCEEDS. A trade customer whose pricing is withdrawn is still a customer.</t>
  </si>
  <si>
    <t>Check the product price at quantity 10.</t>
  </si>
  <si>
    <t>RETAIL - trade pricing is gone.</t>
  </si>
  <si>
    <t>Place an order at retail.</t>
  </si>
  <si>
    <t>ACCEPTED. The account still works.</t>
  </si>
  <si>
    <t>Confirm the customer was NOT signed out when the trade status changed.</t>
  </si>
  <si>
    <t>Any session open at the time is still working. Only ACCOUNT suspension ends sessions.</t>
  </si>
  <si>
    <t>Now suspend the ACCOUNT as well.</t>
  </si>
  <si>
    <t>Sessions end and sign-in is refused, as in SUS-001.</t>
  </si>
  <si>
    <t>Reactivate the account, leaving the trade status suspended.</t>
  </si>
  <si>
    <t>Sign-in works again; pricing is still retail. The two ladders stay separate.</t>
  </si>
  <si>
    <t>SUS-010</t>
  </si>
  <si>
    <t>Reactivation requires a fresh sign-in</t>
  </si>
  <si>
    <t>A suspended account whose sessions were ended.</t>
  </si>
  <si>
    <t>Reactivate in admin.</t>
  </si>
  <si>
    <t>Confirm the account is suspended and sign-in is refused.</t>
  </si>
  <si>
    <t>In admin, set the account status back to Active.</t>
  </si>
  <si>
    <t>In the browser that was signed in before the suspension, reload.</t>
  </si>
  <si>
    <t>Still signed out. Reactivation does NOT revive the old session.</t>
  </si>
  <si>
    <t>Sign in with the correct credentials.</t>
  </si>
  <si>
    <t>Succeeds. A NEW session is created.</t>
  </si>
  <si>
    <t>Confirm the old API token from before the suspension still does not work.</t>
  </si>
  <si>
    <t>Refused. A token revoked by suspension stays revoked.</t>
  </si>
  <si>
    <t>Check entitlements after reactivation.</t>
  </si>
  <si>
    <t>A business account gets band pricing again; a trade account gets it back only if its trade status is still approved.</t>
  </si>
  <si>
    <t>SUS-011</t>
  </si>
  <si>
    <t>Suspending one customer does not affect anyone else</t>
  </si>
  <si>
    <t>Two customers signed in at the same time, plus an admin.</t>
  </si>
  <si>
    <t>Customer A and Customer B.</t>
  </si>
  <si>
    <t>Sign in as Customer A in one browser and Customer B in another.</t>
  </si>
  <si>
    <t>Both signed in.</t>
  </si>
  <si>
    <t>In admin, suspend Customer A only.</t>
  </si>
  <si>
    <t>A is suspended.</t>
  </si>
  <si>
    <t>Interact with the site as Customer A.</t>
  </si>
  <si>
    <t>Interact with the site as Customer B.</t>
  </si>
  <si>
    <t>STILL SIGNED IN and working normally. Suspending A must never sign out B.</t>
  </si>
  <si>
    <t>Sign in as Customer B afresh.</t>
  </si>
  <si>
    <t>Confirm an active business account elsewhere still gets band pricing.</t>
  </si>
  <si>
    <t>Confirm guest browsing and guest checkout still work.</t>
  </si>
  <si>
    <t>Unaffected.</t>
  </si>
  <si>
    <t>Confirm an admin session is unaffected.</t>
  </si>
  <si>
    <t>The admin is still signed in.</t>
  </si>
  <si>
    <t>SUS-012</t>
  </si>
  <si>
    <t>The suspension message is clear on desktop and mobile</t>
  </si>
  <si>
    <t>1366px and 375px.</t>
  </si>
  <si>
    <t>At 1366px, attempt to sign in to the suspended account.</t>
  </si>
  <si>
    <t>The message is fully visible and readable near the form.</t>
  </si>
  <si>
    <t>The message is readable with no horizontal scrolling and is not cut off.</t>
  </si>
  <si>
    <t>Check the wording.</t>
  </si>
  <si>
    <t>Exactly "Your account has been suspended. Please contact support for assistance." - user-friendly, no technical detail, no internal note, no error code.</t>
  </si>
  <si>
    <t>Trigger the automatic sign-out at 375px (suspend while signed in on a phone).</t>
  </si>
  <si>
    <t>The customer is signed out and the message is readable on the small screen.</t>
  </si>
  <si>
    <t>SUS-013</t>
  </si>
  <si>
    <t>Bypass attempts all fail</t>
  </si>
  <si>
    <t>A suspended account and a REST client.</t>
  </si>
  <si>
    <t>Old cookies, old tokens, manipulated values.</t>
  </si>
  <si>
    <t>Replay a request captured before the suspension, with its original headers.</t>
  </si>
  <si>
    <t>Send an old session cookie.</t>
  </si>
  <si>
    <t>Send the old bearer token.</t>
  </si>
  <si>
    <t>Edit the frontend state so the app believes the account is active, then use the UI.</t>
  </si>
  <si>
    <t>Every server call still fails. The frontend is not the security boundary.</t>
  </si>
  <si>
    <t>Substitute another customer id into a request while holding the suspended token.</t>
  </si>
  <si>
    <t>Refused - no other customer data is returned.</t>
  </si>
  <si>
    <t>Attempt to place an order through the API with the old token.</t>
  </si>
  <si>
    <t>Refused. Verify no order exists in admin.</t>
  </si>
  <si>
    <t>Attempt a second sign-in immediately after a refused one.</t>
  </si>
  <si>
    <t>Still refused; no session is created by repetition.</t>
  </si>
  <si>
    <t>SUS-014</t>
  </si>
  <si>
    <t>The admin action reports honestly</t>
  </si>
  <si>
    <t>A customer with live sessions.</t>
  </si>
  <si>
    <t>Suspend from the admin customer record.</t>
  </si>
  <si>
    <t>Open the admin customer record for a signed-in customer.</t>
  </si>
  <si>
    <t>Click Suspend account and confirm.</t>
  </si>
  <si>
    <t>A success response is returned and the badge changes to "Account: Suspended".</t>
  </si>
  <si>
    <t>Still suspended - it was really persisted.</t>
  </si>
  <si>
    <t>Check the status note is stored.</t>
  </si>
  <si>
    <t>The internal note is shown on the admin record only.</t>
  </si>
  <si>
    <t>Confirm the customer sessions ended as part of the same action.</t>
  </si>
  <si>
    <t>The customer is signed out at their next interaction without any further admin step.</t>
  </si>
  <si>
    <t>Attempt the same suspension as a non-admin, or with no authorisation.</t>
  </si>
  <si>
    <t>REFUSED - check the response body, not the HTTP code. The account status is unchanged.</t>
  </si>
  <si>
    <t>DEFECT LOG — Business &amp; Trade Account Testing</t>
  </si>
  <si>
    <t>Raise one row per defect. Use the Bug ID pattern BUG-001, BUG-002 ... and write that same ID back into the Bug ID column of the failing step on its test sheet, so the defect and the test case stay linked. Do NOT log a defect for anything the Test Data sheet lists as Not Available / Not Implemented.</t>
  </si>
  <si>
    <t>Bug Title</t>
  </si>
  <si>
    <t>Description</t>
  </si>
  <si>
    <t>Steps to Reproduce</t>
  </si>
  <si>
    <t>Environment</t>
  </si>
  <si>
    <t>Browser / Device</t>
  </si>
  <si>
    <t>Screenshot / Evidence</t>
  </si>
  <si>
    <t>Assigned To</t>
  </si>
  <si>
    <t>Developer Comments</t>
  </si>
  <si>
    <t>Retest Result</t>
  </si>
  <si>
    <t>BUG-000  (EXAMPLE — delete or overwrite)</t>
  </si>
  <si>
    <t>EXAMPLE ONLY: Approved trade account still shows retail price in the basket</t>
  </si>
  <si>
    <t>EXAMPLE of the level of detail wanted. Replace this row with a real defect. Describe what is wrong in one or two sentences, including the account and the product involved.</t>
  </si>
  <si>
    <t>1. Register trade account trade.test01@example.com and confirm the email code.
2. Add product 'testing product' (ID 99240288) to the basket at quantity 10.
3. In Admin &gt; trade-applications, approve the application.
4. Sign back in as the customer and open the basket.</t>
  </si>
  <si>
    <t>Basket unit price re-prices to the band rate of €450.00 ex VAT.</t>
  </si>
  <si>
    <t>Basket still shows €505.00 ex VAT until the item is removed and re-added.</t>
  </si>
  <si>
    <t>Major</t>
  </si>
  <si>
    <t>Dev / 127.0.0.1:8000</t>
  </si>
  <si>
    <t>Chrome 120 / Windows 11</t>
  </si>
  <si>
    <t>attach basket-price.png</t>
  </si>
  <si>
    <t>Open</t>
  </si>
</sst>
</file>

<file path=xl/styles.xml><?xml version="1.0" encoding="utf-8"?>
<styleSheet xmlns="http://schemas.openxmlformats.org/spreadsheetml/2006/main" xml:space="preserve">
  <numFmts count="1">
    <numFmt numFmtId="164" formatCode="0.0%"/>
  </numFmts>
  <fonts count="13">
    <font>
      <b val="0"/>
      <i val="0"/>
      <strike val="0"/>
      <u val="none"/>
      <sz val="11"/>
      <color rgb="FF000000"/>
      <name val="Calibri"/>
    </font>
    <font>
      <b val="1"/>
      <i val="0"/>
      <strike val="0"/>
      <u val="none"/>
      <sz val="13"/>
      <color rgb="FFFFFFFF"/>
      <name val="Calibri"/>
    </font>
    <font>
      <b val="0"/>
      <i val="1"/>
      <strike val="0"/>
      <u val="none"/>
      <sz val="9"/>
      <color rgb="FF000000"/>
      <name val="Calibri"/>
    </font>
    <font>
      <b val="1"/>
      <i val="0"/>
      <strike val="0"/>
      <u val="none"/>
      <sz val="10"/>
      <color rgb="FFFFFFFF"/>
      <name val="Calibri"/>
    </font>
    <font>
      <b val="0"/>
      <i val="0"/>
      <strike val="0"/>
      <u val="none"/>
      <sz val="10"/>
      <color rgb="FF000000"/>
      <name val="Calibri"/>
    </font>
    <font>
      <b val="1"/>
      <i val="0"/>
      <strike val="0"/>
      <u val="none"/>
      <sz val="10"/>
      <color rgb="FF000000"/>
      <name val="Calibri"/>
    </font>
    <font>
      <b val="0"/>
      <i val="1"/>
      <strike val="0"/>
      <u val="none"/>
      <sz val="10"/>
      <color rgb="FF000000"/>
      <name val="Calibri"/>
    </font>
    <font>
      <b val="1"/>
      <i val="0"/>
      <strike val="0"/>
      <u val="none"/>
      <sz val="11"/>
      <color rgb="FFFFFFFF"/>
      <name val="Calibri"/>
    </font>
    <font>
      <b val="1"/>
      <i val="0"/>
      <strike val="0"/>
      <u val="none"/>
      <sz val="14"/>
      <color rgb="FFFFFFFF"/>
      <name val="Calibri"/>
    </font>
    <font>
      <b val="0"/>
      <i val="1"/>
      <strike val="0"/>
      <u val="none"/>
      <sz val="10"/>
      <color rgb="FF808080"/>
      <name val="Calibri"/>
    </font>
    <font>
      <b val="1"/>
      <i val="0"/>
      <strike val="0"/>
      <u val="none"/>
      <sz val="15"/>
      <color rgb="FFFFFFFF"/>
      <name val="Calibri"/>
    </font>
    <font>
      <b val="1"/>
      <i val="0"/>
      <strike val="0"/>
      <u val="none"/>
      <sz val="13"/>
      <color rgb="FF000000"/>
      <name val="Calibri"/>
    </font>
    <font>
      <b val="1"/>
      <i val="0"/>
      <strike val="0"/>
      <u val="none"/>
      <sz val="12"/>
      <color rgb="FF000000"/>
      <name val="Calibri"/>
    </font>
  </fonts>
  <fills count="18">
    <fill>
      <patternFill patternType="none"/>
    </fill>
    <fill>
      <patternFill patternType="gray125"/>
    </fill>
    <fill>
      <patternFill patternType="solid">
        <fgColor rgb="FF2E5FA3"/>
        <bgColor rgb="FF000000"/>
      </patternFill>
    </fill>
    <fill>
      <patternFill patternType="solid">
        <fgColor rgb="FFFFF4CE"/>
        <bgColor rgb="FF000000"/>
      </patternFill>
    </fill>
    <fill>
      <patternFill patternType="solid">
        <fgColor rgb="FF1F3864"/>
        <bgColor rgb="FF000000"/>
      </patternFill>
    </fill>
    <fill>
      <patternFill patternType="solid">
        <fgColor rgb="FFF2F5FB"/>
        <bgColor rgb="FF000000"/>
      </patternFill>
    </fill>
    <fill>
      <patternFill patternType="solid">
        <fgColor rgb="FFFFD7D7"/>
        <bgColor rgb="FF000000"/>
      </patternFill>
    </fill>
    <fill>
      <patternFill patternType="solid">
        <fgColor rgb="FFD9E2F3"/>
        <bgColor rgb="FF000000"/>
      </patternFill>
    </fill>
    <fill>
      <patternFill patternType="solid">
        <fgColor rgb="FFFFF2CC"/>
        <bgColor rgb="FF000000"/>
      </patternFill>
    </fill>
    <fill>
      <patternFill patternType="solid">
        <fgColor rgb="FFC00000"/>
        <bgColor rgb="FF000000"/>
      </patternFill>
    </fill>
    <fill>
      <patternFill patternType="solid">
        <fgColor rgb="FFF2F2F2"/>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rgb="FFE7E6E6"/>
        <bgColor rgb="FF000000"/>
      </patternFill>
    </fill>
    <fill>
      <patternFill patternType="solid">
        <fgColor rgb="FFDDEBF7"/>
        <bgColor rgb="FF000000"/>
      </patternFill>
    </fill>
    <fill>
      <patternFill patternType="solid">
        <fgColor rgb="FFFF9999"/>
        <bgColor rgb="FF000000"/>
      </patternFill>
    </fill>
    <fill>
      <patternFill patternType="solid">
        <fgColor rgb="FF4472C4"/>
        <bgColor rgb="FF0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9">
    <xf xfId="0" fontId="0" numFmtId="0" fillId="0" borderId="0" applyFont="0" applyNumberFormat="0" applyFill="0" applyBorder="0" applyAlignment="0"/>
    <xf xfId="0" fontId="1" numFmtId="0" fillId="2" borderId="0" applyFont="1" applyNumberFormat="0" applyFill="1" applyBorder="0" applyAlignment="1">
      <alignment vertical="center" textRotation="0" wrapText="false" shrinkToFit="false" indent="1"/>
    </xf>
    <xf xfId="0" fontId="2" numFmtId="0" fillId="3" borderId="0" applyFont="1" applyNumberFormat="0" applyFill="1" applyBorder="0" applyAlignment="1">
      <alignment vertical="center" textRotation="0" wrapText="true" shrinkToFit="false" indent="1"/>
    </xf>
    <xf xfId="0" fontId="3" numFmtId="0" fillId="4" borderId="0" applyFont="1" applyNumberFormat="0" applyFill="1" applyBorder="0" applyAlignment="1">
      <alignment horizontal="center" vertical="center" textRotation="0" wrapText="true" shrinkToFit="false"/>
    </xf>
    <xf xfId="0" fontId="4" numFmtId="0" fillId="0" borderId="1" applyFont="1" applyNumberFormat="0" applyFill="0" applyBorder="1" applyAlignment="1">
      <alignment vertical="top" textRotation="0" wrapText="true" shrinkToFit="false"/>
    </xf>
    <xf xfId="0" fontId="4" numFmtId="0" fillId="5" borderId="1" applyFont="1" applyNumberFormat="0" applyFill="1" applyBorder="1" applyAlignment="1">
      <alignment vertical="top" textRotation="0" wrapText="true" shrinkToFit="false"/>
    </xf>
    <xf xfId="0" fontId="4" numFmtId="0" fillId="0" borderId="1" applyFont="1" applyNumberFormat="0" applyFill="0" applyBorder="1" applyAlignment="1">
      <alignment horizontal="center" vertical="top" textRotation="0" wrapText="true" shrinkToFit="false"/>
    </xf>
    <xf xfId="0" fontId="4" numFmtId="0" fillId="5" borderId="1" applyFont="1" applyNumberFormat="0" applyFill="1" applyBorder="1" applyAlignment="1">
      <alignment horizontal="center" vertical="top" textRotation="0" wrapText="true" shrinkToFit="false"/>
    </xf>
    <xf xfId="0" fontId="5" numFmtId="0" fillId="0" borderId="1" applyFont="1" applyNumberFormat="0" applyFill="0" applyBorder="1" applyAlignment="1">
      <alignment vertical="top" textRotation="0" wrapText="true" shrinkToFit="false"/>
    </xf>
    <xf xfId="0" fontId="5" numFmtId="0" fillId="5" borderId="1" applyFont="1" applyNumberFormat="0" applyFill="1" applyBorder="1" applyAlignment="1">
      <alignment vertical="top" textRotation="0" wrapText="true" shrinkToFit="false"/>
    </xf>
    <xf xfId="0" fontId="6" numFmtId="0" fillId="6" borderId="0" applyFont="1" applyNumberFormat="0" applyFill="1" applyBorder="0" applyAlignment="1">
      <alignment vertical="center" textRotation="0" wrapText="true" shrinkToFit="false" indent="1"/>
    </xf>
    <xf xfId="0" fontId="6" numFmtId="0" fillId="3" borderId="0" applyFont="1" applyNumberFormat="0" applyFill="1" applyBorder="0" applyAlignment="1">
      <alignment vertical="center" textRotation="0" wrapText="true" shrinkToFit="false" indent="1"/>
    </xf>
    <xf xfId="0" fontId="7" numFmtId="0" fillId="4" borderId="0" applyFont="1" applyNumberFormat="0" applyFill="1" applyBorder="0" applyAlignment="1">
      <alignment vertical="center" textRotation="0" wrapText="false" shrinkToFit="false" indent="1"/>
    </xf>
    <xf xfId="0" fontId="5" numFmtId="0" fillId="7" borderId="1" applyFont="1" applyNumberFormat="0" applyFill="1" applyBorder="1" applyAlignment="0"/>
    <xf xfId="0" fontId="5" numFmtId="0" fillId="8" borderId="1" applyFont="1" applyNumberFormat="0" applyFill="1" applyBorder="1" applyAlignment="1">
      <alignment vertical="top" textRotation="0" wrapText="true" shrinkToFit="false"/>
    </xf>
    <xf xfId="0" fontId="4" numFmtId="0" fillId="8" borderId="1" applyFont="1" applyNumberFormat="0" applyFill="1" applyBorder="1" applyAlignment="1">
      <alignment vertical="top" textRotation="0" wrapText="true" shrinkToFit="false"/>
    </xf>
    <xf xfId="0" fontId="8" numFmtId="0" fillId="9" borderId="0" applyFont="1" applyNumberFormat="0" applyFill="1" applyBorder="0" applyAlignment="1">
      <alignment vertical="center" textRotation="0" wrapText="false" shrinkToFit="false" indent="1"/>
    </xf>
    <xf xfId="0" fontId="9" numFmtId="0" fillId="10" borderId="1" applyFont="1" applyNumberFormat="0" applyFill="1" applyBorder="1" applyAlignment="1">
      <alignment vertical="top" textRotation="0" wrapText="true" shrinkToFit="false"/>
    </xf>
    <xf xfId="0" fontId="10" numFmtId="0" fillId="2" borderId="0" applyFont="1" applyNumberFormat="0" applyFill="1" applyBorder="0" applyAlignment="1">
      <alignment vertical="center" textRotation="0" wrapText="false" shrinkToFit="false" indent="1"/>
    </xf>
    <xf xfId="0" fontId="4" numFmtId="0" fillId="7" borderId="1" applyFont="1" applyNumberFormat="0" applyFill="1" applyBorder="1" applyAlignment="1">
      <alignment vertical="center" textRotation="0" wrapText="false" shrinkToFit="false"/>
    </xf>
    <xf xfId="0" fontId="5" numFmtId="0" fillId="7" borderId="1" applyFont="1" applyNumberFormat="0" applyFill="1" applyBorder="1" applyAlignment="1">
      <alignment vertical="center" textRotation="0" wrapText="false" shrinkToFit="false"/>
    </xf>
    <xf xfId="0" fontId="11" numFmtId="0" fillId="7"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vertical="center" textRotation="0" wrapText="false" shrinkToFit="false" indent="1"/>
    </xf>
    <xf xfId="0" fontId="4" numFmtId="0" fillId="10" borderId="1" applyFont="1" applyNumberFormat="0" applyFill="1" applyBorder="1" applyAlignment="1">
      <alignment vertical="center" textRotation="0" wrapText="false" shrinkToFit="false"/>
    </xf>
    <xf xfId="0" fontId="5" numFmtId="0" fillId="10" borderId="1" applyFont="1" applyNumberFormat="0" applyFill="1" applyBorder="1" applyAlignment="1">
      <alignment vertical="center" textRotation="0" wrapText="false" shrinkToFit="false"/>
    </xf>
    <xf xfId="0" fontId="11" numFmtId="0" fillId="10" borderId="1" applyFont="1" applyNumberFormat="0" applyFill="1" applyBorder="1" applyAlignment="1">
      <alignment horizontal="center" vertical="center" textRotation="0" wrapText="false" shrinkToFit="false"/>
    </xf>
    <xf xfId="0" fontId="2" numFmtId="0" fillId="10" borderId="1" applyFont="1" applyNumberFormat="0" applyFill="1" applyBorder="1" applyAlignment="1">
      <alignment vertical="center" textRotation="0" wrapText="false" shrinkToFit="false" indent="1"/>
    </xf>
    <xf xfId="0" fontId="4" numFmtId="0" fillId="11" borderId="1" applyFont="1" applyNumberFormat="0" applyFill="1" applyBorder="1" applyAlignment="1">
      <alignment vertical="center" textRotation="0" wrapText="false" shrinkToFit="false"/>
    </xf>
    <xf xfId="0" fontId="5" numFmtId="0" fillId="11" borderId="1" applyFont="1" applyNumberFormat="0" applyFill="1" applyBorder="1" applyAlignment="1">
      <alignment vertical="center" textRotation="0" wrapText="false" shrinkToFit="false"/>
    </xf>
    <xf xfId="0" fontId="11" numFmtId="0" fillId="11" borderId="1" applyFont="1" applyNumberFormat="0" applyFill="1" applyBorder="1" applyAlignment="1">
      <alignment horizontal="center" vertical="center" textRotation="0" wrapText="false" shrinkToFit="false"/>
    </xf>
    <xf xfId="0" fontId="2" numFmtId="0" fillId="11" borderId="1" applyFont="1" applyNumberFormat="0" applyFill="1" applyBorder="1" applyAlignment="1">
      <alignment vertical="center" textRotation="0" wrapText="false" shrinkToFit="false" indent="1"/>
    </xf>
    <xf xfId="0" fontId="4" numFmtId="0" fillId="12" borderId="1" applyFont="1" applyNumberFormat="0" applyFill="1" applyBorder="1" applyAlignment="1">
      <alignment vertical="center" textRotation="0" wrapText="false" shrinkToFit="false"/>
    </xf>
    <xf xfId="0" fontId="5" numFmtId="0" fillId="12" borderId="1" applyFont="1" applyNumberFormat="0" applyFill="1" applyBorder="1" applyAlignment="1">
      <alignment vertical="center" textRotation="0" wrapText="false" shrinkToFit="false"/>
    </xf>
    <xf xfId="0" fontId="11" numFmtId="0" fillId="12" borderId="1" applyFont="1" applyNumberFormat="0" applyFill="1" applyBorder="1" applyAlignment="1">
      <alignment horizontal="center" vertical="center" textRotation="0" wrapText="false" shrinkToFit="false"/>
    </xf>
    <xf xfId="0" fontId="2" numFmtId="0" fillId="12" borderId="1" applyFont="1" applyNumberFormat="0" applyFill="1" applyBorder="1" applyAlignment="1">
      <alignment vertical="center" textRotation="0" wrapText="false" shrinkToFit="false" indent="1"/>
    </xf>
    <xf xfId="0" fontId="4" numFmtId="0" fillId="13" borderId="1" applyFont="1" applyNumberFormat="0" applyFill="1" applyBorder="1" applyAlignment="1">
      <alignment vertical="center" textRotation="0" wrapText="false" shrinkToFit="false"/>
    </xf>
    <xf xfId="0" fontId="5" numFmtId="0" fillId="13" borderId="1" applyFont="1" applyNumberFormat="0" applyFill="1" applyBorder="1" applyAlignment="1">
      <alignment vertical="center" textRotation="0" wrapText="false" shrinkToFit="false"/>
    </xf>
    <xf xfId="0" fontId="11" numFmtId="0" fillId="13" borderId="1" applyFont="1" applyNumberFormat="0" applyFill="1" applyBorder="1" applyAlignment="1">
      <alignment horizontal="center" vertical="center" textRotation="0" wrapText="false" shrinkToFit="false"/>
    </xf>
    <xf xfId="0" fontId="2" numFmtId="0" fillId="13" borderId="1" applyFont="1" applyNumberFormat="0" applyFill="1" applyBorder="1" applyAlignment="1">
      <alignment vertical="center" textRotation="0" wrapText="false" shrinkToFit="false" indent="1"/>
    </xf>
    <xf xfId="0" fontId="4" numFmtId="0" fillId="14" borderId="1" applyFont="1" applyNumberFormat="0" applyFill="1" applyBorder="1" applyAlignment="1">
      <alignment vertical="center" textRotation="0" wrapText="false" shrinkToFit="false"/>
    </xf>
    <xf xfId="0" fontId="5" numFmtId="0" fillId="14" borderId="1" applyFont="1" applyNumberFormat="0" applyFill="1" applyBorder="1" applyAlignment="1">
      <alignment vertical="center" textRotation="0" wrapText="false" shrinkToFit="false"/>
    </xf>
    <xf xfId="0" fontId="11" numFmtId="0" fillId="14" borderId="1" applyFont="1" applyNumberFormat="0" applyFill="1" applyBorder="1" applyAlignment="1">
      <alignment horizontal="center" vertical="center" textRotation="0" wrapText="false" shrinkToFit="false"/>
    </xf>
    <xf xfId="0" fontId="2" numFmtId="0" fillId="14" borderId="1" applyFont="1" applyNumberFormat="0" applyFill="1" applyBorder="1" applyAlignment="1">
      <alignment vertical="center" textRotation="0" wrapText="false" shrinkToFit="false" indent="1"/>
    </xf>
    <xf xfId="0" fontId="5" numFmtId="0" fillId="15" borderId="1" applyFont="1" applyNumberFormat="0" applyFill="1" applyBorder="1" applyAlignment="0"/>
    <xf xfId="0" fontId="5" numFmtId="164" fillId="15" borderId="1" applyFont="1" applyNumberFormat="1" applyFill="1" applyBorder="1" applyAlignment="1">
      <alignment horizontal="center" vertical="bottom" textRotation="0" wrapText="false" shrinkToFit="false"/>
    </xf>
    <xf xfId="0" fontId="2" numFmtId="0" fillId="15" borderId="1" applyFont="1" applyNumberFormat="0" applyFill="1" applyBorder="1" applyAlignment="1">
      <alignment vertical="bottom" textRotation="0" wrapText="false" shrinkToFit="false" indent="1"/>
    </xf>
    <xf xfId="0" fontId="4" numFmtId="0" fillId="16" borderId="1" applyFont="1" applyNumberFormat="0" applyFill="1" applyBorder="1" applyAlignment="1">
      <alignment vertical="center" textRotation="0" wrapText="false" shrinkToFit="false"/>
    </xf>
    <xf xfId="0" fontId="5" numFmtId="0" fillId="16" borderId="1" applyFont="1" applyNumberFormat="0" applyFill="1" applyBorder="1" applyAlignment="1">
      <alignment vertical="center" textRotation="0" wrapText="false" shrinkToFit="false"/>
    </xf>
    <xf xfId="0" fontId="12" numFmtId="0" fillId="16" borderId="1" applyFont="1" applyNumberFormat="0" applyFill="1" applyBorder="1" applyAlignment="1">
      <alignment horizontal="center" vertical="center" textRotation="0" wrapText="false" shrinkToFit="false"/>
    </xf>
    <xf xfId="0" fontId="2" numFmtId="0" fillId="16" borderId="1" applyFont="1" applyNumberFormat="0" applyFill="1" applyBorder="1" applyAlignment="1">
      <alignment vertical="center" textRotation="0" wrapText="false" shrinkToFit="false" indent="1"/>
    </xf>
    <xf xfId="0" fontId="12" numFmtId="0" fillId="12" borderId="1" applyFont="1" applyNumberFormat="0" applyFill="1" applyBorder="1" applyAlignment="1">
      <alignment horizontal="center" vertical="center" textRotation="0" wrapText="false" shrinkToFit="false"/>
    </xf>
    <xf xfId="0" fontId="12" numFmtId="0" fillId="13" borderId="1" applyFont="1" applyNumberFormat="0" applyFill="1" applyBorder="1" applyAlignment="1">
      <alignment horizontal="center" vertical="center" textRotation="0" wrapText="false" shrinkToFit="false"/>
    </xf>
    <xf xfId="0" fontId="4" numFmtId="0" fillId="15" borderId="1" applyFont="1" applyNumberFormat="0" applyFill="1" applyBorder="1" applyAlignment="1">
      <alignment vertical="center" textRotation="0" wrapText="false" shrinkToFit="false"/>
    </xf>
    <xf xfId="0" fontId="5" numFmtId="0" fillId="15" borderId="1" applyFont="1" applyNumberFormat="0" applyFill="1" applyBorder="1" applyAlignment="1">
      <alignment vertical="center" textRotation="0" wrapText="false" shrinkToFit="false"/>
    </xf>
    <xf xfId="0" fontId="12" numFmtId="0" fillId="15" borderId="1" applyFont="1" applyNumberFormat="0" applyFill="1" applyBorder="1" applyAlignment="1">
      <alignment horizontal="center" vertical="center" textRotation="0" wrapText="false" shrinkToFit="false"/>
    </xf>
    <xf xfId="0" fontId="2" numFmtId="0" fillId="15" borderId="1" applyFont="1" applyNumberFormat="0" applyFill="1" applyBorder="1" applyAlignment="1">
      <alignment vertical="center" textRotation="0" wrapText="false" shrinkToFit="false" indent="1"/>
    </xf>
    <xf xfId="0" fontId="4" numFmtId="0" fillId="0" borderId="1" applyFont="1" applyNumberFormat="0" applyFill="0" applyBorder="1" applyAlignment="0"/>
    <xf xfId="0" fontId="5" numFmtId="0" fillId="0" borderId="1" applyFont="1" applyNumberFormat="0" applyFill="0" applyBorder="1" applyAlignment="0"/>
    <xf xfId="0" fontId="4" numFmtId="0" fillId="0" borderId="1" applyFont="1" applyNumberFormat="0" applyFill="0" applyBorder="1" applyAlignment="1">
      <alignment horizontal="center" vertical="bottom" textRotation="0" wrapText="false" shrinkToFit="false"/>
    </xf>
    <xf xfId="0" fontId="5" numFmtId="0" fillId="0" borderId="1" applyFont="1" applyNumberFormat="0" applyFill="0" applyBorder="1" applyAlignment="1">
      <alignment horizontal="center" vertical="bottom" textRotation="0" wrapText="false" shrinkToFit="false"/>
    </xf>
    <xf xfId="0" fontId="2" numFmtId="0" fillId="0" borderId="1" applyFont="1" applyNumberFormat="0" applyFill="0" applyBorder="1" applyAlignment="0"/>
    <xf xfId="0" fontId="3" numFmtId="0" fillId="17" borderId="1" applyFont="1" applyNumberFormat="0" applyFill="1" applyBorder="1" applyAlignment="1">
      <alignment horizontal="center" vertical="center" textRotation="0" wrapText="true" shrinkToFit="false"/>
    </xf>
    <xf xfId="0" fontId="3" numFmtId="0" fillId="17" borderId="1" applyFont="1" applyNumberFormat="0" applyFill="1" applyBorder="1" applyAlignment="1">
      <alignment horizontal="left" vertical="center" textRotation="0" wrapText="true" shrinkToFit="false"/>
    </xf>
    <xf xfId="0" fontId="4" numFmtId="0" fillId="0" borderId="1" applyFont="1" applyNumberFormat="0" applyFill="0" applyBorder="1" applyAlignment="1">
      <alignment horizontal="left" vertical="bottom" textRotation="0" wrapText="false" shrinkToFit="false"/>
    </xf>
    <xf xfId="0" fontId="4" numFmtId="0" fillId="5" borderId="1" applyFont="1" applyNumberFormat="0" applyFill="1" applyBorder="1" applyAlignment="1">
      <alignment horizontal="left" vertical="bottom" textRotation="0" wrapText="false" shrinkToFit="false"/>
    </xf>
    <xf xfId="0" fontId="4" numFmtId="0" fillId="5" borderId="1" applyFont="1" applyNumberFormat="0" applyFill="1" applyBorder="1" applyAlignment="1">
      <alignment horizontal="center" vertical="bottom" textRotation="0" wrapText="false" shrinkToFit="false"/>
    </xf>
    <xf xfId="0" fontId="3" numFmtId="0" fillId="4" borderId="1" applyFont="1" applyNumberFormat="0" applyFill="1" applyBorder="1" applyAlignment="1">
      <alignment horizontal="center" vertical="bottom" textRotation="0" wrapText="false" shrinkToFit="false"/>
    </xf>
    <xf xfId="0" fontId="3" numFmtId="0" fillId="4" borderId="1" applyFont="1" applyNumberFormat="0" applyFill="1" applyBorder="1" applyAlignment="1">
      <alignment horizontal="left" vertical="bottom" textRotation="0" wrapText="false" shrinkToFit="false"/>
    </xf>
    <xf xfId="0" fontId="4" numFmtId="0" fillId="0" borderId="1" applyFont="1" applyNumberFormat="0" applyFill="0" applyBorder="1" applyAlignment="1">
      <alignment vertical="top" textRotation="0" wrapText="true" shrinkToFit="false" indent="1"/>
    </xf>
  </cellXfs>
  <cellStyles count="1">
    <cellStyle name="Normal" xfId="0" builtinId="0"/>
  </cellStyles>
  <dxfs count="15">
    <dxf>
      <font>
        <b val="1"/>
        <color rgb="FF006100"/>
      </font>
      <fill>
        <patternFill patternType="solid">
          <bgColor rgb="FFC6EFCE"/>
        </patternFill>
      </fill>
      <border/>
    </dxf>
    <dxf>
      <font>
        <b val="1"/>
        <color rgb="FF9C0006"/>
      </font>
      <fill>
        <patternFill patternType="solid">
          <bgColor rgb="FFFFC7CE"/>
        </patternFill>
      </fill>
      <border/>
    </dxf>
    <dxf>
      <font>
        <b val="1"/>
        <color rgb="FF9C6500"/>
      </font>
      <fill>
        <patternFill patternType="solid">
          <bgColor rgb="FFFFEB9C"/>
        </patternFill>
      </fill>
      <border/>
    </dxf>
    <dxf>
      <font>
        <b val="1"/>
        <color rgb="FF595959"/>
      </font>
      <fill>
        <patternFill patternType="solid">
          <bgColor rgb="FFE7E6E6"/>
        </patternFill>
      </fill>
      <border/>
    </dxf>
    <dxf>
      <font>
        <b val="0"/>
        <color rgb="FF808080"/>
      </font>
      <fill>
        <patternFill patternType="solid">
          <bgColor rgb="FFFFFFFF"/>
        </patternFill>
      </fill>
      <border/>
    </dxf>
    <dxf>
      <font>
        <b val="1"/>
        <color rgb="FFFFFFFF"/>
      </font>
      <fill>
        <patternFill patternType="solid">
          <bgColor rgb="FFFF0000"/>
        </patternFill>
      </fill>
      <border/>
    </dxf>
    <dxf>
      <font>
        <b val="1"/>
        <color rgb="FF9C0006"/>
      </font>
      <fill>
        <patternFill patternType="solid">
          <bgColor rgb="FFFFC7CE"/>
        </patternFill>
      </fill>
      <border/>
    </dxf>
    <dxf>
      <font>
        <b val="1"/>
        <color rgb="FF9C6500"/>
      </font>
      <fill>
        <patternFill patternType="solid">
          <bgColor rgb="FFFFEB9C"/>
        </patternFill>
      </fill>
      <border/>
    </dxf>
    <dxf>
      <font>
        <b val="1"/>
        <color rgb="FF1F4E79"/>
      </font>
      <fill>
        <patternFill patternType="solid">
          <bgColor rgb="FFDDEBF7"/>
        </patternFill>
      </fill>
      <border/>
    </dxf>
    <dxf>
      <font>
        <b val="1"/>
        <color rgb="FF9C0006"/>
      </font>
      <fill>
        <patternFill patternType="solid">
          <bgColor rgb="FFFFC7CE"/>
        </patternFill>
      </fill>
      <border/>
    </dxf>
    <dxf>
      <font>
        <b val="1"/>
        <color rgb="FF9C6500"/>
      </font>
      <fill>
        <patternFill patternType="solid">
          <bgColor rgb="FFFFEB9C"/>
        </patternFill>
      </fill>
      <border/>
    </dxf>
    <dxf>
      <font>
        <b val="1"/>
        <color rgb="FF1F4E79"/>
      </font>
      <fill>
        <patternFill patternType="solid">
          <bgColor rgb="FFDDEBF7"/>
        </patternFill>
      </fill>
      <border/>
    </dxf>
    <dxf>
      <font>
        <b val="1"/>
        <color rgb="FF7F6000"/>
      </font>
      <fill>
        <patternFill patternType="solid">
          <bgColor rgb="FFFFF2CC"/>
        </patternFill>
      </fill>
      <border/>
    </dxf>
    <dxf>
      <font>
        <b val="1"/>
        <color rgb="FF006100"/>
      </font>
      <fill>
        <patternFill patternType="solid">
          <bgColor rgb="FFC6EFCE"/>
        </patternFill>
      </fill>
      <border/>
    </dxf>
    <dxf>
      <font>
        <b val="1"/>
        <color rgb="FF9C0006"/>
      </font>
      <fill>
        <patternFill patternType="solid">
          <bgColor rgb="FFFF9999"/>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57"/>
  <sheetViews>
    <sheetView tabSelected="1" workbookViewId="0" showGridLines="true" showRowColHeaders="1">
      <pane ySplit="3" topLeftCell="A4" activePane="bottomLeft" state="frozen"/>
      <selection pane="bottomLeft" activeCell="A57" sqref="A57:I57"/>
    </sheetView>
  </sheetViews>
  <sheetFormatPr defaultRowHeight="14.4" outlineLevelRow="0" outlineLevelCol="0"/>
  <cols>
    <col min="1" max="1" width="32" customWidth="true" style="0"/>
    <col min="2" max="2" width="13" customWidth="true" style="0"/>
    <col min="3" max="3" width="13" customWidth="true" style="0"/>
    <col min="4" max="4" width="13" customWidth="true" style="0"/>
    <col min="5" max="5" width="13" customWidth="true" style="0"/>
    <col min="6" max="6" width="13" customWidth="true" style="0"/>
    <col min="7" max="7" width="13" customWidth="true" style="0"/>
    <col min="8" max="8" width="13" customWidth="true" style="0"/>
    <col min="9" max="9" width="46" customWidth="true" style="0"/>
  </cols>
  <sheetData>
    <row r="1" spans="1:9" customHeight="1" ht="30">
      <c r="A1" s="18" t="s">
        <v>0</v>
      </c>
    </row>
    <row r="2" spans="1:9" customHeight="1" ht="30">
      <c r="A2" s="11" t="s">
        <v>1</v>
      </c>
    </row>
    <row r="4" spans="1:9" customHeight="1" ht="20">
      <c r="A4" s="12" t="s">
        <v>2</v>
      </c>
    </row>
    <row r="5" spans="1:9" customHeight="1" ht="20">
      <c r="A5" s="20" t="s">
        <v>3</v>
      </c>
      <c r="B5" s="21">
        <v>231</v>
      </c>
      <c r="C5" s="22" t="s">
        <v>4</v>
      </c>
      <c r="D5" s="19"/>
      <c r="E5" s="19"/>
      <c r="F5" s="19"/>
      <c r="G5" s="19"/>
      <c r="H5" s="19"/>
      <c r="I5" s="19"/>
    </row>
    <row r="6" spans="1:9" customHeight="1" ht="20">
      <c r="A6" s="20" t="s">
        <v>5</v>
      </c>
      <c r="B6" s="21">
        <f>COUNTA('Business Registration'!$K$4:$K$121)+COUNTA('Business Profile'!$K$4:$K$57)+COUNTA('Trade Registration'!$K$4:$K$67)+COUNTA('Trade Approval'!$K$4:$K$64)+COUNTA('Trade Rejection'!$K$4:$K$46)+COUNTA('Trade Suspension'!$K$4:$K$42)+COUNTA('Pricing &amp; Quantity Bands'!$K$4:$K$77)+COUNTA('Cart &amp; Cart Repricing'!$K$4:$K$61)+COUNTA('VAT &amp; Tax'!$K$4:$K$49)+COUNTA('Checkout'!$K$4:$K$61)+COUNTA('Payment'!$K$4:$K$48)+COUNTA('Orders'!$K$4:$K$48)+COUNTA('Invoice'!$K$4:$K$40)+COUNTA('Email Notifications'!$K$4:$K$68)+COUNTA('Admin'!$K$4:$K$55)+COUNTA('Security &amp; Authorization'!$K$4:$K$55)+COUNTA('Mobile &amp; Responsive'!$K$4:$K$48)+COUNTA('Regression Testing'!$K$4:$K$47)+COUNTA('End-to-End Scenarios'!$K$4:$K$80)+COUNTA('Admin Customer Preview'!$K$4:$K$162)+COUNTA('Wizard Type Switching'!$K$4:$K$97)+COUNTA('Suspended Account Access'!$K$4:$K$91)</f>
        <v>1418</v>
      </c>
      <c r="C6" s="22" t="s">
        <v>6</v>
      </c>
      <c r="D6" s="19"/>
      <c r="E6" s="19"/>
      <c r="F6" s="19"/>
      <c r="G6" s="19"/>
      <c r="H6" s="19"/>
      <c r="I6" s="19"/>
    </row>
    <row r="7" spans="1:9" customHeight="1" ht="20">
      <c r="A7" s="24" t="s">
        <v>7</v>
      </c>
      <c r="B7" s="25">
        <f>COUNTIF('Business Registration'!$K$4:$K$121,"Not Run")+COUNTBLANK('Business Registration'!$K$4:$K$121)+COUNTIF('Business Profile'!$K$4:$K$57,"Not Run")+COUNTBLANK('Business Profile'!$K$4:$K$57)+COUNTIF('Trade Registration'!$K$4:$K$67,"Not Run")+COUNTBLANK('Trade Registration'!$K$4:$K$67)+COUNTIF('Trade Approval'!$K$4:$K$64,"Not Run")+COUNTBLANK('Trade Approval'!$K$4:$K$64)+COUNTIF('Trade Rejection'!$K$4:$K$46,"Not Run")+COUNTBLANK('Trade Rejection'!$K$4:$K$46)+COUNTIF('Trade Suspension'!$K$4:$K$42,"Not Run")+COUNTBLANK('Trade Suspension'!$K$4:$K$42)+COUNTIF('Pricing &amp; Quantity Bands'!$K$4:$K$77,"Not Run")+COUNTBLANK('Pricing &amp; Quantity Bands'!$K$4:$K$77)+COUNTIF('Cart &amp; Cart Repricing'!$K$4:$K$61,"Not Run")+COUNTBLANK('Cart &amp; Cart Repricing'!$K$4:$K$61)+COUNTIF('VAT &amp; Tax'!$K$4:$K$49,"Not Run")+COUNTBLANK('VAT &amp; Tax'!$K$4:$K$49)+COUNTIF('Checkout'!$K$4:$K$61,"Not Run")+COUNTBLANK('Checkout'!$K$4:$K$61)+COUNTIF('Payment'!$K$4:$K$48,"Not Run")+COUNTBLANK('Payment'!$K$4:$K$48)+COUNTIF('Orders'!$K$4:$K$48,"Not Run")+COUNTBLANK('Orders'!$K$4:$K$48)+COUNTIF('Invoice'!$K$4:$K$40,"Not Run")+COUNTBLANK('Invoice'!$K$4:$K$40)+COUNTIF('Email Notifications'!$K$4:$K$68,"Not Run")+COUNTBLANK('Email Notifications'!$K$4:$K$68)+COUNTIF('Admin'!$K$4:$K$55,"Not Run")+COUNTBLANK('Admin'!$K$4:$K$55)+COUNTIF('Security &amp; Authorization'!$K$4:$K$55,"Not Run")+COUNTBLANK('Security &amp; Authorization'!$K$4:$K$55)+COUNTIF('Mobile &amp; Responsive'!$K$4:$K$48,"Not Run")+COUNTBLANK('Mobile &amp; Responsive'!$K$4:$K$48)+COUNTIF('Regression Testing'!$K$4:$K$47,"Not Run")+COUNTBLANK('Regression Testing'!$K$4:$K$47)+COUNTIF('End-to-End Scenarios'!$K$4:$K$80,"Not Run")+COUNTBLANK('End-to-End Scenarios'!$K$4:$K$80)+COUNTIF('Admin Customer Preview'!$K$4:$K$162,"Not Run")+COUNTBLANK('Admin Customer Preview'!$K$4:$K$162)+COUNTIF('Wizard Type Switching'!$K$4:$K$97,"Not Run")+COUNTBLANK('Wizard Type Switching'!$K$4:$K$97)+COUNTIF('Suspended Account Access'!$K$4:$K$91,"Not Run")+COUNTBLANK('Suspended Account Access'!$K$4:$K$91)</f>
        <v>1418</v>
      </c>
      <c r="C7" s="26" t="s">
        <v>8</v>
      </c>
      <c r="D7" s="23"/>
      <c r="E7" s="23"/>
      <c r="F7" s="23"/>
      <c r="G7" s="23"/>
      <c r="H7" s="23"/>
      <c r="I7" s="23"/>
    </row>
    <row r="8" spans="1:9" customHeight="1" ht="20">
      <c r="A8" s="28" t="s">
        <v>9</v>
      </c>
      <c r="B8" s="29">
        <f>COUNTIF('Business Registration'!$K$4:$K$121,"Pass")+COUNTIF('Business Profile'!$K$4:$K$57,"Pass")+COUNTIF('Trade Registration'!$K$4:$K$67,"Pass")+COUNTIF('Trade Approval'!$K$4:$K$64,"Pass")+COUNTIF('Trade Rejection'!$K$4:$K$46,"Pass")+COUNTIF('Trade Suspension'!$K$4:$K$42,"Pass")+COUNTIF('Pricing &amp; Quantity Bands'!$K$4:$K$77,"Pass")+COUNTIF('Cart &amp; Cart Repricing'!$K$4:$K$61,"Pass")+COUNTIF('VAT &amp; Tax'!$K$4:$K$49,"Pass")+COUNTIF('Checkout'!$K$4:$K$61,"Pass")+COUNTIF('Payment'!$K$4:$K$48,"Pass")+COUNTIF('Orders'!$K$4:$K$48,"Pass")+COUNTIF('Invoice'!$K$4:$K$40,"Pass")+COUNTIF('Email Notifications'!$K$4:$K$68,"Pass")+COUNTIF('Admin'!$K$4:$K$55,"Pass")+COUNTIF('Security &amp; Authorization'!$K$4:$K$55,"Pass")+COUNTIF('Mobile &amp; Responsive'!$K$4:$K$48,"Pass")+COUNTIF('Regression Testing'!$K$4:$K$47,"Pass")+COUNTIF('End-to-End Scenarios'!$K$4:$K$80,"Pass")+COUNTIF('Admin Customer Preview'!$K$4:$K$162,"Pass")+COUNTIF('Wizard Type Switching'!$K$4:$K$97,"Pass")+COUNTIF('Suspended Account Access'!$K$4:$K$91,"Pass")</f>
        <v>0</v>
      </c>
      <c r="C8" s="30" t="s">
        <v>10</v>
      </c>
      <c r="D8" s="27"/>
      <c r="E8" s="27"/>
      <c r="F8" s="27"/>
      <c r="G8" s="27"/>
      <c r="H8" s="27"/>
      <c r="I8" s="27"/>
    </row>
    <row r="9" spans="1:9" customHeight="1" ht="20">
      <c r="A9" s="32" t="s">
        <v>11</v>
      </c>
      <c r="B9" s="33">
        <f>COUNTIF('Business Registration'!$K$4:$K$121,"Fail")+COUNTIF('Business Profile'!$K$4:$K$57,"Fail")+COUNTIF('Trade Registration'!$K$4:$K$67,"Fail")+COUNTIF('Trade Approval'!$K$4:$K$64,"Fail")+COUNTIF('Trade Rejection'!$K$4:$K$46,"Fail")+COUNTIF('Trade Suspension'!$K$4:$K$42,"Fail")+COUNTIF('Pricing &amp; Quantity Bands'!$K$4:$K$77,"Fail")+COUNTIF('Cart &amp; Cart Repricing'!$K$4:$K$61,"Fail")+COUNTIF('VAT &amp; Tax'!$K$4:$K$49,"Fail")+COUNTIF('Checkout'!$K$4:$K$61,"Fail")+COUNTIF('Payment'!$K$4:$K$48,"Fail")+COUNTIF('Orders'!$K$4:$K$48,"Fail")+COUNTIF('Invoice'!$K$4:$K$40,"Fail")+COUNTIF('Email Notifications'!$K$4:$K$68,"Fail")+COUNTIF('Admin'!$K$4:$K$55,"Fail")+COUNTIF('Security &amp; Authorization'!$K$4:$K$55,"Fail")+COUNTIF('Mobile &amp; Responsive'!$K$4:$K$48,"Fail")+COUNTIF('Regression Testing'!$K$4:$K$47,"Fail")+COUNTIF('End-to-End Scenarios'!$K$4:$K$80,"Fail")+COUNTIF('Admin Customer Preview'!$K$4:$K$162,"Fail")+COUNTIF('Wizard Type Switching'!$K$4:$K$97,"Fail")+COUNTIF('Suspended Account Access'!$K$4:$K$91,"Fail")</f>
        <v>0</v>
      </c>
      <c r="C9" s="34" t="s">
        <v>12</v>
      </c>
      <c r="D9" s="31"/>
      <c r="E9" s="31"/>
      <c r="F9" s="31"/>
      <c r="G9" s="31"/>
      <c r="H9" s="31"/>
      <c r="I9" s="31"/>
    </row>
    <row r="10" spans="1:9" customHeight="1" ht="20">
      <c r="A10" s="36" t="s">
        <v>13</v>
      </c>
      <c r="B10" s="37">
        <f>COUNTIF('Business Registration'!$K$4:$K$121,"Blocked")+COUNTIF('Business Profile'!$K$4:$K$57,"Blocked")+COUNTIF('Trade Registration'!$K$4:$K$67,"Blocked")+COUNTIF('Trade Approval'!$K$4:$K$64,"Blocked")+COUNTIF('Trade Rejection'!$K$4:$K$46,"Blocked")+COUNTIF('Trade Suspension'!$K$4:$K$42,"Blocked")+COUNTIF('Pricing &amp; Quantity Bands'!$K$4:$K$77,"Blocked")+COUNTIF('Cart &amp; Cart Repricing'!$K$4:$K$61,"Blocked")+COUNTIF('VAT &amp; Tax'!$K$4:$K$49,"Blocked")+COUNTIF('Checkout'!$K$4:$K$61,"Blocked")+COUNTIF('Payment'!$K$4:$K$48,"Blocked")+COUNTIF('Orders'!$K$4:$K$48,"Blocked")+COUNTIF('Invoice'!$K$4:$K$40,"Blocked")+COUNTIF('Email Notifications'!$K$4:$K$68,"Blocked")+COUNTIF('Admin'!$K$4:$K$55,"Blocked")+COUNTIF('Security &amp; Authorization'!$K$4:$K$55,"Blocked")+COUNTIF('Mobile &amp; Responsive'!$K$4:$K$48,"Blocked")+COUNTIF('Regression Testing'!$K$4:$K$47,"Blocked")+COUNTIF('End-to-End Scenarios'!$K$4:$K$80,"Blocked")+COUNTIF('Admin Customer Preview'!$K$4:$K$162,"Blocked")+COUNTIF('Wizard Type Switching'!$K$4:$K$97,"Blocked")+COUNTIF('Suspended Account Access'!$K$4:$K$91,"Blocked")</f>
        <v>0</v>
      </c>
      <c r="C10" s="38" t="s">
        <v>14</v>
      </c>
      <c r="D10" s="35"/>
      <c r="E10" s="35"/>
      <c r="F10" s="35"/>
      <c r="G10" s="35"/>
      <c r="H10" s="35"/>
      <c r="I10" s="35"/>
    </row>
    <row r="11" spans="1:9" customHeight="1" ht="20">
      <c r="A11" s="40" t="s">
        <v>15</v>
      </c>
      <c r="B11" s="41">
        <f>COUNTIF('Business Registration'!$K$4:$K$121,"Not Applicable")+COUNTIF('Business Profile'!$K$4:$K$57,"Not Applicable")+COUNTIF('Trade Registration'!$K$4:$K$67,"Not Applicable")+COUNTIF('Trade Approval'!$K$4:$K$64,"Not Applicable")+COUNTIF('Trade Rejection'!$K$4:$K$46,"Not Applicable")+COUNTIF('Trade Suspension'!$K$4:$K$42,"Not Applicable")+COUNTIF('Pricing &amp; Quantity Bands'!$K$4:$K$77,"Not Applicable")+COUNTIF('Cart &amp; Cart Repricing'!$K$4:$K$61,"Not Applicable")+COUNTIF('VAT &amp; Tax'!$K$4:$K$49,"Not Applicable")+COUNTIF('Checkout'!$K$4:$K$61,"Not Applicable")+COUNTIF('Payment'!$K$4:$K$48,"Not Applicable")+COUNTIF('Orders'!$K$4:$K$48,"Not Applicable")+COUNTIF('Invoice'!$K$4:$K$40,"Not Applicable")+COUNTIF('Email Notifications'!$K$4:$K$68,"Not Applicable")+COUNTIF('Admin'!$K$4:$K$55,"Not Applicable")+COUNTIF('Security &amp; Authorization'!$K$4:$K$55,"Not Applicable")+COUNTIF('Mobile &amp; Responsive'!$K$4:$K$48,"Not Applicable")+COUNTIF('Regression Testing'!$K$4:$K$47,"Not Applicable")+COUNTIF('End-to-End Scenarios'!$K$4:$K$80,"Not Applicable")+COUNTIF('Admin Customer Preview'!$K$4:$K$162,"Not Applicable")+COUNTIF('Wizard Type Switching'!$K$4:$K$97,"Not Applicable")+COUNTIF('Suspended Account Access'!$K$4:$K$91,"Not Applicable")</f>
        <v>0</v>
      </c>
      <c r="C11" s="42" t="s">
        <v>16</v>
      </c>
      <c r="D11" s="39"/>
      <c r="E11" s="39"/>
      <c r="F11" s="39"/>
      <c r="G11" s="39"/>
      <c r="H11" s="39"/>
      <c r="I11" s="39"/>
    </row>
    <row r="12" spans="1:9">
      <c r="A12" s="43" t="s">
        <v>17</v>
      </c>
      <c r="B12" s="44" t="str">
        <f>IF((B8+B9)=0,"—",B8/(B8+B9))</f>
        <v>—</v>
      </c>
      <c r="C12" s="45" t="s">
        <v>18</v>
      </c>
      <c r="D12" s="43"/>
      <c r="E12" s="43"/>
      <c r="F12" s="43"/>
      <c r="G12" s="43"/>
      <c r="H12" s="43"/>
      <c r="I12" s="43"/>
    </row>
    <row r="14" spans="1:9" customHeight="1" ht="20">
      <c r="A14" s="12" t="s">
        <v>19</v>
      </c>
    </row>
    <row r="15" spans="1:9" customHeight="1" ht="20">
      <c r="A15" s="47" t="s">
        <v>20</v>
      </c>
      <c r="B15" s="48">
        <f>_xlfn.COUNTIFS('Business Registration'!$K$4:$K$121,"Fail",'Business Registration'!$L$4:$L$121,"Critical")+_xlfn.COUNTIFS('Business Profile'!$K$4:$K$57,"Fail",'Business Profile'!$L$4:$L$57,"Critical")+_xlfn.COUNTIFS('Trade Registration'!$K$4:$K$67,"Fail",'Trade Registration'!$L$4:$L$67,"Critical")+_xlfn.COUNTIFS('Trade Approval'!$K$4:$K$64,"Fail",'Trade Approval'!$L$4:$L$64,"Critical")+_xlfn.COUNTIFS('Trade Rejection'!$K$4:$K$46,"Fail",'Trade Rejection'!$L$4:$L$46,"Critical")+_xlfn.COUNTIFS('Trade Suspension'!$K$4:$K$42,"Fail",'Trade Suspension'!$L$4:$L$42,"Critical")+_xlfn.COUNTIFS('Pricing &amp; Quantity Bands'!$K$4:$K$77,"Fail",'Pricing &amp; Quantity Bands'!$L$4:$L$77,"Critical")+_xlfn.COUNTIFS('Cart &amp; Cart Repricing'!$K$4:$K$61,"Fail",'Cart &amp; Cart Repricing'!$L$4:$L$61,"Critical")+_xlfn.COUNTIFS('VAT &amp; Tax'!$K$4:$K$49,"Fail",'VAT &amp; Tax'!$L$4:$L$49,"Critical")+_xlfn.COUNTIFS('Checkout'!$K$4:$K$61,"Fail",'Checkout'!$L$4:$L$61,"Critical")+_xlfn.COUNTIFS('Payment'!$K$4:$K$48,"Fail",'Payment'!$L$4:$L$48,"Critical")+_xlfn.COUNTIFS('Orders'!$K$4:$K$48,"Fail",'Orders'!$L$4:$L$48,"Critical")+_xlfn.COUNTIFS('Invoice'!$K$4:$K$40,"Fail",'Invoice'!$L$4:$L$40,"Critical")+_xlfn.COUNTIFS('Email Notifications'!$K$4:$K$68,"Fail",'Email Notifications'!$L$4:$L$68,"Critical")+_xlfn.COUNTIFS('Admin'!$K$4:$K$55,"Fail",'Admin'!$L$4:$L$55,"Critical")+_xlfn.COUNTIFS('Security &amp; Authorization'!$K$4:$K$55,"Fail",'Security &amp; Authorization'!$L$4:$L$55,"Critical")+_xlfn.COUNTIFS('Mobile &amp; Responsive'!$K$4:$K$48,"Fail",'Mobile &amp; Responsive'!$L$4:$L$48,"Critical")+_xlfn.COUNTIFS('Regression Testing'!$K$4:$K$47,"Fail",'Regression Testing'!$L$4:$L$47,"Critical")+_xlfn.COUNTIFS('End-to-End Scenarios'!$K$4:$K$80,"Fail",'End-to-End Scenarios'!$L$4:$L$80,"Critical")+_xlfn.COUNTIFS('Admin Customer Preview'!$K$4:$K$162,"Fail",'Admin Customer Preview'!$L$4:$L$162,"Critical")+_xlfn.COUNTIFS('Wizard Type Switching'!$K$4:$K$97,"Fail",'Wizard Type Switching'!$L$4:$L$97,"Critical")+_xlfn.COUNTIFS('Suspended Account Access'!$K$4:$K$91,"Fail",'Suspended Account Access'!$L$4:$L$91,"Critical")</f>
        <v>0</v>
      </c>
      <c r="C15" s="49" t="s">
        <v>21</v>
      </c>
      <c r="D15" s="46"/>
      <c r="E15" s="46"/>
      <c r="F15" s="46"/>
      <c r="G15" s="46"/>
      <c r="H15" s="46"/>
      <c r="I15" s="46"/>
    </row>
    <row r="16" spans="1:9" customHeight="1" ht="20">
      <c r="A16" s="32" t="s">
        <v>22</v>
      </c>
      <c r="B16" s="50">
        <f>_xlfn.COUNTIFS('Business Registration'!$K$4:$K$121,"Fail",'Business Registration'!$L$4:$L$121,"Major")+_xlfn.COUNTIFS('Business Profile'!$K$4:$K$57,"Fail",'Business Profile'!$L$4:$L$57,"Major")+_xlfn.COUNTIFS('Trade Registration'!$K$4:$K$67,"Fail",'Trade Registration'!$L$4:$L$67,"Major")+_xlfn.COUNTIFS('Trade Approval'!$K$4:$K$64,"Fail",'Trade Approval'!$L$4:$L$64,"Major")+_xlfn.COUNTIFS('Trade Rejection'!$K$4:$K$46,"Fail",'Trade Rejection'!$L$4:$L$46,"Major")+_xlfn.COUNTIFS('Trade Suspension'!$K$4:$K$42,"Fail",'Trade Suspension'!$L$4:$L$42,"Major")+_xlfn.COUNTIFS('Pricing &amp; Quantity Bands'!$K$4:$K$77,"Fail",'Pricing &amp; Quantity Bands'!$L$4:$L$77,"Major")+_xlfn.COUNTIFS('Cart &amp; Cart Repricing'!$K$4:$K$61,"Fail",'Cart &amp; Cart Repricing'!$L$4:$L$61,"Major")+_xlfn.COUNTIFS('VAT &amp; Tax'!$K$4:$K$49,"Fail",'VAT &amp; Tax'!$L$4:$L$49,"Major")+_xlfn.COUNTIFS('Checkout'!$K$4:$K$61,"Fail",'Checkout'!$L$4:$L$61,"Major")+_xlfn.COUNTIFS('Payment'!$K$4:$K$48,"Fail",'Payment'!$L$4:$L$48,"Major")+_xlfn.COUNTIFS('Orders'!$K$4:$K$48,"Fail",'Orders'!$L$4:$L$48,"Major")+_xlfn.COUNTIFS('Invoice'!$K$4:$K$40,"Fail",'Invoice'!$L$4:$L$40,"Major")+_xlfn.COUNTIFS('Email Notifications'!$K$4:$K$68,"Fail",'Email Notifications'!$L$4:$L$68,"Major")+_xlfn.COUNTIFS('Admin'!$K$4:$K$55,"Fail",'Admin'!$L$4:$L$55,"Major")+_xlfn.COUNTIFS('Security &amp; Authorization'!$K$4:$K$55,"Fail",'Security &amp; Authorization'!$L$4:$L$55,"Major")+_xlfn.COUNTIFS('Mobile &amp; Responsive'!$K$4:$K$48,"Fail",'Mobile &amp; Responsive'!$L$4:$L$48,"Major")+_xlfn.COUNTIFS('Regression Testing'!$K$4:$K$47,"Fail",'Regression Testing'!$L$4:$L$47,"Major")+_xlfn.COUNTIFS('End-to-End Scenarios'!$K$4:$K$80,"Fail",'End-to-End Scenarios'!$L$4:$L$80,"Major")+_xlfn.COUNTIFS('Admin Customer Preview'!$K$4:$K$162,"Fail",'Admin Customer Preview'!$L$4:$L$162,"Major")+_xlfn.COUNTIFS('Wizard Type Switching'!$K$4:$K$97,"Fail",'Wizard Type Switching'!$L$4:$L$97,"Major")+_xlfn.COUNTIFS('Suspended Account Access'!$K$4:$K$91,"Fail",'Suspended Account Access'!$L$4:$L$91,"Major")</f>
        <v>0</v>
      </c>
      <c r="C16" s="34" t="s">
        <v>23</v>
      </c>
      <c r="D16" s="31"/>
      <c r="E16" s="31"/>
      <c r="F16" s="31"/>
      <c r="G16" s="31"/>
      <c r="H16" s="31"/>
      <c r="I16" s="31"/>
    </row>
    <row r="17" spans="1:9" customHeight="1" ht="20">
      <c r="A17" s="36" t="s">
        <v>24</v>
      </c>
      <c r="B17" s="51">
        <f>_xlfn.COUNTIFS('Business Registration'!$K$4:$K$121,"Fail",'Business Registration'!$L$4:$L$121,"Minor")+_xlfn.COUNTIFS('Business Profile'!$K$4:$K$57,"Fail",'Business Profile'!$L$4:$L$57,"Minor")+_xlfn.COUNTIFS('Trade Registration'!$K$4:$K$67,"Fail",'Trade Registration'!$L$4:$L$67,"Minor")+_xlfn.COUNTIFS('Trade Approval'!$K$4:$K$64,"Fail",'Trade Approval'!$L$4:$L$64,"Minor")+_xlfn.COUNTIFS('Trade Rejection'!$K$4:$K$46,"Fail",'Trade Rejection'!$L$4:$L$46,"Minor")+_xlfn.COUNTIFS('Trade Suspension'!$K$4:$K$42,"Fail",'Trade Suspension'!$L$4:$L$42,"Minor")+_xlfn.COUNTIFS('Pricing &amp; Quantity Bands'!$K$4:$K$77,"Fail",'Pricing &amp; Quantity Bands'!$L$4:$L$77,"Minor")+_xlfn.COUNTIFS('Cart &amp; Cart Repricing'!$K$4:$K$61,"Fail",'Cart &amp; Cart Repricing'!$L$4:$L$61,"Minor")+_xlfn.COUNTIFS('VAT &amp; Tax'!$K$4:$K$49,"Fail",'VAT &amp; Tax'!$L$4:$L$49,"Minor")+_xlfn.COUNTIFS('Checkout'!$K$4:$K$61,"Fail",'Checkout'!$L$4:$L$61,"Minor")+_xlfn.COUNTIFS('Payment'!$K$4:$K$48,"Fail",'Payment'!$L$4:$L$48,"Minor")+_xlfn.COUNTIFS('Orders'!$K$4:$K$48,"Fail",'Orders'!$L$4:$L$48,"Minor")+_xlfn.COUNTIFS('Invoice'!$K$4:$K$40,"Fail",'Invoice'!$L$4:$L$40,"Minor")+_xlfn.COUNTIFS('Email Notifications'!$K$4:$K$68,"Fail",'Email Notifications'!$L$4:$L$68,"Minor")+_xlfn.COUNTIFS('Admin'!$K$4:$K$55,"Fail",'Admin'!$L$4:$L$55,"Minor")+_xlfn.COUNTIFS('Security &amp; Authorization'!$K$4:$K$55,"Fail",'Security &amp; Authorization'!$L$4:$L$55,"Minor")+_xlfn.COUNTIFS('Mobile &amp; Responsive'!$K$4:$K$48,"Fail",'Mobile &amp; Responsive'!$L$4:$L$48,"Minor")+_xlfn.COUNTIFS('Regression Testing'!$K$4:$K$47,"Fail",'Regression Testing'!$L$4:$L$47,"Minor")+_xlfn.COUNTIFS('End-to-End Scenarios'!$K$4:$K$80,"Fail",'End-to-End Scenarios'!$L$4:$L$80,"Minor")+_xlfn.COUNTIFS('Admin Customer Preview'!$K$4:$K$162,"Fail",'Admin Customer Preview'!$L$4:$L$162,"Minor")+_xlfn.COUNTIFS('Wizard Type Switching'!$K$4:$K$97,"Fail",'Wizard Type Switching'!$L$4:$L$97,"Minor")+_xlfn.COUNTIFS('Suspended Account Access'!$K$4:$K$91,"Fail",'Suspended Account Access'!$L$4:$L$91,"Minor")</f>
        <v>0</v>
      </c>
      <c r="C17" s="38" t="s">
        <v>25</v>
      </c>
      <c r="D17" s="35"/>
      <c r="E17" s="35"/>
      <c r="F17" s="35"/>
      <c r="G17" s="35"/>
      <c r="H17" s="35"/>
      <c r="I17" s="35"/>
    </row>
    <row r="18" spans="1:9" customHeight="1" ht="20">
      <c r="A18" s="53" t="s">
        <v>26</v>
      </c>
      <c r="B18" s="54">
        <f>_xlfn.COUNTIFS('Business Registration'!$K$4:$K$121,"Fail",'Business Registration'!$L$4:$L$121,"Cosmetic")+_xlfn.COUNTIFS('Business Profile'!$K$4:$K$57,"Fail",'Business Profile'!$L$4:$L$57,"Cosmetic")+_xlfn.COUNTIFS('Trade Registration'!$K$4:$K$67,"Fail",'Trade Registration'!$L$4:$L$67,"Cosmetic")+_xlfn.COUNTIFS('Trade Approval'!$K$4:$K$64,"Fail",'Trade Approval'!$L$4:$L$64,"Cosmetic")+_xlfn.COUNTIFS('Trade Rejection'!$K$4:$K$46,"Fail",'Trade Rejection'!$L$4:$L$46,"Cosmetic")+_xlfn.COUNTIFS('Trade Suspension'!$K$4:$K$42,"Fail",'Trade Suspension'!$L$4:$L$42,"Cosmetic")+_xlfn.COUNTIFS('Pricing &amp; Quantity Bands'!$K$4:$K$77,"Fail",'Pricing &amp; Quantity Bands'!$L$4:$L$77,"Cosmetic")+_xlfn.COUNTIFS('Cart &amp; Cart Repricing'!$K$4:$K$61,"Fail",'Cart &amp; Cart Repricing'!$L$4:$L$61,"Cosmetic")+_xlfn.COUNTIFS('VAT &amp; Tax'!$K$4:$K$49,"Fail",'VAT &amp; Tax'!$L$4:$L$49,"Cosmetic")+_xlfn.COUNTIFS('Checkout'!$K$4:$K$61,"Fail",'Checkout'!$L$4:$L$61,"Cosmetic")+_xlfn.COUNTIFS('Payment'!$K$4:$K$48,"Fail",'Payment'!$L$4:$L$48,"Cosmetic")+_xlfn.COUNTIFS('Orders'!$K$4:$K$48,"Fail",'Orders'!$L$4:$L$48,"Cosmetic")+_xlfn.COUNTIFS('Invoice'!$K$4:$K$40,"Fail",'Invoice'!$L$4:$L$40,"Cosmetic")+_xlfn.COUNTIFS('Email Notifications'!$K$4:$K$68,"Fail",'Email Notifications'!$L$4:$L$68,"Cosmetic")+_xlfn.COUNTIFS('Admin'!$K$4:$K$55,"Fail",'Admin'!$L$4:$L$55,"Cosmetic")+_xlfn.COUNTIFS('Security &amp; Authorization'!$K$4:$K$55,"Fail",'Security &amp; Authorization'!$L$4:$L$55,"Cosmetic")+_xlfn.COUNTIFS('Mobile &amp; Responsive'!$K$4:$K$48,"Fail",'Mobile &amp; Responsive'!$L$4:$L$48,"Cosmetic")+_xlfn.COUNTIFS('Regression Testing'!$K$4:$K$47,"Fail",'Regression Testing'!$L$4:$L$47,"Cosmetic")+_xlfn.COUNTIFS('End-to-End Scenarios'!$K$4:$K$80,"Fail",'End-to-End Scenarios'!$L$4:$L$80,"Cosmetic")+_xlfn.COUNTIFS('Admin Customer Preview'!$K$4:$K$162,"Fail",'Admin Customer Preview'!$L$4:$L$162,"Cosmetic")+_xlfn.COUNTIFS('Wizard Type Switching'!$K$4:$K$97,"Fail",'Wizard Type Switching'!$L$4:$L$97,"Cosmetic")+_xlfn.COUNTIFS('Suspended Account Access'!$K$4:$K$91,"Fail",'Suspended Account Access'!$L$4:$L$91,"Cosmetic")</f>
        <v>0</v>
      </c>
      <c r="C18" s="55" t="s">
        <v>27</v>
      </c>
      <c r="D18" s="52"/>
      <c r="E18" s="52"/>
      <c r="F18" s="52"/>
      <c r="G18" s="52"/>
      <c r="H18" s="52"/>
      <c r="I18" s="52"/>
    </row>
    <row r="19" spans="1:9">
      <c r="A19" s="57" t="s">
        <v>28</v>
      </c>
      <c r="B19" s="59">
        <f>_xlfn.COUNTIFS('Business Registration'!$K$4:$K$121,"Fail",'Business Registration'!$L$4:$L$121,"")+_xlfn.COUNTIFS('Business Profile'!$K$4:$K$57,"Fail",'Business Profile'!$L$4:$L$57,"")+_xlfn.COUNTIFS('Trade Registration'!$K$4:$K$67,"Fail",'Trade Registration'!$L$4:$L$67,"")+_xlfn.COUNTIFS('Trade Approval'!$K$4:$K$64,"Fail",'Trade Approval'!$L$4:$L$64,"")+_xlfn.COUNTIFS('Trade Rejection'!$K$4:$K$46,"Fail",'Trade Rejection'!$L$4:$L$46,"")+_xlfn.COUNTIFS('Trade Suspension'!$K$4:$K$42,"Fail",'Trade Suspension'!$L$4:$L$42,"")+_xlfn.COUNTIFS('Pricing &amp; Quantity Bands'!$K$4:$K$77,"Fail",'Pricing &amp; Quantity Bands'!$L$4:$L$77,"")+_xlfn.COUNTIFS('Cart &amp; Cart Repricing'!$K$4:$K$61,"Fail",'Cart &amp; Cart Repricing'!$L$4:$L$61,"")+_xlfn.COUNTIFS('VAT &amp; Tax'!$K$4:$K$49,"Fail",'VAT &amp; Tax'!$L$4:$L$49,"")+_xlfn.COUNTIFS('Checkout'!$K$4:$K$61,"Fail",'Checkout'!$L$4:$L$61,"")+_xlfn.COUNTIFS('Payment'!$K$4:$K$48,"Fail",'Payment'!$L$4:$L$48,"")+_xlfn.COUNTIFS('Orders'!$K$4:$K$48,"Fail",'Orders'!$L$4:$L$48,"")+_xlfn.COUNTIFS('Invoice'!$K$4:$K$40,"Fail",'Invoice'!$L$4:$L$40,"")+_xlfn.COUNTIFS('Email Notifications'!$K$4:$K$68,"Fail",'Email Notifications'!$L$4:$L$68,"")+_xlfn.COUNTIFS('Admin'!$K$4:$K$55,"Fail",'Admin'!$L$4:$L$55,"")+_xlfn.COUNTIFS('Security &amp; Authorization'!$K$4:$K$55,"Fail",'Security &amp; Authorization'!$L$4:$L$55,"")+_xlfn.COUNTIFS('Mobile &amp; Responsive'!$K$4:$K$48,"Fail",'Mobile &amp; Responsive'!$L$4:$L$48,"")+_xlfn.COUNTIFS('Regression Testing'!$K$4:$K$47,"Fail",'Regression Testing'!$L$4:$L$47,"")+_xlfn.COUNTIFS('End-to-End Scenarios'!$K$4:$K$80,"Fail",'End-to-End Scenarios'!$L$4:$L$80,"")+_xlfn.COUNTIFS('Admin Customer Preview'!$K$4:$K$162,"Fail",'Admin Customer Preview'!$L$4:$L$162,"")+_xlfn.COUNTIFS('Wizard Type Switching'!$K$4:$K$97,"Fail",'Wizard Type Switching'!$L$4:$L$97,"")+_xlfn.COUNTIFS('Suspended Account Access'!$K$4:$K$91,"Fail",'Suspended Account Access'!$L$4:$L$91,"")</f>
        <v>0</v>
      </c>
      <c r="C19" s="60" t="s">
        <v>29</v>
      </c>
      <c r="D19" s="56"/>
      <c r="E19" s="56"/>
      <c r="F19" s="56"/>
      <c r="G19" s="56"/>
      <c r="H19" s="56"/>
      <c r="I19" s="56"/>
    </row>
    <row r="21" spans="1:9" customHeight="1" ht="20">
      <c r="A21" s="12" t="s">
        <v>30</v>
      </c>
    </row>
    <row r="22" spans="1:9">
      <c r="A22" s="62" t="s">
        <v>31</v>
      </c>
      <c r="B22" s="61" t="s">
        <v>32</v>
      </c>
      <c r="C22" s="61" t="s">
        <v>33</v>
      </c>
      <c r="D22" s="61" t="s">
        <v>7</v>
      </c>
      <c r="E22" s="61" t="s">
        <v>34</v>
      </c>
      <c r="F22" s="61" t="s">
        <v>35</v>
      </c>
      <c r="G22" s="61" t="s">
        <v>13</v>
      </c>
      <c r="H22" s="61" t="s">
        <v>36</v>
      </c>
    </row>
    <row r="23" spans="1:9">
      <c r="A23" s="63" t="s">
        <v>37</v>
      </c>
      <c r="B23" s="58">
        <v>20</v>
      </c>
      <c r="C23" s="58">
        <f>COUNTA('Business Registration'!$K$4:$K$121)</f>
        <v>118</v>
      </c>
      <c r="D23" s="58">
        <f>COUNTIF('Business Registration'!$K$4:$K$121,"Not Run")+COUNTBLANK('Business Registration'!$K$4:$K$121)</f>
        <v>118</v>
      </c>
      <c r="E23" s="58">
        <f>COUNTIF('Business Registration'!$K$4:$K$121,"Pass")</f>
        <v>0</v>
      </c>
      <c r="F23" s="58">
        <f>COUNTIF('Business Registration'!$K$4:$K$121,"Fail")</f>
        <v>0</v>
      </c>
      <c r="G23" s="58">
        <f>COUNTIF('Business Registration'!$K$4:$K$121,"Blocked")</f>
        <v>0</v>
      </c>
      <c r="H23" s="58">
        <f>COUNTIF('Business Registration'!$K$4:$K$121,"Not Applicable")</f>
        <v>0</v>
      </c>
    </row>
    <row r="24" spans="1:9">
      <c r="A24" s="64" t="s">
        <v>38</v>
      </c>
      <c r="B24" s="65">
        <v>10</v>
      </c>
      <c r="C24" s="65">
        <f>COUNTA('Business Profile'!$K$4:$K$57)</f>
        <v>54</v>
      </c>
      <c r="D24" s="65">
        <f>COUNTIF('Business Profile'!$K$4:$K$57,"Not Run")+COUNTBLANK('Business Profile'!$K$4:$K$57)</f>
        <v>54</v>
      </c>
      <c r="E24" s="65">
        <f>COUNTIF('Business Profile'!$K$4:$K$57,"Pass")</f>
        <v>0</v>
      </c>
      <c r="F24" s="65">
        <f>COUNTIF('Business Profile'!$K$4:$K$57,"Fail")</f>
        <v>0</v>
      </c>
      <c r="G24" s="65">
        <f>COUNTIF('Business Profile'!$K$4:$K$57,"Blocked")</f>
        <v>0</v>
      </c>
      <c r="H24" s="65">
        <f>COUNTIF('Business Profile'!$K$4:$K$57,"Not Applicable")</f>
        <v>0</v>
      </c>
    </row>
    <row r="25" spans="1:9">
      <c r="A25" s="63" t="s">
        <v>39</v>
      </c>
      <c r="B25" s="58">
        <v>10</v>
      </c>
      <c r="C25" s="58">
        <f>COUNTA('Trade Registration'!$K$4:$K$67)</f>
        <v>64</v>
      </c>
      <c r="D25" s="58">
        <f>COUNTIF('Trade Registration'!$K$4:$K$67,"Not Run")+COUNTBLANK('Trade Registration'!$K$4:$K$67)</f>
        <v>64</v>
      </c>
      <c r="E25" s="58">
        <f>COUNTIF('Trade Registration'!$K$4:$K$67,"Pass")</f>
        <v>0</v>
      </c>
      <c r="F25" s="58">
        <f>COUNTIF('Trade Registration'!$K$4:$K$67,"Fail")</f>
        <v>0</v>
      </c>
      <c r="G25" s="58">
        <f>COUNTIF('Trade Registration'!$K$4:$K$67,"Blocked")</f>
        <v>0</v>
      </c>
      <c r="H25" s="58">
        <f>COUNTIF('Trade Registration'!$K$4:$K$67,"Not Applicable")</f>
        <v>0</v>
      </c>
    </row>
    <row r="26" spans="1:9">
      <c r="A26" s="64" t="s">
        <v>40</v>
      </c>
      <c r="B26" s="65">
        <v>10</v>
      </c>
      <c r="C26" s="65">
        <f>COUNTA('Trade Approval'!$K$4:$K$64)</f>
        <v>61</v>
      </c>
      <c r="D26" s="65">
        <f>COUNTIF('Trade Approval'!$K$4:$K$64,"Not Run")+COUNTBLANK('Trade Approval'!$K$4:$K$64)</f>
        <v>61</v>
      </c>
      <c r="E26" s="65">
        <f>COUNTIF('Trade Approval'!$K$4:$K$64,"Pass")</f>
        <v>0</v>
      </c>
      <c r="F26" s="65">
        <f>COUNTIF('Trade Approval'!$K$4:$K$64,"Fail")</f>
        <v>0</v>
      </c>
      <c r="G26" s="65">
        <f>COUNTIF('Trade Approval'!$K$4:$K$64,"Blocked")</f>
        <v>0</v>
      </c>
      <c r="H26" s="65">
        <f>COUNTIF('Trade Approval'!$K$4:$K$64,"Not Applicable")</f>
        <v>0</v>
      </c>
    </row>
    <row r="27" spans="1:9">
      <c r="A27" s="63" t="s">
        <v>41</v>
      </c>
      <c r="B27" s="58">
        <v>8</v>
      </c>
      <c r="C27" s="58">
        <f>COUNTA('Trade Rejection'!$K$4:$K$46)</f>
        <v>43</v>
      </c>
      <c r="D27" s="58">
        <f>COUNTIF('Trade Rejection'!$K$4:$K$46,"Not Run")+COUNTBLANK('Trade Rejection'!$K$4:$K$46)</f>
        <v>43</v>
      </c>
      <c r="E27" s="58">
        <f>COUNTIF('Trade Rejection'!$K$4:$K$46,"Pass")</f>
        <v>0</v>
      </c>
      <c r="F27" s="58">
        <f>COUNTIF('Trade Rejection'!$K$4:$K$46,"Fail")</f>
        <v>0</v>
      </c>
      <c r="G27" s="58">
        <f>COUNTIF('Trade Rejection'!$K$4:$K$46,"Blocked")</f>
        <v>0</v>
      </c>
      <c r="H27" s="58">
        <f>COUNTIF('Trade Rejection'!$K$4:$K$46,"Not Applicable")</f>
        <v>0</v>
      </c>
    </row>
    <row r="28" spans="1:9">
      <c r="A28" s="64" t="s">
        <v>42</v>
      </c>
      <c r="B28" s="65">
        <v>7</v>
      </c>
      <c r="C28" s="65">
        <f>COUNTA('Trade Suspension'!$K$4:$K$42)</f>
        <v>39</v>
      </c>
      <c r="D28" s="65">
        <f>COUNTIF('Trade Suspension'!$K$4:$K$42,"Not Run")+COUNTBLANK('Trade Suspension'!$K$4:$K$42)</f>
        <v>39</v>
      </c>
      <c r="E28" s="65">
        <f>COUNTIF('Trade Suspension'!$K$4:$K$42,"Pass")</f>
        <v>0</v>
      </c>
      <c r="F28" s="65">
        <f>COUNTIF('Trade Suspension'!$K$4:$K$42,"Fail")</f>
        <v>0</v>
      </c>
      <c r="G28" s="65">
        <f>COUNTIF('Trade Suspension'!$K$4:$K$42,"Blocked")</f>
        <v>0</v>
      </c>
      <c r="H28" s="65">
        <f>COUNTIF('Trade Suspension'!$K$4:$K$42,"Not Applicable")</f>
        <v>0</v>
      </c>
    </row>
    <row r="29" spans="1:9">
      <c r="A29" s="63" t="s">
        <v>43</v>
      </c>
      <c r="B29" s="58">
        <v>14</v>
      </c>
      <c r="C29" s="58">
        <f>COUNTA('Pricing &amp; Quantity Bands'!$K$4:$K$77)</f>
        <v>74</v>
      </c>
      <c r="D29" s="58">
        <f>COUNTIF('Pricing &amp; Quantity Bands'!$K$4:$K$77,"Not Run")+COUNTBLANK('Pricing &amp; Quantity Bands'!$K$4:$K$77)</f>
        <v>74</v>
      </c>
      <c r="E29" s="58">
        <f>COUNTIF('Pricing &amp; Quantity Bands'!$K$4:$K$77,"Pass")</f>
        <v>0</v>
      </c>
      <c r="F29" s="58">
        <f>COUNTIF('Pricing &amp; Quantity Bands'!$K$4:$K$77,"Fail")</f>
        <v>0</v>
      </c>
      <c r="G29" s="58">
        <f>COUNTIF('Pricing &amp; Quantity Bands'!$K$4:$K$77,"Blocked")</f>
        <v>0</v>
      </c>
      <c r="H29" s="58">
        <f>COUNTIF('Pricing &amp; Quantity Bands'!$K$4:$K$77,"Not Applicable")</f>
        <v>0</v>
      </c>
    </row>
    <row r="30" spans="1:9">
      <c r="A30" s="64" t="s">
        <v>44</v>
      </c>
      <c r="B30" s="65">
        <v>11</v>
      </c>
      <c r="C30" s="65">
        <f>COUNTA('Cart &amp; Cart Repricing'!$K$4:$K$61)</f>
        <v>58</v>
      </c>
      <c r="D30" s="65">
        <f>COUNTIF('Cart &amp; Cart Repricing'!$K$4:$K$61,"Not Run")+COUNTBLANK('Cart &amp; Cart Repricing'!$K$4:$K$61)</f>
        <v>58</v>
      </c>
      <c r="E30" s="65">
        <f>COUNTIF('Cart &amp; Cart Repricing'!$K$4:$K$61,"Pass")</f>
        <v>0</v>
      </c>
      <c r="F30" s="65">
        <f>COUNTIF('Cart &amp; Cart Repricing'!$K$4:$K$61,"Fail")</f>
        <v>0</v>
      </c>
      <c r="G30" s="65">
        <f>COUNTIF('Cart &amp; Cart Repricing'!$K$4:$K$61,"Blocked")</f>
        <v>0</v>
      </c>
      <c r="H30" s="65">
        <f>COUNTIF('Cart &amp; Cart Repricing'!$K$4:$K$61,"Not Applicable")</f>
        <v>0</v>
      </c>
    </row>
    <row r="31" spans="1:9">
      <c r="A31" s="63" t="s">
        <v>45</v>
      </c>
      <c r="B31" s="58">
        <v>9</v>
      </c>
      <c r="C31" s="58">
        <f>COUNTA('VAT &amp; Tax'!$K$4:$K$49)</f>
        <v>46</v>
      </c>
      <c r="D31" s="58">
        <f>COUNTIF('VAT &amp; Tax'!$K$4:$K$49,"Not Run")+COUNTBLANK('VAT &amp; Tax'!$K$4:$K$49)</f>
        <v>46</v>
      </c>
      <c r="E31" s="58">
        <f>COUNTIF('VAT &amp; Tax'!$K$4:$K$49,"Pass")</f>
        <v>0</v>
      </c>
      <c r="F31" s="58">
        <f>COUNTIF('VAT &amp; Tax'!$K$4:$K$49,"Fail")</f>
        <v>0</v>
      </c>
      <c r="G31" s="58">
        <f>COUNTIF('VAT &amp; Tax'!$K$4:$K$49,"Blocked")</f>
        <v>0</v>
      </c>
      <c r="H31" s="58">
        <f>COUNTIF('VAT &amp; Tax'!$K$4:$K$49,"Not Applicable")</f>
        <v>0</v>
      </c>
    </row>
    <row r="32" spans="1:9">
      <c r="A32" s="64" t="s">
        <v>46</v>
      </c>
      <c r="B32" s="65">
        <v>10</v>
      </c>
      <c r="C32" s="65">
        <f>COUNTA('Checkout'!$K$4:$K$61)</f>
        <v>58</v>
      </c>
      <c r="D32" s="65">
        <f>COUNTIF('Checkout'!$K$4:$K$61,"Not Run")+COUNTBLANK('Checkout'!$K$4:$K$61)</f>
        <v>58</v>
      </c>
      <c r="E32" s="65">
        <f>COUNTIF('Checkout'!$K$4:$K$61,"Pass")</f>
        <v>0</v>
      </c>
      <c r="F32" s="65">
        <f>COUNTIF('Checkout'!$K$4:$K$61,"Fail")</f>
        <v>0</v>
      </c>
      <c r="G32" s="65">
        <f>COUNTIF('Checkout'!$K$4:$K$61,"Blocked")</f>
        <v>0</v>
      </c>
      <c r="H32" s="65">
        <f>COUNTIF('Checkout'!$K$4:$K$61,"Not Applicable")</f>
        <v>0</v>
      </c>
    </row>
    <row r="33" spans="1:9">
      <c r="A33" s="63" t="s">
        <v>47</v>
      </c>
      <c r="B33" s="58">
        <v>9</v>
      </c>
      <c r="C33" s="58">
        <f>COUNTA('Payment'!$K$4:$K$48)</f>
        <v>45</v>
      </c>
      <c r="D33" s="58">
        <f>COUNTIF('Payment'!$K$4:$K$48,"Not Run")+COUNTBLANK('Payment'!$K$4:$K$48)</f>
        <v>45</v>
      </c>
      <c r="E33" s="58">
        <f>COUNTIF('Payment'!$K$4:$K$48,"Pass")</f>
        <v>0</v>
      </c>
      <c r="F33" s="58">
        <f>COUNTIF('Payment'!$K$4:$K$48,"Fail")</f>
        <v>0</v>
      </c>
      <c r="G33" s="58">
        <f>COUNTIF('Payment'!$K$4:$K$48,"Blocked")</f>
        <v>0</v>
      </c>
      <c r="H33" s="58">
        <f>COUNTIF('Payment'!$K$4:$K$48,"Not Applicable")</f>
        <v>0</v>
      </c>
    </row>
    <row r="34" spans="1:9">
      <c r="A34" s="64" t="s">
        <v>48</v>
      </c>
      <c r="B34" s="65">
        <v>7</v>
      </c>
      <c r="C34" s="65">
        <f>COUNTA('Orders'!$K$4:$K$48)</f>
        <v>45</v>
      </c>
      <c r="D34" s="65">
        <f>COUNTIF('Orders'!$K$4:$K$48,"Not Run")+COUNTBLANK('Orders'!$K$4:$K$48)</f>
        <v>45</v>
      </c>
      <c r="E34" s="65">
        <f>COUNTIF('Orders'!$K$4:$K$48,"Pass")</f>
        <v>0</v>
      </c>
      <c r="F34" s="65">
        <f>COUNTIF('Orders'!$K$4:$K$48,"Fail")</f>
        <v>0</v>
      </c>
      <c r="G34" s="65">
        <f>COUNTIF('Orders'!$K$4:$K$48,"Blocked")</f>
        <v>0</v>
      </c>
      <c r="H34" s="65">
        <f>COUNTIF('Orders'!$K$4:$K$48,"Not Applicable")</f>
        <v>0</v>
      </c>
    </row>
    <row r="35" spans="1:9">
      <c r="A35" s="63" t="s">
        <v>49</v>
      </c>
      <c r="B35" s="58">
        <v>6</v>
      </c>
      <c r="C35" s="58">
        <f>COUNTA('Invoice'!$K$4:$K$40)</f>
        <v>37</v>
      </c>
      <c r="D35" s="58">
        <f>COUNTIF('Invoice'!$K$4:$K$40,"Not Run")+COUNTBLANK('Invoice'!$K$4:$K$40)</f>
        <v>37</v>
      </c>
      <c r="E35" s="58">
        <f>COUNTIF('Invoice'!$K$4:$K$40,"Pass")</f>
        <v>0</v>
      </c>
      <c r="F35" s="58">
        <f>COUNTIF('Invoice'!$K$4:$K$40,"Fail")</f>
        <v>0</v>
      </c>
      <c r="G35" s="58">
        <f>COUNTIF('Invoice'!$K$4:$K$40,"Blocked")</f>
        <v>0</v>
      </c>
      <c r="H35" s="58">
        <f>COUNTIF('Invoice'!$K$4:$K$40,"Not Applicable")</f>
        <v>0</v>
      </c>
    </row>
    <row r="36" spans="1:9">
      <c r="A36" s="64" t="s">
        <v>50</v>
      </c>
      <c r="B36" s="65">
        <v>13</v>
      </c>
      <c r="C36" s="65">
        <f>COUNTA('Email Notifications'!$K$4:$K$68)</f>
        <v>65</v>
      </c>
      <c r="D36" s="65">
        <f>COUNTIF('Email Notifications'!$K$4:$K$68,"Not Run")+COUNTBLANK('Email Notifications'!$K$4:$K$68)</f>
        <v>65</v>
      </c>
      <c r="E36" s="65">
        <f>COUNTIF('Email Notifications'!$K$4:$K$68,"Pass")</f>
        <v>0</v>
      </c>
      <c r="F36" s="65">
        <f>COUNTIF('Email Notifications'!$K$4:$K$68,"Fail")</f>
        <v>0</v>
      </c>
      <c r="G36" s="65">
        <f>COUNTIF('Email Notifications'!$K$4:$K$68,"Blocked")</f>
        <v>0</v>
      </c>
      <c r="H36" s="65">
        <f>COUNTIF('Email Notifications'!$K$4:$K$68,"Not Applicable")</f>
        <v>0</v>
      </c>
    </row>
    <row r="37" spans="1:9">
      <c r="A37" s="63" t="s">
        <v>51</v>
      </c>
      <c r="B37" s="58">
        <v>8</v>
      </c>
      <c r="C37" s="58">
        <f>COUNTA('Admin'!$K$4:$K$55)</f>
        <v>52</v>
      </c>
      <c r="D37" s="58">
        <f>COUNTIF('Admin'!$K$4:$K$55,"Not Run")+COUNTBLANK('Admin'!$K$4:$K$55)</f>
        <v>52</v>
      </c>
      <c r="E37" s="58">
        <f>COUNTIF('Admin'!$K$4:$K$55,"Pass")</f>
        <v>0</v>
      </c>
      <c r="F37" s="58">
        <f>COUNTIF('Admin'!$K$4:$K$55,"Fail")</f>
        <v>0</v>
      </c>
      <c r="G37" s="58">
        <f>COUNTIF('Admin'!$K$4:$K$55,"Blocked")</f>
        <v>0</v>
      </c>
      <c r="H37" s="58">
        <f>COUNTIF('Admin'!$K$4:$K$55,"Not Applicable")</f>
        <v>0</v>
      </c>
    </row>
    <row r="38" spans="1:9">
      <c r="A38" s="64" t="s">
        <v>52</v>
      </c>
      <c r="B38" s="65">
        <v>9</v>
      </c>
      <c r="C38" s="65">
        <f>COUNTA('Security &amp; Authorization'!$K$4:$K$55)</f>
        <v>52</v>
      </c>
      <c r="D38" s="65">
        <f>COUNTIF('Security &amp; Authorization'!$K$4:$K$55,"Not Run")+COUNTBLANK('Security &amp; Authorization'!$K$4:$K$55)</f>
        <v>52</v>
      </c>
      <c r="E38" s="65">
        <f>COUNTIF('Security &amp; Authorization'!$K$4:$K$55,"Pass")</f>
        <v>0</v>
      </c>
      <c r="F38" s="65">
        <f>COUNTIF('Security &amp; Authorization'!$K$4:$K$55,"Fail")</f>
        <v>0</v>
      </c>
      <c r="G38" s="65">
        <f>COUNTIF('Security &amp; Authorization'!$K$4:$K$55,"Blocked")</f>
        <v>0</v>
      </c>
      <c r="H38" s="65">
        <f>COUNTIF('Security &amp; Authorization'!$K$4:$K$55,"Not Applicable")</f>
        <v>0</v>
      </c>
    </row>
    <row r="39" spans="1:9">
      <c r="A39" s="63" t="s">
        <v>53</v>
      </c>
      <c r="B39" s="58">
        <v>8</v>
      </c>
      <c r="C39" s="58">
        <f>COUNTA('Mobile &amp; Responsive'!$K$4:$K$48)</f>
        <v>45</v>
      </c>
      <c r="D39" s="58">
        <f>COUNTIF('Mobile &amp; Responsive'!$K$4:$K$48,"Not Run")+COUNTBLANK('Mobile &amp; Responsive'!$K$4:$K$48)</f>
        <v>45</v>
      </c>
      <c r="E39" s="58">
        <f>COUNTIF('Mobile &amp; Responsive'!$K$4:$K$48,"Pass")</f>
        <v>0</v>
      </c>
      <c r="F39" s="58">
        <f>COUNTIF('Mobile &amp; Responsive'!$K$4:$K$48,"Fail")</f>
        <v>0</v>
      </c>
      <c r="G39" s="58">
        <f>COUNTIF('Mobile &amp; Responsive'!$K$4:$K$48,"Blocked")</f>
        <v>0</v>
      </c>
      <c r="H39" s="58">
        <f>COUNTIF('Mobile &amp; Responsive'!$K$4:$K$48,"Not Applicable")</f>
        <v>0</v>
      </c>
    </row>
    <row r="40" spans="1:9">
      <c r="A40" s="64" t="s">
        <v>54</v>
      </c>
      <c r="B40" s="65">
        <v>8</v>
      </c>
      <c r="C40" s="65">
        <f>COUNTA('Regression Testing'!$K$4:$K$47)</f>
        <v>44</v>
      </c>
      <c r="D40" s="65">
        <f>COUNTIF('Regression Testing'!$K$4:$K$47,"Not Run")+COUNTBLANK('Regression Testing'!$K$4:$K$47)</f>
        <v>44</v>
      </c>
      <c r="E40" s="65">
        <f>COUNTIF('Regression Testing'!$K$4:$K$47,"Pass")</f>
        <v>0</v>
      </c>
      <c r="F40" s="65">
        <f>COUNTIF('Regression Testing'!$K$4:$K$47,"Fail")</f>
        <v>0</v>
      </c>
      <c r="G40" s="65">
        <f>COUNTIF('Regression Testing'!$K$4:$K$47,"Blocked")</f>
        <v>0</v>
      </c>
      <c r="H40" s="65">
        <f>COUNTIF('Regression Testing'!$K$4:$K$47,"Not Applicable")</f>
        <v>0</v>
      </c>
    </row>
    <row r="41" spans="1:9">
      <c r="A41" s="63" t="s">
        <v>55</v>
      </c>
      <c r="B41" s="58">
        <v>5</v>
      </c>
      <c r="C41" s="58">
        <f>COUNTA('End-to-End Scenarios'!$K$4:$K$80)</f>
        <v>77</v>
      </c>
      <c r="D41" s="58">
        <f>COUNTIF('End-to-End Scenarios'!$K$4:$K$80,"Not Run")+COUNTBLANK('End-to-End Scenarios'!$K$4:$K$80)</f>
        <v>77</v>
      </c>
      <c r="E41" s="58">
        <f>COUNTIF('End-to-End Scenarios'!$K$4:$K$80,"Pass")</f>
        <v>0</v>
      </c>
      <c r="F41" s="58">
        <f>COUNTIF('End-to-End Scenarios'!$K$4:$K$80,"Fail")</f>
        <v>0</v>
      </c>
      <c r="G41" s="58">
        <f>COUNTIF('End-to-End Scenarios'!$K$4:$K$80,"Blocked")</f>
        <v>0</v>
      </c>
      <c r="H41" s="58">
        <f>COUNTIF('End-to-End Scenarios'!$K$4:$K$80,"Not Applicable")</f>
        <v>0</v>
      </c>
    </row>
    <row r="42" spans="1:9">
      <c r="A42" s="64" t="s">
        <v>56</v>
      </c>
      <c r="B42" s="65">
        <v>24</v>
      </c>
      <c r="C42" s="65">
        <f>COUNTA('Admin Customer Preview'!$K$4:$K$162)</f>
        <v>159</v>
      </c>
      <c r="D42" s="65">
        <f>COUNTIF('Admin Customer Preview'!$K$4:$K$162,"Not Run")+COUNTBLANK('Admin Customer Preview'!$K$4:$K$162)</f>
        <v>159</v>
      </c>
      <c r="E42" s="65">
        <f>COUNTIF('Admin Customer Preview'!$K$4:$K$162,"Pass")</f>
        <v>0</v>
      </c>
      <c r="F42" s="65">
        <f>COUNTIF('Admin Customer Preview'!$K$4:$K$162,"Fail")</f>
        <v>0</v>
      </c>
      <c r="G42" s="65">
        <f>COUNTIF('Admin Customer Preview'!$K$4:$K$162,"Blocked")</f>
        <v>0</v>
      </c>
      <c r="H42" s="65">
        <f>COUNTIF('Admin Customer Preview'!$K$4:$K$162,"Not Applicable")</f>
        <v>0</v>
      </c>
    </row>
    <row r="43" spans="1:9">
      <c r="A43" s="63" t="s">
        <v>57</v>
      </c>
      <c r="B43" s="58">
        <v>11</v>
      </c>
      <c r="C43" s="58">
        <f>COUNTA('Wizard Type Switching'!$K$4:$K$97)</f>
        <v>94</v>
      </c>
      <c r="D43" s="58">
        <f>COUNTIF('Wizard Type Switching'!$K$4:$K$97,"Not Run")+COUNTBLANK('Wizard Type Switching'!$K$4:$K$97)</f>
        <v>94</v>
      </c>
      <c r="E43" s="58">
        <f>COUNTIF('Wizard Type Switching'!$K$4:$K$97,"Pass")</f>
        <v>0</v>
      </c>
      <c r="F43" s="58">
        <f>COUNTIF('Wizard Type Switching'!$K$4:$K$97,"Fail")</f>
        <v>0</v>
      </c>
      <c r="G43" s="58">
        <f>COUNTIF('Wizard Type Switching'!$K$4:$K$97,"Blocked")</f>
        <v>0</v>
      </c>
      <c r="H43" s="58">
        <f>COUNTIF('Wizard Type Switching'!$K$4:$K$97,"Not Applicable")</f>
        <v>0</v>
      </c>
    </row>
    <row r="44" spans="1:9">
      <c r="A44" s="64" t="s">
        <v>58</v>
      </c>
      <c r="B44" s="65">
        <v>14</v>
      </c>
      <c r="C44" s="65">
        <f>COUNTA('Suspended Account Access'!$K$4:$K$91)</f>
        <v>88</v>
      </c>
      <c r="D44" s="65">
        <f>COUNTIF('Suspended Account Access'!$K$4:$K$91,"Not Run")+COUNTBLANK('Suspended Account Access'!$K$4:$K$91)</f>
        <v>88</v>
      </c>
      <c r="E44" s="65">
        <f>COUNTIF('Suspended Account Access'!$K$4:$K$91,"Pass")</f>
        <v>0</v>
      </c>
      <c r="F44" s="65">
        <f>COUNTIF('Suspended Account Access'!$K$4:$K$91,"Fail")</f>
        <v>0</v>
      </c>
      <c r="G44" s="65">
        <f>COUNTIF('Suspended Account Access'!$K$4:$K$91,"Blocked")</f>
        <v>0</v>
      </c>
      <c r="H44" s="65">
        <f>COUNTIF('Suspended Account Access'!$K$4:$K$91,"Not Applicable")</f>
        <v>0</v>
      </c>
    </row>
    <row r="45" spans="1:9">
      <c r="A45" s="67" t="s">
        <v>59</v>
      </c>
      <c r="B45" s="66">
        <f>SUM(B23:B44)</f>
        <v>231</v>
      </c>
      <c r="C45" s="66">
        <f>SUM(C23:C44)</f>
        <v>1418</v>
      </c>
      <c r="D45" s="66">
        <f>SUM(D23:D44)</f>
        <v>1418</v>
      </c>
      <c r="E45" s="66">
        <f>SUM(E23:E44)</f>
        <v>0</v>
      </c>
      <c r="F45" s="66">
        <f>SUM(F23:F44)</f>
        <v>0</v>
      </c>
      <c r="G45" s="66">
        <f>SUM(G23:G44)</f>
        <v>0</v>
      </c>
      <c r="H45" s="66">
        <f>SUM(H23:H44)</f>
        <v>0</v>
      </c>
    </row>
    <row r="47" spans="1:9" customHeight="1" ht="20">
      <c r="A47" s="12" t="s">
        <v>60</v>
      </c>
    </row>
    <row r="48" spans="1:9" customHeight="1" ht="30">
      <c r="A48" s="68" t="s">
        <v>61</v>
      </c>
      <c r="B48" s="68"/>
      <c r="C48" s="68"/>
      <c r="D48" s="68"/>
      <c r="E48" s="68"/>
      <c r="F48" s="68"/>
      <c r="G48" s="68"/>
      <c r="H48" s="68"/>
      <c r="I48" s="68"/>
    </row>
    <row r="49" spans="1:9" customHeight="1" ht="17">
      <c r="A49" s="68" t="s">
        <v>62</v>
      </c>
      <c r="B49" s="68"/>
      <c r="C49" s="68"/>
      <c r="D49" s="68"/>
      <c r="E49" s="68"/>
      <c r="F49" s="68"/>
      <c r="G49" s="68"/>
      <c r="H49" s="68"/>
      <c r="I49" s="68"/>
    </row>
    <row r="50" spans="1:9" customHeight="1" ht="17">
      <c r="A50" s="68" t="s">
        <v>63</v>
      </c>
      <c r="B50" s="68"/>
      <c r="C50" s="68"/>
      <c r="D50" s="68"/>
      <c r="E50" s="68"/>
      <c r="F50" s="68"/>
      <c r="G50" s="68"/>
      <c r="H50" s="68"/>
      <c r="I50" s="68"/>
    </row>
    <row r="51" spans="1:9" customHeight="1" ht="17">
      <c r="A51" s="68" t="s">
        <v>64</v>
      </c>
      <c r="B51" s="68"/>
      <c r="C51" s="68"/>
      <c r="D51" s="68"/>
      <c r="E51" s="68"/>
      <c r="F51" s="68"/>
      <c r="G51" s="68"/>
      <c r="H51" s="68"/>
      <c r="I51" s="68"/>
    </row>
    <row r="52" spans="1:9" customHeight="1" ht="17">
      <c r="A52" s="68" t="s">
        <v>65</v>
      </c>
      <c r="B52" s="68"/>
      <c r="C52" s="68"/>
      <c r="D52" s="68"/>
      <c r="E52" s="68"/>
      <c r="F52" s="68"/>
      <c r="G52" s="68"/>
      <c r="H52" s="68"/>
      <c r="I52" s="68"/>
    </row>
    <row r="53" spans="1:9" customHeight="1" ht="17">
      <c r="A53" s="68" t="s">
        <v>66</v>
      </c>
      <c r="B53" s="68"/>
      <c r="C53" s="68"/>
      <c r="D53" s="68"/>
      <c r="E53" s="68"/>
      <c r="F53" s="68"/>
      <c r="G53" s="68"/>
      <c r="H53" s="68"/>
      <c r="I53" s="68"/>
    </row>
    <row r="54" spans="1:9" customHeight="1" ht="17">
      <c r="A54" s="68" t="s">
        <v>67</v>
      </c>
      <c r="B54" s="68"/>
      <c r="C54" s="68"/>
      <c r="D54" s="68"/>
      <c r="E54" s="68"/>
      <c r="F54" s="68"/>
      <c r="G54" s="68"/>
      <c r="H54" s="68"/>
      <c r="I54" s="68"/>
    </row>
    <row r="55" spans="1:9" customHeight="1" ht="17">
      <c r="A55" s="68" t="s">
        <v>68</v>
      </c>
      <c r="B55" s="68"/>
      <c r="C55" s="68"/>
      <c r="D55" s="68"/>
      <c r="E55" s="68"/>
      <c r="F55" s="68"/>
      <c r="G55" s="68"/>
      <c r="H55" s="68"/>
      <c r="I55" s="68"/>
    </row>
    <row r="56" spans="1:9" customHeight="1" ht="30">
      <c r="A56" s="68" t="s">
        <v>69</v>
      </c>
      <c r="B56" s="68"/>
      <c r="C56" s="68"/>
      <c r="D56" s="68"/>
      <c r="E56" s="68"/>
      <c r="F56" s="68"/>
      <c r="G56" s="68"/>
      <c r="H56" s="68"/>
      <c r="I56" s="68"/>
    </row>
    <row r="57" spans="1:9" customHeight="1" ht="17">
      <c r="A57" s="68" t="s">
        <v>70</v>
      </c>
      <c r="B57" s="68"/>
      <c r="C57" s="68"/>
      <c r="D57" s="68"/>
      <c r="E57" s="68"/>
      <c r="F57" s="68"/>
      <c r="G57" s="68"/>
      <c r="H57" s="68"/>
      <c r="I57" s="68"/>
    </row>
  </sheetData>
  <mergeCells>
    <mergeCell ref="A1:I1"/>
    <mergeCell ref="A2:I2"/>
    <mergeCell ref="A4:I4"/>
    <mergeCell ref="C5:I5"/>
    <mergeCell ref="C6:I6"/>
    <mergeCell ref="C7:I7"/>
    <mergeCell ref="C8:I8"/>
    <mergeCell ref="C9:I9"/>
    <mergeCell ref="C10:I10"/>
    <mergeCell ref="C11:I11"/>
    <mergeCell ref="C12:I12"/>
    <mergeCell ref="A14:I14"/>
    <mergeCell ref="C15:I15"/>
    <mergeCell ref="C16:I16"/>
    <mergeCell ref="C17:I17"/>
    <mergeCell ref="C18:I18"/>
    <mergeCell ref="C19:I19"/>
    <mergeCell ref="A21:I21"/>
    <mergeCell ref="A47:I47"/>
    <mergeCell ref="A48:I48"/>
    <mergeCell ref="A49:I49"/>
    <mergeCell ref="A50:I50"/>
    <mergeCell ref="A51:I51"/>
    <mergeCell ref="A52:I52"/>
    <mergeCell ref="A53:I53"/>
    <mergeCell ref="A54:I54"/>
    <mergeCell ref="A55:I55"/>
    <mergeCell ref="A56:I56"/>
    <mergeCell ref="A57:I5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04"/>
  <sheetViews>
    <sheetView tabSelected="0" workbookViewId="0" showGridLines="true" showRowColHeaders="1">
      <pane ySplit="1" topLeftCell="A2" activePane="bottomLeft" state="frozen"/>
      <selection pane="bottomLeft" activeCell="A104" sqref="A104"/>
    </sheetView>
  </sheetViews>
  <sheetFormatPr defaultRowHeight="14.4" outlineLevelRow="0" outlineLevelCol="0"/>
  <cols>
    <col min="1" max="1" width="34" customWidth="true" style="0"/>
    <col min="2" max="2" width="46" customWidth="true" style="0"/>
    <col min="3" max="3" width="64" customWidth="true" style="0"/>
  </cols>
  <sheetData>
    <row r="1" spans="1:3" customHeight="1" ht="24">
      <c r="A1" s="1" t="s">
        <v>71</v>
      </c>
    </row>
    <row r="2" spans="1:3" customHeight="1" ht="34">
      <c r="A2" s="10" t="s">
        <v>72</v>
      </c>
    </row>
    <row r="3" spans="1:3" customHeight="1" ht="60">
      <c r="A3" s="11" t="s">
        <v>73</v>
      </c>
    </row>
    <row r="5" spans="1:3" customHeight="1" ht="20">
      <c r="A5" s="12" t="s">
        <v>74</v>
      </c>
    </row>
    <row r="6" spans="1:3">
      <c r="A6" s="13" t="s">
        <v>75</v>
      </c>
      <c r="B6" s="13" t="s">
        <v>76</v>
      </c>
      <c r="C6" s="13" t="s">
        <v>77</v>
      </c>
    </row>
    <row r="7" spans="1:3" customHeight="1" ht="43">
      <c r="A7" s="8" t="s">
        <v>78</v>
      </c>
      <c r="B7" s="4" t="s">
        <v>79</v>
      </c>
      <c r="C7" s="4" t="s">
        <v>80</v>
      </c>
    </row>
    <row r="8" spans="1:3" customHeight="1" ht="30">
      <c r="A8" s="8" t="s">
        <v>81</v>
      </c>
      <c r="B8" s="4" t="s">
        <v>82</v>
      </c>
      <c r="C8" s="4" t="s">
        <v>83</v>
      </c>
    </row>
    <row r="9" spans="1:3" customHeight="1" ht="17">
      <c r="A9" s="8" t="s">
        <v>84</v>
      </c>
      <c r="B9" s="4" t="s">
        <v>85</v>
      </c>
      <c r="C9" s="4" t="s">
        <v>86</v>
      </c>
    </row>
    <row r="10" spans="1:3" customHeight="1" ht="17">
      <c r="A10" s="8" t="s">
        <v>87</v>
      </c>
      <c r="B10" s="4" t="s">
        <v>88</v>
      </c>
      <c r="C10" s="4" t="s">
        <v>89</v>
      </c>
    </row>
    <row r="11" spans="1:3" customHeight="1" ht="17">
      <c r="A11" s="8" t="s">
        <v>90</v>
      </c>
      <c r="B11" s="4" t="s">
        <v>91</v>
      </c>
      <c r="C11" s="4" t="s">
        <v>92</v>
      </c>
    </row>
    <row r="12" spans="1:3" customHeight="1" ht="17">
      <c r="A12" s="8" t="s">
        <v>93</v>
      </c>
      <c r="B12" s="4" t="s">
        <v>94</v>
      </c>
      <c r="C12" s="4" t="s">
        <v>95</v>
      </c>
    </row>
    <row r="13" spans="1:3" customHeight="1" ht="17">
      <c r="A13" s="8" t="s">
        <v>96</v>
      </c>
      <c r="B13" s="4" t="s">
        <v>97</v>
      </c>
      <c r="C13" s="4" t="s">
        <v>98</v>
      </c>
    </row>
    <row r="14" spans="1:3" customHeight="1" ht="30">
      <c r="A14" s="8" t="s">
        <v>99</v>
      </c>
      <c r="B14" s="4" t="s">
        <v>100</v>
      </c>
      <c r="C14" s="4" t="s">
        <v>101</v>
      </c>
    </row>
    <row r="15" spans="1:3" customHeight="1" ht="17">
      <c r="A15" s="8" t="s">
        <v>102</v>
      </c>
      <c r="B15" s="4" t="s">
        <v>103</v>
      </c>
      <c r="C15" s="4" t="s">
        <v>104</v>
      </c>
    </row>
    <row r="16" spans="1:3" customHeight="1" ht="30">
      <c r="A16" s="8" t="s">
        <v>105</v>
      </c>
      <c r="B16" s="4" t="s">
        <v>106</v>
      </c>
      <c r="C16" s="4" t="s">
        <v>107</v>
      </c>
    </row>
    <row r="17" spans="1:3" customHeight="1" ht="30">
      <c r="A17" s="8" t="s">
        <v>108</v>
      </c>
      <c r="B17" s="4" t="s">
        <v>109</v>
      </c>
      <c r="C17" s="4" t="s">
        <v>110</v>
      </c>
    </row>
    <row r="18" spans="1:3" customHeight="1" ht="17">
      <c r="A18" s="8" t="s">
        <v>111</v>
      </c>
      <c r="B18" s="4" t="s">
        <v>112</v>
      </c>
      <c r="C18" s="4" t="s">
        <v>113</v>
      </c>
    </row>
    <row r="19" spans="1:3" customHeight="1" ht="43">
      <c r="A19" s="8" t="s">
        <v>114</v>
      </c>
      <c r="B19" s="4" t="s">
        <v>115</v>
      </c>
      <c r="C19" s="4" t="s">
        <v>116</v>
      </c>
    </row>
    <row r="21" spans="1:3" customHeight="1" ht="20">
      <c r="A21" s="12" t="s">
        <v>117</v>
      </c>
    </row>
    <row r="22" spans="1:3">
      <c r="A22" s="13" t="s">
        <v>75</v>
      </c>
      <c r="B22" s="13" t="s">
        <v>76</v>
      </c>
      <c r="C22" s="13" t="s">
        <v>77</v>
      </c>
    </row>
    <row r="23" spans="1:3" customHeight="1" ht="17">
      <c r="A23" s="8" t="s">
        <v>118</v>
      </c>
      <c r="B23" s="4" t="s">
        <v>119</v>
      </c>
      <c r="C23" s="4" t="s">
        <v>120</v>
      </c>
    </row>
    <row r="24" spans="1:3" customHeight="1" ht="30">
      <c r="A24" s="14" t="s">
        <v>121</v>
      </c>
      <c r="B24" s="15" t="s">
        <v>122</v>
      </c>
      <c r="C24" s="15" t="s">
        <v>123</v>
      </c>
    </row>
    <row r="25" spans="1:3" customHeight="1" ht="17">
      <c r="A25" s="8" t="s">
        <v>124</v>
      </c>
      <c r="B25" s="4" t="s">
        <v>125</v>
      </c>
      <c r="C25" s="4" t="s">
        <v>126</v>
      </c>
    </row>
    <row r="26" spans="1:3" customHeight="1" ht="30">
      <c r="A26" s="8" t="s">
        <v>127</v>
      </c>
      <c r="B26" s="4" t="s">
        <v>128</v>
      </c>
      <c r="C26" s="4" t="s">
        <v>129</v>
      </c>
    </row>
    <row r="27" spans="1:3" customHeight="1" ht="30">
      <c r="A27" s="8" t="s">
        <v>130</v>
      </c>
      <c r="B27" s="4" t="s">
        <v>131</v>
      </c>
      <c r="C27" s="4" t="s">
        <v>132</v>
      </c>
    </row>
    <row r="28" spans="1:3" customHeight="1" ht="17">
      <c r="A28" s="8" t="s">
        <v>133</v>
      </c>
      <c r="B28" s="4" t="s">
        <v>131</v>
      </c>
      <c r="C28" s="4" t="s">
        <v>134</v>
      </c>
    </row>
    <row r="29" spans="1:3" customHeight="1" ht="17">
      <c r="A29" s="8" t="s">
        <v>135</v>
      </c>
      <c r="B29" s="4" t="s">
        <v>136</v>
      </c>
      <c r="C29" s="4" t="s">
        <v>137</v>
      </c>
    </row>
    <row r="30" spans="1:3" customHeight="1" ht="56">
      <c r="A30" s="14" t="s">
        <v>138</v>
      </c>
      <c r="B30" s="15" t="s">
        <v>139</v>
      </c>
      <c r="C30" s="15" t="s">
        <v>140</v>
      </c>
    </row>
    <row r="31" spans="1:3" customHeight="1" ht="43">
      <c r="A31" s="8" t="s">
        <v>141</v>
      </c>
      <c r="B31" s="4" t="s">
        <v>142</v>
      </c>
      <c r="C31" s="4" t="s">
        <v>143</v>
      </c>
    </row>
    <row r="32" spans="1:3" customHeight="1" ht="43">
      <c r="A32" s="14" t="s">
        <v>144</v>
      </c>
      <c r="B32" s="15" t="s">
        <v>145</v>
      </c>
      <c r="C32" s="15" t="s">
        <v>146</v>
      </c>
    </row>
    <row r="33" spans="1:3" customHeight="1" ht="43">
      <c r="A33" s="14" t="s">
        <v>147</v>
      </c>
      <c r="B33" s="15" t="s">
        <v>148</v>
      </c>
      <c r="C33" s="15" t="s">
        <v>149</v>
      </c>
    </row>
    <row r="34" spans="1:3" customHeight="1" ht="30">
      <c r="A34" s="8" t="s">
        <v>150</v>
      </c>
      <c r="B34" s="4" t="s">
        <v>151</v>
      </c>
      <c r="C34" s="4" t="s">
        <v>152</v>
      </c>
    </row>
    <row r="35" spans="1:3" customHeight="1" ht="30">
      <c r="A35" s="8" t="s">
        <v>153</v>
      </c>
      <c r="B35" s="4" t="s">
        <v>151</v>
      </c>
      <c r="C35" s="4" t="s">
        <v>154</v>
      </c>
    </row>
    <row r="36" spans="1:3" customHeight="1" ht="17">
      <c r="A36" s="8" t="s">
        <v>155</v>
      </c>
      <c r="B36" s="4" t="s">
        <v>151</v>
      </c>
      <c r="C36" s="4" t="s">
        <v>156</v>
      </c>
    </row>
    <row r="38" spans="1:3" customHeight="1" ht="20">
      <c r="A38" s="12" t="s">
        <v>157</v>
      </c>
    </row>
    <row r="39" spans="1:3">
      <c r="A39" s="13" t="s">
        <v>75</v>
      </c>
      <c r="B39" s="13" t="s">
        <v>76</v>
      </c>
      <c r="C39" s="13" t="s">
        <v>77</v>
      </c>
    </row>
    <row r="40" spans="1:3" customHeight="1" ht="17">
      <c r="A40" s="8" t="s">
        <v>118</v>
      </c>
      <c r="B40" s="4" t="s">
        <v>158</v>
      </c>
      <c r="C40" s="4" t="s">
        <v>120</v>
      </c>
    </row>
    <row r="41" spans="1:3" customHeight="1" ht="30">
      <c r="A41" s="14" t="s">
        <v>121</v>
      </c>
      <c r="B41" s="15" t="s">
        <v>159</v>
      </c>
      <c r="C41" s="15" t="s">
        <v>160</v>
      </c>
    </row>
    <row r="42" spans="1:3" customHeight="1" ht="17">
      <c r="A42" s="8" t="s">
        <v>124</v>
      </c>
      <c r="B42" s="4" t="s">
        <v>161</v>
      </c>
      <c r="C42" s="4" t="s">
        <v>162</v>
      </c>
    </row>
    <row r="43" spans="1:3" customHeight="1" ht="17">
      <c r="A43" s="8" t="s">
        <v>127</v>
      </c>
      <c r="B43" s="4" t="s">
        <v>163</v>
      </c>
      <c r="C43" s="4" t="s">
        <v>162</v>
      </c>
    </row>
    <row r="44" spans="1:3" customHeight="1" ht="17">
      <c r="A44" s="8" t="s">
        <v>130</v>
      </c>
      <c r="B44" s="4" t="s">
        <v>164</v>
      </c>
      <c r="C44" s="4" t="s">
        <v>165</v>
      </c>
    </row>
    <row r="45" spans="1:3" customHeight="1" ht="17">
      <c r="A45" s="8" t="s">
        <v>135</v>
      </c>
      <c r="B45" s="4" t="s">
        <v>166</v>
      </c>
      <c r="C45" s="4" t="s">
        <v>167</v>
      </c>
    </row>
    <row r="46" spans="1:3" customHeight="1" ht="69">
      <c r="A46" s="14" t="s">
        <v>158</v>
      </c>
      <c r="B46" s="15" t="s">
        <v>168</v>
      </c>
      <c r="C46" s="15" t="s">
        <v>169</v>
      </c>
    </row>
    <row r="47" spans="1:3" customHeight="1" ht="30">
      <c r="A47" s="8" t="s">
        <v>141</v>
      </c>
      <c r="B47" s="4" t="s">
        <v>170</v>
      </c>
      <c r="C47" s="4" t="s">
        <v>171</v>
      </c>
    </row>
    <row r="48" spans="1:3" customHeight="1" ht="17">
      <c r="A48" s="14" t="s">
        <v>144</v>
      </c>
      <c r="B48" s="15" t="s">
        <v>172</v>
      </c>
      <c r="C48" s="15" t="s">
        <v>173</v>
      </c>
    </row>
    <row r="49" spans="1:3" customHeight="1" ht="30">
      <c r="A49" s="14" t="s">
        <v>147</v>
      </c>
      <c r="B49" s="15" t="s">
        <v>174</v>
      </c>
      <c r="C49" s="15" t="s">
        <v>175</v>
      </c>
    </row>
    <row r="50" spans="1:3" customHeight="1" ht="30">
      <c r="A50" s="8" t="s">
        <v>176</v>
      </c>
      <c r="B50" s="4" t="s">
        <v>177</v>
      </c>
      <c r="C50" s="4" t="s">
        <v>178</v>
      </c>
    </row>
    <row r="51" spans="1:3" customHeight="1" ht="17">
      <c r="A51" s="8" t="s">
        <v>179</v>
      </c>
      <c r="B51" s="4" t="s">
        <v>180</v>
      </c>
      <c r="C51" s="4" t="s">
        <v>181</v>
      </c>
    </row>
    <row r="52" spans="1:3" customHeight="1" ht="30">
      <c r="A52" s="8" t="s">
        <v>182</v>
      </c>
      <c r="B52" s="4" t="s">
        <v>151</v>
      </c>
      <c r="C52" s="4" t="s">
        <v>183</v>
      </c>
    </row>
    <row r="53" spans="1:3" customHeight="1" ht="30">
      <c r="A53" s="14" t="s">
        <v>184</v>
      </c>
      <c r="B53" s="15" t="s">
        <v>185</v>
      </c>
      <c r="C53" s="15" t="s">
        <v>186</v>
      </c>
    </row>
    <row r="54" spans="1:3" customHeight="1" ht="17">
      <c r="A54" s="8" t="s">
        <v>187</v>
      </c>
      <c r="B54" s="4" t="s">
        <v>188</v>
      </c>
      <c r="C54" s="4" t="s">
        <v>189</v>
      </c>
    </row>
    <row r="56" spans="1:3" customHeight="1" ht="20">
      <c r="A56" s="12" t="s">
        <v>190</v>
      </c>
    </row>
    <row r="57" spans="1:3">
      <c r="A57" s="13" t="s">
        <v>75</v>
      </c>
      <c r="B57" s="13" t="s">
        <v>76</v>
      </c>
      <c r="C57" s="13" t="s">
        <v>77</v>
      </c>
    </row>
    <row r="58" spans="1:3" customHeight="1" ht="17">
      <c r="A58" s="8" t="s">
        <v>191</v>
      </c>
      <c r="B58" s="4" t="s">
        <v>192</v>
      </c>
      <c r="C58" s="4" t="s">
        <v>193</v>
      </c>
    </row>
    <row r="59" spans="1:3" customHeight="1" ht="17">
      <c r="A59" s="8" t="s">
        <v>194</v>
      </c>
      <c r="B59" s="4" t="s">
        <v>195</v>
      </c>
      <c r="C59" s="4" t="s">
        <v>196</v>
      </c>
    </row>
    <row r="60" spans="1:3" customHeight="1" ht="30">
      <c r="A60" s="8" t="s">
        <v>197</v>
      </c>
      <c r="B60" s="4" t="s">
        <v>198</v>
      </c>
      <c r="C60" s="4" t="s">
        <v>199</v>
      </c>
    </row>
    <row r="61" spans="1:3" customHeight="1" ht="30">
      <c r="A61" s="8" t="s">
        <v>200</v>
      </c>
      <c r="B61" s="4" t="s">
        <v>201</v>
      </c>
      <c r="C61" s="4" t="s">
        <v>202</v>
      </c>
    </row>
    <row r="62" spans="1:3" customHeight="1" ht="17">
      <c r="A62" s="8" t="s">
        <v>203</v>
      </c>
      <c r="B62" s="4" t="s">
        <v>204</v>
      </c>
      <c r="C62" s="4" t="s">
        <v>205</v>
      </c>
    </row>
    <row r="63" spans="1:3" customHeight="1" ht="17">
      <c r="A63" s="8" t="s">
        <v>206</v>
      </c>
      <c r="B63" s="4" t="s">
        <v>207</v>
      </c>
      <c r="C63" s="4" t="s">
        <v>208</v>
      </c>
    </row>
    <row r="64" spans="1:3" customHeight="1" ht="17">
      <c r="A64" s="8" t="s">
        <v>209</v>
      </c>
      <c r="B64" s="4" t="s">
        <v>210</v>
      </c>
      <c r="C64" s="4" t="s">
        <v>211</v>
      </c>
    </row>
    <row r="65" spans="1:3" customHeight="1" ht="34">
      <c r="A65" s="11" t="s">
        <v>212</v>
      </c>
    </row>
    <row r="67" spans="1:3" customHeight="1" ht="20">
      <c r="A67" s="12" t="s">
        <v>213</v>
      </c>
    </row>
    <row r="68" spans="1:3">
      <c r="A68" s="13" t="s">
        <v>75</v>
      </c>
      <c r="B68" s="13" t="s">
        <v>76</v>
      </c>
      <c r="C68" s="13" t="s">
        <v>77</v>
      </c>
    </row>
    <row r="69" spans="1:3" customHeight="1" ht="30">
      <c r="A69" s="8" t="s">
        <v>214</v>
      </c>
      <c r="B69" s="4" t="s">
        <v>215</v>
      </c>
      <c r="C69" s="4" t="s">
        <v>216</v>
      </c>
    </row>
    <row r="70" spans="1:3" customHeight="1" ht="17">
      <c r="A70" s="8" t="s">
        <v>217</v>
      </c>
      <c r="B70" s="4" t="s">
        <v>218</v>
      </c>
      <c r="C70" s="4" t="s">
        <v>219</v>
      </c>
    </row>
    <row r="71" spans="1:3" customHeight="1" ht="30">
      <c r="A71" s="8" t="s">
        <v>220</v>
      </c>
      <c r="B71" s="4" t="s">
        <v>221</v>
      </c>
      <c r="C71" s="4" t="s">
        <v>222</v>
      </c>
    </row>
    <row r="72" spans="1:3" customHeight="1" ht="17">
      <c r="A72" s="8" t="s">
        <v>223</v>
      </c>
      <c r="B72" s="4" t="s">
        <v>224</v>
      </c>
      <c r="C72" s="4" t="s">
        <v>225</v>
      </c>
    </row>
    <row r="73" spans="1:3" customHeight="1" ht="17">
      <c r="A73" s="8" t="s">
        <v>226</v>
      </c>
      <c r="B73" s="4" t="s">
        <v>227</v>
      </c>
      <c r="C73" s="4" t="s">
        <v>228</v>
      </c>
    </row>
    <row r="74" spans="1:3" customHeight="1" ht="17">
      <c r="A74" s="8" t="s">
        <v>229</v>
      </c>
      <c r="B74" s="4" t="s">
        <v>230</v>
      </c>
      <c r="C74" s="4" t="s">
        <v>231</v>
      </c>
    </row>
    <row r="75" spans="1:3" customHeight="1" ht="17">
      <c r="A75" s="8" t="s">
        <v>232</v>
      </c>
      <c r="B75" s="4" t="s">
        <v>233</v>
      </c>
      <c r="C75" s="4" t="s">
        <v>234</v>
      </c>
    </row>
    <row r="76" spans="1:3" customHeight="1" ht="43">
      <c r="A76" s="14" t="s">
        <v>235</v>
      </c>
      <c r="B76" s="15" t="s">
        <v>236</v>
      </c>
      <c r="C76" s="15" t="s">
        <v>237</v>
      </c>
    </row>
    <row r="77" spans="1:3" customHeight="1" ht="43">
      <c r="A77" s="14" t="s">
        <v>238</v>
      </c>
      <c r="B77" s="15" t="s">
        <v>236</v>
      </c>
      <c r="C77" s="15" t="s">
        <v>239</v>
      </c>
    </row>
    <row r="78" spans="1:3" customHeight="1" ht="47">
      <c r="A78" s="11" t="s">
        <v>240</v>
      </c>
    </row>
    <row r="80" spans="1:3" customHeight="1" ht="20">
      <c r="A80" s="12" t="s">
        <v>241</v>
      </c>
    </row>
    <row r="81" spans="1:3">
      <c r="A81" s="13" t="s">
        <v>75</v>
      </c>
      <c r="B81" s="13" t="s">
        <v>76</v>
      </c>
      <c r="C81" s="13" t="s">
        <v>77</v>
      </c>
    </row>
    <row r="82" spans="1:3">
      <c r="A82" s="13" t="s">
        <v>242</v>
      </c>
      <c r="B82" s="13" t="s">
        <v>243</v>
      </c>
      <c r="C82" s="13" t="s">
        <v>244</v>
      </c>
    </row>
    <row r="83" spans="1:3" customHeight="1" ht="17">
      <c r="A83" s="8" t="s">
        <v>245</v>
      </c>
      <c r="B83" s="4" t="s">
        <v>246</v>
      </c>
      <c r="C83" s="4" t="s">
        <v>247</v>
      </c>
    </row>
    <row r="84" spans="1:3" customHeight="1" ht="17">
      <c r="A84" s="8" t="s">
        <v>248</v>
      </c>
      <c r="B84" s="4" t="s">
        <v>249</v>
      </c>
      <c r="C84" s="4" t="s">
        <v>250</v>
      </c>
    </row>
    <row r="85" spans="1:3" customHeight="1" ht="17">
      <c r="A85" s="8" t="s">
        <v>251</v>
      </c>
      <c r="B85" s="4" t="s">
        <v>252</v>
      </c>
      <c r="C85" s="4" t="s">
        <v>253</v>
      </c>
    </row>
    <row r="86" spans="1:3" customHeight="1" ht="17">
      <c r="A86" s="8" t="s">
        <v>254</v>
      </c>
      <c r="B86" s="4" t="s">
        <v>255</v>
      </c>
      <c r="C86" s="4" t="s">
        <v>256</v>
      </c>
    </row>
    <row r="87" spans="1:3" customHeight="1" ht="17">
      <c r="A87" s="8" t="s">
        <v>257</v>
      </c>
      <c r="B87" s="4" t="s">
        <v>258</v>
      </c>
      <c r="C87" s="4" t="s">
        <v>259</v>
      </c>
    </row>
    <row r="88" spans="1:3" customHeight="1" ht="17">
      <c r="A88" s="8" t="s">
        <v>260</v>
      </c>
      <c r="B88" s="4" t="s">
        <v>261</v>
      </c>
      <c r="C88" s="4" t="s">
        <v>262</v>
      </c>
    </row>
    <row r="89" spans="1:3" customHeight="1" ht="17">
      <c r="A89" s="8" t="s">
        <v>263</v>
      </c>
      <c r="B89" s="4" t="s">
        <v>264</v>
      </c>
      <c r="C89" s="4" t="s">
        <v>265</v>
      </c>
    </row>
    <row r="90" spans="1:3" customHeight="1" ht="17">
      <c r="A90" s="8" t="s">
        <v>266</v>
      </c>
      <c r="B90" s="4" t="s">
        <v>267</v>
      </c>
      <c r="C90" s="4" t="s">
        <v>268</v>
      </c>
    </row>
    <row r="91" spans="1:3" customHeight="1" ht="17">
      <c r="A91" s="8" t="s">
        <v>269</v>
      </c>
      <c r="B91" s="4" t="s">
        <v>270</v>
      </c>
      <c r="C91" s="4" t="s">
        <v>271</v>
      </c>
    </row>
    <row r="92" spans="1:3" customHeight="1" ht="17">
      <c r="A92" s="8" t="s">
        <v>272</v>
      </c>
      <c r="B92" s="4" t="s">
        <v>273</v>
      </c>
      <c r="C92" s="4" t="s">
        <v>274</v>
      </c>
    </row>
    <row r="93" spans="1:3" customHeight="1" ht="34">
      <c r="A93" s="11" t="s">
        <v>275</v>
      </c>
    </row>
    <row r="95" spans="1:3" customHeight="1" ht="20">
      <c r="A95" s="12" t="s">
        <v>276</v>
      </c>
    </row>
    <row r="96" spans="1:3">
      <c r="A96" s="13" t="s">
        <v>75</v>
      </c>
      <c r="B96" s="13" t="s">
        <v>76</v>
      </c>
      <c r="C96" s="13" t="s">
        <v>77</v>
      </c>
    </row>
    <row r="97" spans="1:3" customHeight="1" ht="43">
      <c r="A97" s="8" t="s">
        <v>277</v>
      </c>
      <c r="B97" s="4" t="s">
        <v>185</v>
      </c>
      <c r="C97" s="4" t="s">
        <v>278</v>
      </c>
    </row>
    <row r="98" spans="1:3" customHeight="1" ht="56">
      <c r="A98" s="8" t="s">
        <v>279</v>
      </c>
      <c r="B98" s="4" t="s">
        <v>185</v>
      </c>
      <c r="C98" s="4" t="s">
        <v>280</v>
      </c>
    </row>
    <row r="99" spans="1:3" customHeight="1" ht="56">
      <c r="A99" s="8" t="s">
        <v>281</v>
      </c>
      <c r="B99" s="4" t="s">
        <v>185</v>
      </c>
      <c r="C99" s="4" t="s">
        <v>282</v>
      </c>
    </row>
    <row r="100" spans="1:3" customHeight="1" ht="17">
      <c r="A100" s="8" t="s">
        <v>283</v>
      </c>
      <c r="B100" s="4" t="s">
        <v>185</v>
      </c>
      <c r="C100" s="4" t="s">
        <v>284</v>
      </c>
    </row>
    <row r="101" spans="1:3" customHeight="1" ht="30">
      <c r="A101" s="8" t="s">
        <v>285</v>
      </c>
      <c r="B101" s="4" t="s">
        <v>185</v>
      </c>
      <c r="C101" s="4" t="s">
        <v>286</v>
      </c>
    </row>
    <row r="102" spans="1:3" customHeight="1" ht="17">
      <c r="A102" s="8" t="s">
        <v>184</v>
      </c>
      <c r="B102" s="4" t="s">
        <v>185</v>
      </c>
      <c r="C102" s="4" t="s">
        <v>287</v>
      </c>
    </row>
    <row r="103" spans="1:3" customHeight="1" ht="30">
      <c r="A103" s="8" t="s">
        <v>288</v>
      </c>
      <c r="B103" s="4" t="s">
        <v>185</v>
      </c>
      <c r="C103" s="4" t="s">
        <v>289</v>
      </c>
    </row>
    <row r="104" spans="1:3" customHeight="1" ht="21">
      <c r="A104" s="11" t="s">
        <v>290</v>
      </c>
    </row>
  </sheetData>
  <mergeCells>
    <mergeCell ref="A1:C1"/>
    <mergeCell ref="A2:C2"/>
    <mergeCell ref="A3:C3"/>
    <mergeCell ref="A5:C5"/>
    <mergeCell ref="A21:C21"/>
    <mergeCell ref="A38:C38"/>
    <mergeCell ref="A56:C56"/>
    <mergeCell ref="A65:C65"/>
    <mergeCell ref="A67:C67"/>
    <mergeCell ref="A78:C78"/>
    <mergeCell ref="A80:C80"/>
    <mergeCell ref="A93:C93"/>
    <mergeCell ref="A95:C95"/>
    <mergeCell ref="A104:C10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121"/>
  <sheetViews>
    <sheetView tabSelected="0" workbookViewId="0" showGridLines="true" showRowColHeaders="1">
      <pane xSplit="2" ySplit="3" topLeftCell="C4" activePane="bottomRight" state="frozen"/>
      <selection pane="topRight"/>
      <selection pane="bottomLeft"/>
      <selection pane="bottomRight" activeCell="L4" sqref="L4:L121"/>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291</v>
      </c>
    </row>
    <row r="2" spans="1:14" customHeight="1" ht="30">
      <c r="A2" s="2" t="s">
        <v>292</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53">
      <c r="A4" s="8" t="s">
        <v>307</v>
      </c>
      <c r="B4" s="4" t="s">
        <v>291</v>
      </c>
      <c r="C4" s="4" t="s">
        <v>308</v>
      </c>
      <c r="D4" s="6" t="s">
        <v>309</v>
      </c>
      <c r="E4" s="4" t="s">
        <v>310</v>
      </c>
      <c r="F4" s="4" t="s">
        <v>311</v>
      </c>
      <c r="G4" s="6">
        <v>1</v>
      </c>
      <c r="H4" s="4" t="s">
        <v>312</v>
      </c>
      <c r="I4" s="4" t="s">
        <v>313</v>
      </c>
      <c r="J4" s="4"/>
      <c r="K4" s="6" t="s">
        <v>7</v>
      </c>
      <c r="L4" s="6"/>
      <c r="M4" s="4"/>
      <c r="N4" s="4"/>
    </row>
    <row r="5" spans="1:14" customHeight="1" ht="40">
      <c r="A5" s="8" t="s">
        <v>307</v>
      </c>
      <c r="B5" s="4" t="s">
        <v>291</v>
      </c>
      <c r="C5" s="4" t="s">
        <v>308</v>
      </c>
      <c r="D5" s="6" t="s">
        <v>309</v>
      </c>
      <c r="E5" s="4"/>
      <c r="F5" s="4"/>
      <c r="G5" s="6">
        <v>2</v>
      </c>
      <c r="H5" s="4" t="s">
        <v>314</v>
      </c>
      <c r="I5" s="4" t="s">
        <v>315</v>
      </c>
      <c r="J5" s="4"/>
      <c r="K5" s="6" t="s">
        <v>7</v>
      </c>
      <c r="L5" s="6"/>
      <c r="M5" s="4"/>
      <c r="N5" s="4"/>
    </row>
    <row r="6" spans="1:14" customHeight="1" ht="40">
      <c r="A6" s="8" t="s">
        <v>307</v>
      </c>
      <c r="B6" s="4" t="s">
        <v>291</v>
      </c>
      <c r="C6" s="4" t="s">
        <v>308</v>
      </c>
      <c r="D6" s="6" t="s">
        <v>309</v>
      </c>
      <c r="E6" s="4"/>
      <c r="F6" s="4"/>
      <c r="G6" s="6">
        <v>3</v>
      </c>
      <c r="H6" s="4" t="s">
        <v>316</v>
      </c>
      <c r="I6" s="4" t="s">
        <v>317</v>
      </c>
      <c r="J6" s="4"/>
      <c r="K6" s="6" t="s">
        <v>7</v>
      </c>
      <c r="L6" s="6"/>
      <c r="M6" s="4"/>
      <c r="N6" s="4"/>
    </row>
    <row r="7" spans="1:14" customHeight="1" ht="40">
      <c r="A7" s="8" t="s">
        <v>307</v>
      </c>
      <c r="B7" s="4" t="s">
        <v>291</v>
      </c>
      <c r="C7" s="4" t="s">
        <v>308</v>
      </c>
      <c r="D7" s="6" t="s">
        <v>309</v>
      </c>
      <c r="E7" s="4"/>
      <c r="F7" s="4"/>
      <c r="G7" s="6">
        <v>4</v>
      </c>
      <c r="H7" s="4" t="s">
        <v>318</v>
      </c>
      <c r="I7" s="4" t="s">
        <v>319</v>
      </c>
      <c r="J7" s="4"/>
      <c r="K7" s="6" t="s">
        <v>7</v>
      </c>
      <c r="L7" s="6"/>
      <c r="M7" s="4"/>
      <c r="N7" s="4"/>
    </row>
    <row r="8" spans="1:14" customHeight="1" ht="40">
      <c r="A8" s="9" t="s">
        <v>320</v>
      </c>
      <c r="B8" s="5" t="s">
        <v>291</v>
      </c>
      <c r="C8" s="5" t="s">
        <v>321</v>
      </c>
      <c r="D8" s="7" t="s">
        <v>322</v>
      </c>
      <c r="E8" s="5" t="s">
        <v>323</v>
      </c>
      <c r="F8" s="5" t="s">
        <v>324</v>
      </c>
      <c r="G8" s="7">
        <v>1</v>
      </c>
      <c r="H8" s="5" t="s">
        <v>325</v>
      </c>
      <c r="I8" s="5" t="s">
        <v>326</v>
      </c>
      <c r="J8" s="5"/>
      <c r="K8" s="7" t="s">
        <v>7</v>
      </c>
      <c r="L8" s="7"/>
      <c r="M8" s="5"/>
      <c r="N8" s="5"/>
    </row>
    <row r="9" spans="1:14" customHeight="1" ht="79">
      <c r="A9" s="9" t="s">
        <v>320</v>
      </c>
      <c r="B9" s="5" t="s">
        <v>291</v>
      </c>
      <c r="C9" s="5" t="s">
        <v>321</v>
      </c>
      <c r="D9" s="7" t="s">
        <v>322</v>
      </c>
      <c r="E9" s="5"/>
      <c r="F9" s="5"/>
      <c r="G9" s="7">
        <v>2</v>
      </c>
      <c r="H9" s="5" t="s">
        <v>327</v>
      </c>
      <c r="I9" s="5" t="s">
        <v>328</v>
      </c>
      <c r="J9" s="5"/>
      <c r="K9" s="7" t="s">
        <v>7</v>
      </c>
      <c r="L9" s="7"/>
      <c r="M9" s="5"/>
      <c r="N9" s="5"/>
    </row>
    <row r="10" spans="1:14" customHeight="1" ht="66">
      <c r="A10" s="9" t="s">
        <v>320</v>
      </c>
      <c r="B10" s="5" t="s">
        <v>291</v>
      </c>
      <c r="C10" s="5" t="s">
        <v>321</v>
      </c>
      <c r="D10" s="7" t="s">
        <v>322</v>
      </c>
      <c r="E10" s="5"/>
      <c r="F10" s="5"/>
      <c r="G10" s="7">
        <v>3</v>
      </c>
      <c r="H10" s="5" t="s">
        <v>329</v>
      </c>
      <c r="I10" s="5" t="s">
        <v>330</v>
      </c>
      <c r="J10" s="5"/>
      <c r="K10" s="7" t="s">
        <v>7</v>
      </c>
      <c r="L10" s="7"/>
      <c r="M10" s="5"/>
      <c r="N10" s="5"/>
    </row>
    <row r="11" spans="1:14" customHeight="1" ht="66">
      <c r="A11" s="9" t="s">
        <v>320</v>
      </c>
      <c r="B11" s="5" t="s">
        <v>291</v>
      </c>
      <c r="C11" s="5" t="s">
        <v>321</v>
      </c>
      <c r="D11" s="7" t="s">
        <v>322</v>
      </c>
      <c r="E11" s="5"/>
      <c r="F11" s="5"/>
      <c r="G11" s="7">
        <v>4</v>
      </c>
      <c r="H11" s="5" t="s">
        <v>331</v>
      </c>
      <c r="I11" s="5" t="s">
        <v>332</v>
      </c>
      <c r="J11" s="5"/>
      <c r="K11" s="7" t="s">
        <v>7</v>
      </c>
      <c r="L11" s="7"/>
      <c r="M11" s="5"/>
      <c r="N11" s="5"/>
    </row>
    <row r="12" spans="1:14" customHeight="1" ht="40">
      <c r="A12" s="9" t="s">
        <v>320</v>
      </c>
      <c r="B12" s="5" t="s">
        <v>291</v>
      </c>
      <c r="C12" s="5" t="s">
        <v>321</v>
      </c>
      <c r="D12" s="7" t="s">
        <v>322</v>
      </c>
      <c r="E12" s="5"/>
      <c r="F12" s="5"/>
      <c r="G12" s="7">
        <v>5</v>
      </c>
      <c r="H12" s="5" t="s">
        <v>333</v>
      </c>
      <c r="I12" s="5" t="s">
        <v>334</v>
      </c>
      <c r="J12" s="5"/>
      <c r="K12" s="7" t="s">
        <v>7</v>
      </c>
      <c r="L12" s="7"/>
      <c r="M12" s="5"/>
      <c r="N12" s="5"/>
    </row>
    <row r="13" spans="1:14" customHeight="1" ht="40">
      <c r="A13" s="9" t="s">
        <v>320</v>
      </c>
      <c r="B13" s="5" t="s">
        <v>291</v>
      </c>
      <c r="C13" s="5" t="s">
        <v>321</v>
      </c>
      <c r="D13" s="7" t="s">
        <v>322</v>
      </c>
      <c r="E13" s="5"/>
      <c r="F13" s="5"/>
      <c r="G13" s="7">
        <v>6</v>
      </c>
      <c r="H13" s="5" t="s">
        <v>335</v>
      </c>
      <c r="I13" s="5" t="s">
        <v>336</v>
      </c>
      <c r="J13" s="5"/>
      <c r="K13" s="7" t="s">
        <v>7</v>
      </c>
      <c r="L13" s="7"/>
      <c r="M13" s="5"/>
      <c r="N13" s="5"/>
    </row>
    <row r="14" spans="1:14" customHeight="1" ht="30">
      <c r="A14" s="8" t="s">
        <v>337</v>
      </c>
      <c r="B14" s="4" t="s">
        <v>291</v>
      </c>
      <c r="C14" s="4" t="s">
        <v>338</v>
      </c>
      <c r="D14" s="6" t="s">
        <v>322</v>
      </c>
      <c r="E14" s="4" t="s">
        <v>339</v>
      </c>
      <c r="F14" s="4" t="s">
        <v>340</v>
      </c>
      <c r="G14" s="6">
        <v>1</v>
      </c>
      <c r="H14" s="4" t="s">
        <v>341</v>
      </c>
      <c r="I14" s="4" t="s">
        <v>342</v>
      </c>
      <c r="J14" s="4"/>
      <c r="K14" s="6" t="s">
        <v>7</v>
      </c>
      <c r="L14" s="6"/>
      <c r="M14" s="4"/>
      <c r="N14" s="4"/>
    </row>
    <row r="15" spans="1:14" customHeight="1" ht="30">
      <c r="A15" s="8" t="s">
        <v>337</v>
      </c>
      <c r="B15" s="4" t="s">
        <v>291</v>
      </c>
      <c r="C15" s="4" t="s">
        <v>338</v>
      </c>
      <c r="D15" s="6" t="s">
        <v>322</v>
      </c>
      <c r="E15" s="4"/>
      <c r="F15" s="4"/>
      <c r="G15" s="6">
        <v>2</v>
      </c>
      <c r="H15" s="4" t="s">
        <v>343</v>
      </c>
      <c r="I15" s="4" t="s">
        <v>344</v>
      </c>
      <c r="J15" s="4"/>
      <c r="K15" s="6" t="s">
        <v>7</v>
      </c>
      <c r="L15" s="6"/>
      <c r="M15" s="4"/>
      <c r="N15" s="4"/>
    </row>
    <row r="16" spans="1:14" customHeight="1" ht="40">
      <c r="A16" s="8" t="s">
        <v>337</v>
      </c>
      <c r="B16" s="4" t="s">
        <v>291</v>
      </c>
      <c r="C16" s="4" t="s">
        <v>338</v>
      </c>
      <c r="D16" s="6" t="s">
        <v>322</v>
      </c>
      <c r="E16" s="4"/>
      <c r="F16" s="4"/>
      <c r="G16" s="6">
        <v>3</v>
      </c>
      <c r="H16" s="4" t="s">
        <v>345</v>
      </c>
      <c r="I16" s="4" t="s">
        <v>346</v>
      </c>
      <c r="J16" s="4"/>
      <c r="K16" s="6" t="s">
        <v>7</v>
      </c>
      <c r="L16" s="6"/>
      <c r="M16" s="4"/>
      <c r="N16" s="4"/>
    </row>
    <row r="17" spans="1:14" customHeight="1" ht="40">
      <c r="A17" s="8" t="s">
        <v>337</v>
      </c>
      <c r="B17" s="4" t="s">
        <v>291</v>
      </c>
      <c r="C17" s="4" t="s">
        <v>338</v>
      </c>
      <c r="D17" s="6" t="s">
        <v>322</v>
      </c>
      <c r="E17" s="4"/>
      <c r="F17" s="4"/>
      <c r="G17" s="6">
        <v>4</v>
      </c>
      <c r="H17" s="4" t="s">
        <v>347</v>
      </c>
      <c r="I17" s="4" t="s">
        <v>348</v>
      </c>
      <c r="J17" s="4"/>
      <c r="K17" s="6" t="s">
        <v>7</v>
      </c>
      <c r="L17" s="6"/>
      <c r="M17" s="4"/>
      <c r="N17" s="4"/>
    </row>
    <row r="18" spans="1:14" customHeight="1" ht="30">
      <c r="A18" s="8" t="s">
        <v>337</v>
      </c>
      <c r="B18" s="4" t="s">
        <v>291</v>
      </c>
      <c r="C18" s="4" t="s">
        <v>338</v>
      </c>
      <c r="D18" s="6" t="s">
        <v>322</v>
      </c>
      <c r="E18" s="4"/>
      <c r="F18" s="4"/>
      <c r="G18" s="6">
        <v>5</v>
      </c>
      <c r="H18" s="4" t="s">
        <v>349</v>
      </c>
      <c r="I18" s="4" t="s">
        <v>350</v>
      </c>
      <c r="J18" s="4"/>
      <c r="K18" s="6" t="s">
        <v>7</v>
      </c>
      <c r="L18" s="6"/>
      <c r="M18" s="4"/>
      <c r="N18" s="4"/>
    </row>
    <row r="19" spans="1:14" customHeight="1" ht="30">
      <c r="A19" s="8" t="s">
        <v>337</v>
      </c>
      <c r="B19" s="4" t="s">
        <v>291</v>
      </c>
      <c r="C19" s="4" t="s">
        <v>338</v>
      </c>
      <c r="D19" s="6" t="s">
        <v>322</v>
      </c>
      <c r="E19" s="4"/>
      <c r="F19" s="4"/>
      <c r="G19" s="6">
        <v>6</v>
      </c>
      <c r="H19" s="4" t="s">
        <v>351</v>
      </c>
      <c r="I19" s="4" t="s">
        <v>350</v>
      </c>
      <c r="J19" s="4"/>
      <c r="K19" s="6" t="s">
        <v>7</v>
      </c>
      <c r="L19" s="6"/>
      <c r="M19" s="4"/>
      <c r="N19" s="4"/>
    </row>
    <row r="20" spans="1:14" customHeight="1" ht="30">
      <c r="A20" s="8" t="s">
        <v>337</v>
      </c>
      <c r="B20" s="4" t="s">
        <v>291</v>
      </c>
      <c r="C20" s="4" t="s">
        <v>338</v>
      </c>
      <c r="D20" s="6" t="s">
        <v>322</v>
      </c>
      <c r="E20" s="4"/>
      <c r="F20" s="4"/>
      <c r="G20" s="6">
        <v>7</v>
      </c>
      <c r="H20" s="4" t="s">
        <v>352</v>
      </c>
      <c r="I20" s="4" t="s">
        <v>353</v>
      </c>
      <c r="J20" s="4"/>
      <c r="K20" s="6" t="s">
        <v>7</v>
      </c>
      <c r="L20" s="6"/>
      <c r="M20" s="4"/>
      <c r="N20" s="4"/>
    </row>
    <row r="21" spans="1:14" customHeight="1" ht="40">
      <c r="A21" s="8" t="s">
        <v>337</v>
      </c>
      <c r="B21" s="4" t="s">
        <v>291</v>
      </c>
      <c r="C21" s="4" t="s">
        <v>338</v>
      </c>
      <c r="D21" s="6" t="s">
        <v>322</v>
      </c>
      <c r="E21" s="4"/>
      <c r="F21" s="4"/>
      <c r="G21" s="6">
        <v>8</v>
      </c>
      <c r="H21" s="4" t="s">
        <v>354</v>
      </c>
      <c r="I21" s="4" t="s">
        <v>355</v>
      </c>
      <c r="J21" s="4"/>
      <c r="K21" s="6" t="s">
        <v>7</v>
      </c>
      <c r="L21" s="6"/>
      <c r="M21" s="4"/>
      <c r="N21" s="4"/>
    </row>
    <row r="22" spans="1:14" customHeight="1" ht="40">
      <c r="A22" s="8" t="s">
        <v>337</v>
      </c>
      <c r="B22" s="4" t="s">
        <v>291</v>
      </c>
      <c r="C22" s="4" t="s">
        <v>338</v>
      </c>
      <c r="D22" s="6" t="s">
        <v>322</v>
      </c>
      <c r="E22" s="4"/>
      <c r="F22" s="4"/>
      <c r="G22" s="6">
        <v>9</v>
      </c>
      <c r="H22" s="4" t="s">
        <v>356</v>
      </c>
      <c r="I22" s="4" t="s">
        <v>357</v>
      </c>
      <c r="J22" s="4"/>
      <c r="K22" s="6" t="s">
        <v>7</v>
      </c>
      <c r="L22" s="6"/>
      <c r="M22" s="4"/>
      <c r="N22" s="4"/>
    </row>
    <row r="23" spans="1:14" customHeight="1" ht="40">
      <c r="A23" s="8" t="s">
        <v>337</v>
      </c>
      <c r="B23" s="4" t="s">
        <v>291</v>
      </c>
      <c r="C23" s="4" t="s">
        <v>338</v>
      </c>
      <c r="D23" s="6" t="s">
        <v>322</v>
      </c>
      <c r="E23" s="4"/>
      <c r="F23" s="4"/>
      <c r="G23" s="6">
        <v>10</v>
      </c>
      <c r="H23" s="4" t="s">
        <v>358</v>
      </c>
      <c r="I23" s="4" t="s">
        <v>359</v>
      </c>
      <c r="J23" s="4"/>
      <c r="K23" s="6" t="s">
        <v>7</v>
      </c>
      <c r="L23" s="6"/>
      <c r="M23" s="4"/>
      <c r="N23" s="4"/>
    </row>
    <row r="24" spans="1:14" customHeight="1" ht="40">
      <c r="A24" s="8" t="s">
        <v>337</v>
      </c>
      <c r="B24" s="4" t="s">
        <v>291</v>
      </c>
      <c r="C24" s="4" t="s">
        <v>338</v>
      </c>
      <c r="D24" s="6" t="s">
        <v>322</v>
      </c>
      <c r="E24" s="4"/>
      <c r="F24" s="4"/>
      <c r="G24" s="6">
        <v>11</v>
      </c>
      <c r="H24" s="4" t="s">
        <v>360</v>
      </c>
      <c r="I24" s="4" t="s">
        <v>361</v>
      </c>
      <c r="J24" s="4"/>
      <c r="K24" s="6" t="s">
        <v>7</v>
      </c>
      <c r="L24" s="6"/>
      <c r="M24" s="4"/>
      <c r="N24" s="4"/>
    </row>
    <row r="25" spans="1:14" customHeight="1" ht="40">
      <c r="A25" s="8" t="s">
        <v>337</v>
      </c>
      <c r="B25" s="4" t="s">
        <v>291</v>
      </c>
      <c r="C25" s="4" t="s">
        <v>338</v>
      </c>
      <c r="D25" s="6" t="s">
        <v>322</v>
      </c>
      <c r="E25" s="4"/>
      <c r="F25" s="4"/>
      <c r="G25" s="6">
        <v>12</v>
      </c>
      <c r="H25" s="4" t="s">
        <v>362</v>
      </c>
      <c r="I25" s="4" t="s">
        <v>363</v>
      </c>
      <c r="J25" s="4"/>
      <c r="K25" s="6" t="s">
        <v>7</v>
      </c>
      <c r="L25" s="6"/>
      <c r="M25" s="4"/>
      <c r="N25" s="4"/>
    </row>
    <row r="26" spans="1:14" customHeight="1" ht="40">
      <c r="A26" s="8" t="s">
        <v>337</v>
      </c>
      <c r="B26" s="4" t="s">
        <v>291</v>
      </c>
      <c r="C26" s="4" t="s">
        <v>338</v>
      </c>
      <c r="D26" s="6" t="s">
        <v>322</v>
      </c>
      <c r="E26" s="4"/>
      <c r="F26" s="4"/>
      <c r="G26" s="6">
        <v>13</v>
      </c>
      <c r="H26" s="4" t="s">
        <v>364</v>
      </c>
      <c r="I26" s="4" t="s">
        <v>365</v>
      </c>
      <c r="J26" s="4"/>
      <c r="K26" s="6" t="s">
        <v>7</v>
      </c>
      <c r="L26" s="6"/>
      <c r="M26" s="4"/>
      <c r="N26" s="4"/>
    </row>
    <row r="27" spans="1:14" customHeight="1" ht="40">
      <c r="A27" s="8" t="s">
        <v>337</v>
      </c>
      <c r="B27" s="4" t="s">
        <v>291</v>
      </c>
      <c r="C27" s="4" t="s">
        <v>338</v>
      </c>
      <c r="D27" s="6" t="s">
        <v>322</v>
      </c>
      <c r="E27" s="4"/>
      <c r="F27" s="4"/>
      <c r="G27" s="6">
        <v>14</v>
      </c>
      <c r="H27" s="4" t="s">
        <v>366</v>
      </c>
      <c r="I27" s="4" t="s">
        <v>367</v>
      </c>
      <c r="J27" s="4"/>
      <c r="K27" s="6" t="s">
        <v>7</v>
      </c>
      <c r="L27" s="6"/>
      <c r="M27" s="4"/>
      <c r="N27" s="4"/>
    </row>
    <row r="28" spans="1:14" customHeight="1" ht="40">
      <c r="A28" s="8" t="s">
        <v>337</v>
      </c>
      <c r="B28" s="4" t="s">
        <v>291</v>
      </c>
      <c r="C28" s="4" t="s">
        <v>338</v>
      </c>
      <c r="D28" s="6" t="s">
        <v>322</v>
      </c>
      <c r="E28" s="4"/>
      <c r="F28" s="4"/>
      <c r="G28" s="6">
        <v>15</v>
      </c>
      <c r="H28" s="4" t="s">
        <v>368</v>
      </c>
      <c r="I28" s="4" t="s">
        <v>369</v>
      </c>
      <c r="J28" s="4"/>
      <c r="K28" s="6" t="s">
        <v>7</v>
      </c>
      <c r="L28" s="6"/>
      <c r="M28" s="4"/>
      <c r="N28" s="4"/>
    </row>
    <row r="29" spans="1:14" customHeight="1" ht="30">
      <c r="A29" s="9" t="s">
        <v>370</v>
      </c>
      <c r="B29" s="5" t="s">
        <v>291</v>
      </c>
      <c r="C29" s="5" t="s">
        <v>371</v>
      </c>
      <c r="D29" s="7" t="s">
        <v>322</v>
      </c>
      <c r="E29" s="5" t="s">
        <v>372</v>
      </c>
      <c r="F29" s="5" t="s">
        <v>373</v>
      </c>
      <c r="G29" s="7">
        <v>1</v>
      </c>
      <c r="H29" s="5" t="s">
        <v>374</v>
      </c>
      <c r="I29" s="5" t="s">
        <v>375</v>
      </c>
      <c r="J29" s="5"/>
      <c r="K29" s="7" t="s">
        <v>7</v>
      </c>
      <c r="L29" s="7"/>
      <c r="M29" s="5"/>
      <c r="N29" s="5"/>
    </row>
    <row r="30" spans="1:14" customHeight="1" ht="40">
      <c r="A30" s="9" t="s">
        <v>370</v>
      </c>
      <c r="B30" s="5" t="s">
        <v>291</v>
      </c>
      <c r="C30" s="5" t="s">
        <v>371</v>
      </c>
      <c r="D30" s="7" t="s">
        <v>322</v>
      </c>
      <c r="E30" s="5"/>
      <c r="F30" s="5"/>
      <c r="G30" s="7">
        <v>2</v>
      </c>
      <c r="H30" s="5" t="s">
        <v>376</v>
      </c>
      <c r="I30" s="5" t="s">
        <v>377</v>
      </c>
      <c r="J30" s="5"/>
      <c r="K30" s="7" t="s">
        <v>7</v>
      </c>
      <c r="L30" s="7"/>
      <c r="M30" s="5"/>
      <c r="N30" s="5"/>
    </row>
    <row r="31" spans="1:14" customHeight="1" ht="40">
      <c r="A31" s="9" t="s">
        <v>370</v>
      </c>
      <c r="B31" s="5" t="s">
        <v>291</v>
      </c>
      <c r="C31" s="5" t="s">
        <v>371</v>
      </c>
      <c r="D31" s="7" t="s">
        <v>322</v>
      </c>
      <c r="E31" s="5"/>
      <c r="F31" s="5"/>
      <c r="G31" s="7">
        <v>3</v>
      </c>
      <c r="H31" s="5" t="s">
        <v>378</v>
      </c>
      <c r="I31" s="5" t="s">
        <v>379</v>
      </c>
      <c r="J31" s="5"/>
      <c r="K31" s="7" t="s">
        <v>7</v>
      </c>
      <c r="L31" s="7"/>
      <c r="M31" s="5"/>
      <c r="N31" s="5"/>
    </row>
    <row r="32" spans="1:14" customHeight="1" ht="40">
      <c r="A32" s="9" t="s">
        <v>370</v>
      </c>
      <c r="B32" s="5" t="s">
        <v>291</v>
      </c>
      <c r="C32" s="5" t="s">
        <v>371</v>
      </c>
      <c r="D32" s="7" t="s">
        <v>322</v>
      </c>
      <c r="E32" s="5"/>
      <c r="F32" s="5"/>
      <c r="G32" s="7">
        <v>4</v>
      </c>
      <c r="H32" s="5" t="s">
        <v>380</v>
      </c>
      <c r="I32" s="5" t="s">
        <v>381</v>
      </c>
      <c r="J32" s="5"/>
      <c r="K32" s="7" t="s">
        <v>7</v>
      </c>
      <c r="L32" s="7"/>
      <c r="M32" s="5"/>
      <c r="N32" s="5"/>
    </row>
    <row r="33" spans="1:14" customHeight="1" ht="53">
      <c r="A33" s="9" t="s">
        <v>370</v>
      </c>
      <c r="B33" s="5" t="s">
        <v>291</v>
      </c>
      <c r="C33" s="5" t="s">
        <v>371</v>
      </c>
      <c r="D33" s="7" t="s">
        <v>322</v>
      </c>
      <c r="E33" s="5"/>
      <c r="F33" s="5"/>
      <c r="G33" s="7">
        <v>5</v>
      </c>
      <c r="H33" s="5" t="s">
        <v>382</v>
      </c>
      <c r="I33" s="5" t="s">
        <v>383</v>
      </c>
      <c r="J33" s="5"/>
      <c r="K33" s="7" t="s">
        <v>7</v>
      </c>
      <c r="L33" s="7"/>
      <c r="M33" s="5"/>
      <c r="N33" s="5"/>
    </row>
    <row r="34" spans="1:14" customHeight="1" ht="66">
      <c r="A34" s="9" t="s">
        <v>370</v>
      </c>
      <c r="B34" s="5" t="s">
        <v>291</v>
      </c>
      <c r="C34" s="5" t="s">
        <v>371</v>
      </c>
      <c r="D34" s="7" t="s">
        <v>322</v>
      </c>
      <c r="E34" s="5"/>
      <c r="F34" s="5"/>
      <c r="G34" s="7">
        <v>6</v>
      </c>
      <c r="H34" s="5" t="s">
        <v>384</v>
      </c>
      <c r="I34" s="5" t="s">
        <v>385</v>
      </c>
      <c r="J34" s="5"/>
      <c r="K34" s="7" t="s">
        <v>7</v>
      </c>
      <c r="L34" s="7"/>
      <c r="M34" s="5"/>
      <c r="N34" s="5"/>
    </row>
    <row r="35" spans="1:14" customHeight="1" ht="40">
      <c r="A35" s="8" t="s">
        <v>386</v>
      </c>
      <c r="B35" s="4" t="s">
        <v>291</v>
      </c>
      <c r="C35" s="4" t="s">
        <v>387</v>
      </c>
      <c r="D35" s="6" t="s">
        <v>309</v>
      </c>
      <c r="E35" s="4" t="s">
        <v>388</v>
      </c>
      <c r="F35" s="4" t="s">
        <v>389</v>
      </c>
      <c r="G35" s="6">
        <v>1</v>
      </c>
      <c r="H35" s="4" t="s">
        <v>390</v>
      </c>
      <c r="I35" s="4" t="s">
        <v>391</v>
      </c>
      <c r="J35" s="4"/>
      <c r="K35" s="6" t="s">
        <v>7</v>
      </c>
      <c r="L35" s="6"/>
      <c r="M35" s="4"/>
      <c r="N35" s="4"/>
    </row>
    <row r="36" spans="1:14" customHeight="1" ht="30">
      <c r="A36" s="8" t="s">
        <v>386</v>
      </c>
      <c r="B36" s="4" t="s">
        <v>291</v>
      </c>
      <c r="C36" s="4" t="s">
        <v>387</v>
      </c>
      <c r="D36" s="6" t="s">
        <v>309</v>
      </c>
      <c r="E36" s="4"/>
      <c r="F36" s="4"/>
      <c r="G36" s="6">
        <v>2</v>
      </c>
      <c r="H36" s="4" t="s">
        <v>392</v>
      </c>
      <c r="I36" s="4" t="s">
        <v>393</v>
      </c>
      <c r="J36" s="4"/>
      <c r="K36" s="6" t="s">
        <v>7</v>
      </c>
      <c r="L36" s="6"/>
      <c r="M36" s="4"/>
      <c r="N36" s="4"/>
    </row>
    <row r="37" spans="1:14" customHeight="1" ht="30">
      <c r="A37" s="8" t="s">
        <v>386</v>
      </c>
      <c r="B37" s="4" t="s">
        <v>291</v>
      </c>
      <c r="C37" s="4" t="s">
        <v>387</v>
      </c>
      <c r="D37" s="6" t="s">
        <v>309</v>
      </c>
      <c r="E37" s="4"/>
      <c r="F37" s="4"/>
      <c r="G37" s="6">
        <v>3</v>
      </c>
      <c r="H37" s="4" t="s">
        <v>394</v>
      </c>
      <c r="I37" s="4" t="s">
        <v>395</v>
      </c>
      <c r="J37" s="4"/>
      <c r="K37" s="6" t="s">
        <v>7</v>
      </c>
      <c r="L37" s="6"/>
      <c r="M37" s="4"/>
      <c r="N37" s="4"/>
    </row>
    <row r="38" spans="1:14" customHeight="1" ht="30">
      <c r="A38" s="8" t="s">
        <v>386</v>
      </c>
      <c r="B38" s="4" t="s">
        <v>291</v>
      </c>
      <c r="C38" s="4" t="s">
        <v>387</v>
      </c>
      <c r="D38" s="6" t="s">
        <v>309</v>
      </c>
      <c r="E38" s="4"/>
      <c r="F38" s="4"/>
      <c r="G38" s="6">
        <v>4</v>
      </c>
      <c r="H38" s="4" t="s">
        <v>396</v>
      </c>
      <c r="I38" s="4" t="s">
        <v>397</v>
      </c>
      <c r="J38" s="4"/>
      <c r="K38" s="6" t="s">
        <v>7</v>
      </c>
      <c r="L38" s="6"/>
      <c r="M38" s="4"/>
      <c r="N38" s="4"/>
    </row>
    <row r="39" spans="1:14" customHeight="1" ht="40">
      <c r="A39" s="8" t="s">
        <v>386</v>
      </c>
      <c r="B39" s="4" t="s">
        <v>291</v>
      </c>
      <c r="C39" s="4" t="s">
        <v>387</v>
      </c>
      <c r="D39" s="6" t="s">
        <v>309</v>
      </c>
      <c r="E39" s="4"/>
      <c r="F39" s="4"/>
      <c r="G39" s="6">
        <v>5</v>
      </c>
      <c r="H39" s="4" t="s">
        <v>398</v>
      </c>
      <c r="I39" s="4" t="s">
        <v>399</v>
      </c>
      <c r="J39" s="4"/>
      <c r="K39" s="6" t="s">
        <v>7</v>
      </c>
      <c r="L39" s="6"/>
      <c r="M39" s="4"/>
      <c r="N39" s="4"/>
    </row>
    <row r="40" spans="1:14" customHeight="1" ht="30">
      <c r="A40" s="8" t="s">
        <v>386</v>
      </c>
      <c r="B40" s="4" t="s">
        <v>291</v>
      </c>
      <c r="C40" s="4" t="s">
        <v>387</v>
      </c>
      <c r="D40" s="6" t="s">
        <v>309</v>
      </c>
      <c r="E40" s="4"/>
      <c r="F40" s="4"/>
      <c r="G40" s="6">
        <v>6</v>
      </c>
      <c r="H40" s="4" t="s">
        <v>400</v>
      </c>
      <c r="I40" s="4" t="s">
        <v>401</v>
      </c>
      <c r="J40" s="4"/>
      <c r="K40" s="6" t="s">
        <v>7</v>
      </c>
      <c r="L40" s="6"/>
      <c r="M40" s="4"/>
      <c r="N40" s="4"/>
    </row>
    <row r="41" spans="1:14" customHeight="1" ht="30">
      <c r="A41" s="8" t="s">
        <v>386</v>
      </c>
      <c r="B41" s="4" t="s">
        <v>291</v>
      </c>
      <c r="C41" s="4" t="s">
        <v>387</v>
      </c>
      <c r="D41" s="6" t="s">
        <v>309</v>
      </c>
      <c r="E41" s="4"/>
      <c r="F41" s="4"/>
      <c r="G41" s="6">
        <v>7</v>
      </c>
      <c r="H41" s="4" t="s">
        <v>402</v>
      </c>
      <c r="I41" s="4" t="s">
        <v>403</v>
      </c>
      <c r="J41" s="4"/>
      <c r="K41" s="6" t="s">
        <v>7</v>
      </c>
      <c r="L41" s="6"/>
      <c r="M41" s="4"/>
      <c r="N41" s="4"/>
    </row>
    <row r="42" spans="1:14" customHeight="1" ht="30">
      <c r="A42" s="8" t="s">
        <v>386</v>
      </c>
      <c r="B42" s="4" t="s">
        <v>291</v>
      </c>
      <c r="C42" s="4" t="s">
        <v>387</v>
      </c>
      <c r="D42" s="6" t="s">
        <v>309</v>
      </c>
      <c r="E42" s="4"/>
      <c r="F42" s="4"/>
      <c r="G42" s="6">
        <v>8</v>
      </c>
      <c r="H42" s="4" t="s">
        <v>404</v>
      </c>
      <c r="I42" s="4" t="s">
        <v>405</v>
      </c>
      <c r="J42" s="4"/>
      <c r="K42" s="6" t="s">
        <v>7</v>
      </c>
      <c r="L42" s="6"/>
      <c r="M42" s="4"/>
      <c r="N42" s="4"/>
    </row>
    <row r="43" spans="1:14" customHeight="1" ht="53">
      <c r="A43" s="8" t="s">
        <v>386</v>
      </c>
      <c r="B43" s="4" t="s">
        <v>291</v>
      </c>
      <c r="C43" s="4" t="s">
        <v>387</v>
      </c>
      <c r="D43" s="6" t="s">
        <v>309</v>
      </c>
      <c r="E43" s="4"/>
      <c r="F43" s="4"/>
      <c r="G43" s="6">
        <v>9</v>
      </c>
      <c r="H43" s="4" t="s">
        <v>406</v>
      </c>
      <c r="I43" s="4" t="s">
        <v>407</v>
      </c>
      <c r="J43" s="4"/>
      <c r="K43" s="6" t="s">
        <v>7</v>
      </c>
      <c r="L43" s="6"/>
      <c r="M43" s="4"/>
      <c r="N43" s="4"/>
    </row>
    <row r="44" spans="1:14" customHeight="1" ht="40">
      <c r="A44" s="9" t="s">
        <v>408</v>
      </c>
      <c r="B44" s="5" t="s">
        <v>291</v>
      </c>
      <c r="C44" s="5" t="s">
        <v>409</v>
      </c>
      <c r="D44" s="7" t="s">
        <v>309</v>
      </c>
      <c r="E44" s="5" t="s">
        <v>410</v>
      </c>
      <c r="F44" s="5" t="s">
        <v>411</v>
      </c>
      <c r="G44" s="7">
        <v>1</v>
      </c>
      <c r="H44" s="5" t="s">
        <v>412</v>
      </c>
      <c r="I44" s="5" t="s">
        <v>413</v>
      </c>
      <c r="J44" s="5"/>
      <c r="K44" s="7" t="s">
        <v>7</v>
      </c>
      <c r="L44" s="7"/>
      <c r="M44" s="5"/>
      <c r="N44" s="5"/>
    </row>
    <row r="45" spans="1:14" customHeight="1" ht="30">
      <c r="A45" s="9" t="s">
        <v>408</v>
      </c>
      <c r="B45" s="5" t="s">
        <v>291</v>
      </c>
      <c r="C45" s="5" t="s">
        <v>409</v>
      </c>
      <c r="D45" s="7" t="s">
        <v>309</v>
      </c>
      <c r="E45" s="5"/>
      <c r="F45" s="5"/>
      <c r="G45" s="7">
        <v>2</v>
      </c>
      <c r="H45" s="5" t="s">
        <v>414</v>
      </c>
      <c r="I45" s="5" t="s">
        <v>415</v>
      </c>
      <c r="J45" s="5"/>
      <c r="K45" s="7" t="s">
        <v>7</v>
      </c>
      <c r="L45" s="7"/>
      <c r="M45" s="5"/>
      <c r="N45" s="5"/>
    </row>
    <row r="46" spans="1:14" customHeight="1" ht="30">
      <c r="A46" s="9" t="s">
        <v>408</v>
      </c>
      <c r="B46" s="5" t="s">
        <v>291</v>
      </c>
      <c r="C46" s="5" t="s">
        <v>409</v>
      </c>
      <c r="D46" s="7" t="s">
        <v>309</v>
      </c>
      <c r="E46" s="5"/>
      <c r="F46" s="5"/>
      <c r="G46" s="7">
        <v>3</v>
      </c>
      <c r="H46" s="5" t="s">
        <v>416</v>
      </c>
      <c r="I46" s="5" t="s">
        <v>417</v>
      </c>
      <c r="J46" s="5"/>
      <c r="K46" s="7" t="s">
        <v>7</v>
      </c>
      <c r="L46" s="7"/>
      <c r="M46" s="5"/>
      <c r="N46" s="5"/>
    </row>
    <row r="47" spans="1:14" customHeight="1" ht="40">
      <c r="A47" s="9" t="s">
        <v>408</v>
      </c>
      <c r="B47" s="5" t="s">
        <v>291</v>
      </c>
      <c r="C47" s="5" t="s">
        <v>409</v>
      </c>
      <c r="D47" s="7" t="s">
        <v>309</v>
      </c>
      <c r="E47" s="5"/>
      <c r="F47" s="5"/>
      <c r="G47" s="7">
        <v>4</v>
      </c>
      <c r="H47" s="5" t="s">
        <v>418</v>
      </c>
      <c r="I47" s="5" t="s">
        <v>419</v>
      </c>
      <c r="J47" s="5"/>
      <c r="K47" s="7" t="s">
        <v>7</v>
      </c>
      <c r="L47" s="7"/>
      <c r="M47" s="5"/>
      <c r="N47" s="5"/>
    </row>
    <row r="48" spans="1:14" customHeight="1" ht="30">
      <c r="A48" s="9" t="s">
        <v>408</v>
      </c>
      <c r="B48" s="5" t="s">
        <v>291</v>
      </c>
      <c r="C48" s="5" t="s">
        <v>409</v>
      </c>
      <c r="D48" s="7" t="s">
        <v>309</v>
      </c>
      <c r="E48" s="5"/>
      <c r="F48" s="5"/>
      <c r="G48" s="7">
        <v>5</v>
      </c>
      <c r="H48" s="5" t="s">
        <v>420</v>
      </c>
      <c r="I48" s="5" t="s">
        <v>421</v>
      </c>
      <c r="J48" s="5"/>
      <c r="K48" s="7" t="s">
        <v>7</v>
      </c>
      <c r="L48" s="7"/>
      <c r="M48" s="5"/>
      <c r="N48" s="5"/>
    </row>
    <row r="49" spans="1:14" customHeight="1" ht="30">
      <c r="A49" s="9" t="s">
        <v>408</v>
      </c>
      <c r="B49" s="5" t="s">
        <v>291</v>
      </c>
      <c r="C49" s="5" t="s">
        <v>409</v>
      </c>
      <c r="D49" s="7" t="s">
        <v>309</v>
      </c>
      <c r="E49" s="5"/>
      <c r="F49" s="5"/>
      <c r="G49" s="7">
        <v>6</v>
      </c>
      <c r="H49" s="5" t="s">
        <v>422</v>
      </c>
      <c r="I49" s="5" t="s">
        <v>423</v>
      </c>
      <c r="J49" s="5"/>
      <c r="K49" s="7" t="s">
        <v>7</v>
      </c>
      <c r="L49" s="7"/>
      <c r="M49" s="5"/>
      <c r="N49" s="5"/>
    </row>
    <row r="50" spans="1:14" customHeight="1" ht="40">
      <c r="A50" s="9" t="s">
        <v>408</v>
      </c>
      <c r="B50" s="5" t="s">
        <v>291</v>
      </c>
      <c r="C50" s="5" t="s">
        <v>409</v>
      </c>
      <c r="D50" s="7" t="s">
        <v>309</v>
      </c>
      <c r="E50" s="5"/>
      <c r="F50" s="5"/>
      <c r="G50" s="7">
        <v>7</v>
      </c>
      <c r="H50" s="5" t="s">
        <v>424</v>
      </c>
      <c r="I50" s="5" t="s">
        <v>425</v>
      </c>
      <c r="J50" s="5"/>
      <c r="K50" s="7" t="s">
        <v>7</v>
      </c>
      <c r="L50" s="7"/>
      <c r="M50" s="5"/>
      <c r="N50" s="5"/>
    </row>
    <row r="51" spans="1:14" customHeight="1" ht="30">
      <c r="A51" s="8" t="s">
        <v>426</v>
      </c>
      <c r="B51" s="4" t="s">
        <v>291</v>
      </c>
      <c r="C51" s="4" t="s">
        <v>427</v>
      </c>
      <c r="D51" s="6" t="s">
        <v>309</v>
      </c>
      <c r="E51" s="4" t="s">
        <v>428</v>
      </c>
      <c r="F51" s="4" t="s">
        <v>429</v>
      </c>
      <c r="G51" s="6">
        <v>1</v>
      </c>
      <c r="H51" s="4" t="s">
        <v>430</v>
      </c>
      <c r="I51" s="4" t="s">
        <v>431</v>
      </c>
      <c r="J51" s="4"/>
      <c r="K51" s="6" t="s">
        <v>7</v>
      </c>
      <c r="L51" s="6"/>
      <c r="M51" s="4"/>
      <c r="N51" s="4"/>
    </row>
    <row r="52" spans="1:14" customHeight="1" ht="30">
      <c r="A52" s="8" t="s">
        <v>426</v>
      </c>
      <c r="B52" s="4" t="s">
        <v>291</v>
      </c>
      <c r="C52" s="4" t="s">
        <v>427</v>
      </c>
      <c r="D52" s="6" t="s">
        <v>309</v>
      </c>
      <c r="E52" s="4"/>
      <c r="F52" s="4"/>
      <c r="G52" s="6">
        <v>2</v>
      </c>
      <c r="H52" s="4" t="s">
        <v>432</v>
      </c>
      <c r="I52" s="4" t="s">
        <v>431</v>
      </c>
      <c r="J52" s="4"/>
      <c r="K52" s="6" t="s">
        <v>7</v>
      </c>
      <c r="L52" s="6"/>
      <c r="M52" s="4"/>
      <c r="N52" s="4"/>
    </row>
    <row r="53" spans="1:14" customHeight="1" ht="30">
      <c r="A53" s="8" t="s">
        <v>426</v>
      </c>
      <c r="B53" s="4" t="s">
        <v>291</v>
      </c>
      <c r="C53" s="4" t="s">
        <v>427</v>
      </c>
      <c r="D53" s="6" t="s">
        <v>309</v>
      </c>
      <c r="E53" s="4"/>
      <c r="F53" s="4"/>
      <c r="G53" s="6">
        <v>3</v>
      </c>
      <c r="H53" s="4" t="s">
        <v>433</v>
      </c>
      <c r="I53" s="4" t="s">
        <v>431</v>
      </c>
      <c r="J53" s="4"/>
      <c r="K53" s="6" t="s">
        <v>7</v>
      </c>
      <c r="L53" s="6"/>
      <c r="M53" s="4"/>
      <c r="N53" s="4"/>
    </row>
    <row r="54" spans="1:14" customHeight="1" ht="40">
      <c r="A54" s="8" t="s">
        <v>426</v>
      </c>
      <c r="B54" s="4" t="s">
        <v>291</v>
      </c>
      <c r="C54" s="4" t="s">
        <v>427</v>
      </c>
      <c r="D54" s="6" t="s">
        <v>309</v>
      </c>
      <c r="E54" s="4"/>
      <c r="F54" s="4"/>
      <c r="G54" s="6">
        <v>4</v>
      </c>
      <c r="H54" s="4" t="s">
        <v>434</v>
      </c>
      <c r="I54" s="4" t="s">
        <v>431</v>
      </c>
      <c r="J54" s="4"/>
      <c r="K54" s="6" t="s">
        <v>7</v>
      </c>
      <c r="L54" s="6"/>
      <c r="M54" s="4"/>
      <c r="N54" s="4"/>
    </row>
    <row r="55" spans="1:14" customHeight="1" ht="40">
      <c r="A55" s="8" t="s">
        <v>426</v>
      </c>
      <c r="B55" s="4" t="s">
        <v>291</v>
      </c>
      <c r="C55" s="4" t="s">
        <v>427</v>
      </c>
      <c r="D55" s="6" t="s">
        <v>309</v>
      </c>
      <c r="E55" s="4"/>
      <c r="F55" s="4"/>
      <c r="G55" s="6">
        <v>5</v>
      </c>
      <c r="H55" s="4" t="s">
        <v>435</v>
      </c>
      <c r="I55" s="4" t="s">
        <v>436</v>
      </c>
      <c r="J55" s="4"/>
      <c r="K55" s="6" t="s">
        <v>7</v>
      </c>
      <c r="L55" s="6"/>
      <c r="M55" s="4"/>
      <c r="N55" s="4"/>
    </row>
    <row r="56" spans="1:14" customHeight="1" ht="40">
      <c r="A56" s="8" t="s">
        <v>426</v>
      </c>
      <c r="B56" s="4" t="s">
        <v>291</v>
      </c>
      <c r="C56" s="4" t="s">
        <v>427</v>
      </c>
      <c r="D56" s="6" t="s">
        <v>309</v>
      </c>
      <c r="E56" s="4"/>
      <c r="F56" s="4"/>
      <c r="G56" s="6">
        <v>6</v>
      </c>
      <c r="H56" s="4" t="s">
        <v>437</v>
      </c>
      <c r="I56" s="4" t="s">
        <v>438</v>
      </c>
      <c r="J56" s="4"/>
      <c r="K56" s="6" t="s">
        <v>7</v>
      </c>
      <c r="L56" s="6"/>
      <c r="M56" s="4"/>
      <c r="N56" s="4"/>
    </row>
    <row r="57" spans="1:14" customHeight="1" ht="30">
      <c r="A57" s="9" t="s">
        <v>439</v>
      </c>
      <c r="B57" s="5" t="s">
        <v>291</v>
      </c>
      <c r="C57" s="5" t="s">
        <v>440</v>
      </c>
      <c r="D57" s="7" t="s">
        <v>441</v>
      </c>
      <c r="E57" s="5" t="s">
        <v>442</v>
      </c>
      <c r="F57" s="5" t="s">
        <v>443</v>
      </c>
      <c r="G57" s="7">
        <v>1</v>
      </c>
      <c r="H57" s="5" t="s">
        <v>444</v>
      </c>
      <c r="I57" s="5" t="s">
        <v>445</v>
      </c>
      <c r="J57" s="5"/>
      <c r="K57" s="7" t="s">
        <v>7</v>
      </c>
      <c r="L57" s="7"/>
      <c r="M57" s="5"/>
      <c r="N57" s="5"/>
    </row>
    <row r="58" spans="1:14" customHeight="1" ht="40">
      <c r="A58" s="9" t="s">
        <v>439</v>
      </c>
      <c r="B58" s="5" t="s">
        <v>291</v>
      </c>
      <c r="C58" s="5" t="s">
        <v>440</v>
      </c>
      <c r="D58" s="7" t="s">
        <v>441</v>
      </c>
      <c r="E58" s="5"/>
      <c r="F58" s="5"/>
      <c r="G58" s="7">
        <v>2</v>
      </c>
      <c r="H58" s="5" t="s">
        <v>446</v>
      </c>
      <c r="I58" s="5" t="s">
        <v>447</v>
      </c>
      <c r="J58" s="5"/>
      <c r="K58" s="7" t="s">
        <v>7</v>
      </c>
      <c r="L58" s="7"/>
      <c r="M58" s="5"/>
      <c r="N58" s="5"/>
    </row>
    <row r="59" spans="1:14" customHeight="1" ht="40">
      <c r="A59" s="9" t="s">
        <v>439</v>
      </c>
      <c r="B59" s="5" t="s">
        <v>291</v>
      </c>
      <c r="C59" s="5" t="s">
        <v>440</v>
      </c>
      <c r="D59" s="7" t="s">
        <v>441</v>
      </c>
      <c r="E59" s="5"/>
      <c r="F59" s="5"/>
      <c r="G59" s="7">
        <v>3</v>
      </c>
      <c r="H59" s="5" t="s">
        <v>448</v>
      </c>
      <c r="I59" s="5" t="s">
        <v>449</v>
      </c>
      <c r="J59" s="5"/>
      <c r="K59" s="7" t="s">
        <v>7</v>
      </c>
      <c r="L59" s="7"/>
      <c r="M59" s="5"/>
      <c r="N59" s="5"/>
    </row>
    <row r="60" spans="1:14" customHeight="1" ht="30">
      <c r="A60" s="9" t="s">
        <v>439</v>
      </c>
      <c r="B60" s="5" t="s">
        <v>291</v>
      </c>
      <c r="C60" s="5" t="s">
        <v>440</v>
      </c>
      <c r="D60" s="7" t="s">
        <v>441</v>
      </c>
      <c r="E60" s="5"/>
      <c r="F60" s="5"/>
      <c r="G60" s="7">
        <v>4</v>
      </c>
      <c r="H60" s="5" t="s">
        <v>450</v>
      </c>
      <c r="I60" s="5" t="s">
        <v>451</v>
      </c>
      <c r="J60" s="5"/>
      <c r="K60" s="7" t="s">
        <v>7</v>
      </c>
      <c r="L60" s="7"/>
      <c r="M60" s="5"/>
      <c r="N60" s="5"/>
    </row>
    <row r="61" spans="1:14" customHeight="1" ht="40">
      <c r="A61" s="8" t="s">
        <v>452</v>
      </c>
      <c r="B61" s="4" t="s">
        <v>291</v>
      </c>
      <c r="C61" s="4" t="s">
        <v>453</v>
      </c>
      <c r="D61" s="6" t="s">
        <v>322</v>
      </c>
      <c r="E61" s="4" t="s">
        <v>428</v>
      </c>
      <c r="F61" s="4" t="s">
        <v>454</v>
      </c>
      <c r="G61" s="6">
        <v>1</v>
      </c>
      <c r="H61" s="4" t="s">
        <v>455</v>
      </c>
      <c r="I61" s="4" t="s">
        <v>456</v>
      </c>
      <c r="J61" s="4"/>
      <c r="K61" s="6" t="s">
        <v>7</v>
      </c>
      <c r="L61" s="6"/>
      <c r="M61" s="4"/>
      <c r="N61" s="4"/>
    </row>
    <row r="62" spans="1:14" customHeight="1" ht="40">
      <c r="A62" s="8" t="s">
        <v>452</v>
      </c>
      <c r="B62" s="4" t="s">
        <v>291</v>
      </c>
      <c r="C62" s="4" t="s">
        <v>453</v>
      </c>
      <c r="D62" s="6" t="s">
        <v>322</v>
      </c>
      <c r="E62" s="4"/>
      <c r="F62" s="4"/>
      <c r="G62" s="6">
        <v>2</v>
      </c>
      <c r="H62" s="4" t="s">
        <v>457</v>
      </c>
      <c r="I62" s="4" t="s">
        <v>458</v>
      </c>
      <c r="J62" s="4"/>
      <c r="K62" s="6" t="s">
        <v>7</v>
      </c>
      <c r="L62" s="6"/>
      <c r="M62" s="4"/>
      <c r="N62" s="4"/>
    </row>
    <row r="63" spans="1:14" customHeight="1" ht="30">
      <c r="A63" s="8" t="s">
        <v>452</v>
      </c>
      <c r="B63" s="4" t="s">
        <v>291</v>
      </c>
      <c r="C63" s="4" t="s">
        <v>453</v>
      </c>
      <c r="D63" s="6" t="s">
        <v>322</v>
      </c>
      <c r="E63" s="4"/>
      <c r="F63" s="4"/>
      <c r="G63" s="6">
        <v>3</v>
      </c>
      <c r="H63" s="4" t="s">
        <v>459</v>
      </c>
      <c r="I63" s="4" t="s">
        <v>460</v>
      </c>
      <c r="J63" s="4"/>
      <c r="K63" s="6" t="s">
        <v>7</v>
      </c>
      <c r="L63" s="6"/>
      <c r="M63" s="4"/>
      <c r="N63" s="4"/>
    </row>
    <row r="64" spans="1:14" customHeight="1" ht="53">
      <c r="A64" s="8" t="s">
        <v>452</v>
      </c>
      <c r="B64" s="4" t="s">
        <v>291</v>
      </c>
      <c r="C64" s="4" t="s">
        <v>453</v>
      </c>
      <c r="D64" s="6" t="s">
        <v>322</v>
      </c>
      <c r="E64" s="4"/>
      <c r="F64" s="4"/>
      <c r="G64" s="6">
        <v>4</v>
      </c>
      <c r="H64" s="4" t="s">
        <v>461</v>
      </c>
      <c r="I64" s="4" t="s">
        <v>462</v>
      </c>
      <c r="J64" s="4"/>
      <c r="K64" s="6" t="s">
        <v>7</v>
      </c>
      <c r="L64" s="6"/>
      <c r="M64" s="4"/>
      <c r="N64" s="4"/>
    </row>
    <row r="65" spans="1:14" customHeight="1" ht="40">
      <c r="A65" s="8" t="s">
        <v>452</v>
      </c>
      <c r="B65" s="4" t="s">
        <v>291</v>
      </c>
      <c r="C65" s="4" t="s">
        <v>453</v>
      </c>
      <c r="D65" s="6" t="s">
        <v>322</v>
      </c>
      <c r="E65" s="4"/>
      <c r="F65" s="4"/>
      <c r="G65" s="6">
        <v>5</v>
      </c>
      <c r="H65" s="4" t="s">
        <v>463</v>
      </c>
      <c r="I65" s="4" t="s">
        <v>464</v>
      </c>
      <c r="J65" s="4"/>
      <c r="K65" s="6" t="s">
        <v>7</v>
      </c>
      <c r="L65" s="6"/>
      <c r="M65" s="4"/>
      <c r="N65" s="4"/>
    </row>
    <row r="66" spans="1:14" customHeight="1" ht="30">
      <c r="A66" s="8" t="s">
        <v>452</v>
      </c>
      <c r="B66" s="4" t="s">
        <v>291</v>
      </c>
      <c r="C66" s="4" t="s">
        <v>453</v>
      </c>
      <c r="D66" s="6" t="s">
        <v>322</v>
      </c>
      <c r="E66" s="4"/>
      <c r="F66" s="4"/>
      <c r="G66" s="6">
        <v>6</v>
      </c>
      <c r="H66" s="4" t="s">
        <v>465</v>
      </c>
      <c r="I66" s="4" t="s">
        <v>466</v>
      </c>
      <c r="J66" s="4"/>
      <c r="K66" s="6" t="s">
        <v>7</v>
      </c>
      <c r="L66" s="6"/>
      <c r="M66" s="4"/>
      <c r="N66" s="4"/>
    </row>
    <row r="67" spans="1:14" customHeight="1" ht="40">
      <c r="A67" s="9" t="s">
        <v>467</v>
      </c>
      <c r="B67" s="5" t="s">
        <v>291</v>
      </c>
      <c r="C67" s="5" t="s">
        <v>468</v>
      </c>
      <c r="D67" s="7" t="s">
        <v>309</v>
      </c>
      <c r="E67" s="5" t="s">
        <v>469</v>
      </c>
      <c r="F67" s="5" t="s">
        <v>470</v>
      </c>
      <c r="G67" s="7">
        <v>1</v>
      </c>
      <c r="H67" s="5" t="s">
        <v>471</v>
      </c>
      <c r="I67" s="5" t="s">
        <v>472</v>
      </c>
      <c r="J67" s="5"/>
      <c r="K67" s="7" t="s">
        <v>7</v>
      </c>
      <c r="L67" s="7"/>
      <c r="M67" s="5"/>
      <c r="N67" s="5"/>
    </row>
    <row r="68" spans="1:14" customHeight="1" ht="30">
      <c r="A68" s="9" t="s">
        <v>467</v>
      </c>
      <c r="B68" s="5" t="s">
        <v>291</v>
      </c>
      <c r="C68" s="5" t="s">
        <v>468</v>
      </c>
      <c r="D68" s="7" t="s">
        <v>309</v>
      </c>
      <c r="E68" s="5"/>
      <c r="F68" s="5"/>
      <c r="G68" s="7">
        <v>2</v>
      </c>
      <c r="H68" s="5" t="s">
        <v>473</v>
      </c>
      <c r="I68" s="5" t="s">
        <v>474</v>
      </c>
      <c r="J68" s="5"/>
      <c r="K68" s="7" t="s">
        <v>7</v>
      </c>
      <c r="L68" s="7"/>
      <c r="M68" s="5"/>
      <c r="N68" s="5"/>
    </row>
    <row r="69" spans="1:14" customHeight="1" ht="30">
      <c r="A69" s="9" t="s">
        <v>467</v>
      </c>
      <c r="B69" s="5" t="s">
        <v>291</v>
      </c>
      <c r="C69" s="5" t="s">
        <v>468</v>
      </c>
      <c r="D69" s="7" t="s">
        <v>309</v>
      </c>
      <c r="E69" s="5"/>
      <c r="F69" s="5"/>
      <c r="G69" s="7">
        <v>3</v>
      </c>
      <c r="H69" s="5" t="s">
        <v>475</v>
      </c>
      <c r="I69" s="5" t="s">
        <v>474</v>
      </c>
      <c r="J69" s="5"/>
      <c r="K69" s="7" t="s">
        <v>7</v>
      </c>
      <c r="L69" s="7"/>
      <c r="M69" s="5"/>
      <c r="N69" s="5"/>
    </row>
    <row r="70" spans="1:14" customHeight="1" ht="30">
      <c r="A70" s="9" t="s">
        <v>467</v>
      </c>
      <c r="B70" s="5" t="s">
        <v>291</v>
      </c>
      <c r="C70" s="5" t="s">
        <v>468</v>
      </c>
      <c r="D70" s="7" t="s">
        <v>309</v>
      </c>
      <c r="E70" s="5"/>
      <c r="F70" s="5"/>
      <c r="G70" s="7">
        <v>4</v>
      </c>
      <c r="H70" s="5" t="s">
        <v>476</v>
      </c>
      <c r="I70" s="5" t="s">
        <v>477</v>
      </c>
      <c r="J70" s="5"/>
      <c r="K70" s="7" t="s">
        <v>7</v>
      </c>
      <c r="L70" s="7"/>
      <c r="M70" s="5"/>
      <c r="N70" s="5"/>
    </row>
    <row r="71" spans="1:14" customHeight="1" ht="40">
      <c r="A71" s="9" t="s">
        <v>467</v>
      </c>
      <c r="B71" s="5" t="s">
        <v>291</v>
      </c>
      <c r="C71" s="5" t="s">
        <v>468</v>
      </c>
      <c r="D71" s="7" t="s">
        <v>309</v>
      </c>
      <c r="E71" s="5"/>
      <c r="F71" s="5"/>
      <c r="G71" s="7">
        <v>5</v>
      </c>
      <c r="H71" s="5" t="s">
        <v>478</v>
      </c>
      <c r="I71" s="5" t="s">
        <v>479</v>
      </c>
      <c r="J71" s="5"/>
      <c r="K71" s="7" t="s">
        <v>7</v>
      </c>
      <c r="L71" s="7"/>
      <c r="M71" s="5"/>
      <c r="N71" s="5"/>
    </row>
    <row r="72" spans="1:14" customHeight="1" ht="30">
      <c r="A72" s="9" t="s">
        <v>467</v>
      </c>
      <c r="B72" s="5" t="s">
        <v>291</v>
      </c>
      <c r="C72" s="5" t="s">
        <v>468</v>
      </c>
      <c r="D72" s="7" t="s">
        <v>309</v>
      </c>
      <c r="E72" s="5"/>
      <c r="F72" s="5"/>
      <c r="G72" s="7">
        <v>6</v>
      </c>
      <c r="H72" s="5" t="s">
        <v>480</v>
      </c>
      <c r="I72" s="5" t="s">
        <v>350</v>
      </c>
      <c r="J72" s="5"/>
      <c r="K72" s="7" t="s">
        <v>7</v>
      </c>
      <c r="L72" s="7"/>
      <c r="M72" s="5"/>
      <c r="N72" s="5"/>
    </row>
    <row r="73" spans="1:14" customHeight="1" ht="66">
      <c r="A73" s="9" t="s">
        <v>467</v>
      </c>
      <c r="B73" s="5" t="s">
        <v>291</v>
      </c>
      <c r="C73" s="5" t="s">
        <v>468</v>
      </c>
      <c r="D73" s="7" t="s">
        <v>309</v>
      </c>
      <c r="E73" s="5"/>
      <c r="F73" s="5"/>
      <c r="G73" s="7">
        <v>7</v>
      </c>
      <c r="H73" s="5" t="s">
        <v>481</v>
      </c>
      <c r="I73" s="5" t="s">
        <v>482</v>
      </c>
      <c r="J73" s="5"/>
      <c r="K73" s="7" t="s">
        <v>7</v>
      </c>
      <c r="L73" s="7"/>
      <c r="M73" s="5"/>
      <c r="N73" s="5"/>
    </row>
    <row r="74" spans="1:14" customHeight="1" ht="40">
      <c r="A74" s="9" t="s">
        <v>467</v>
      </c>
      <c r="B74" s="5" t="s">
        <v>291</v>
      </c>
      <c r="C74" s="5" t="s">
        <v>468</v>
      </c>
      <c r="D74" s="7" t="s">
        <v>309</v>
      </c>
      <c r="E74" s="5"/>
      <c r="F74" s="5"/>
      <c r="G74" s="7">
        <v>8</v>
      </c>
      <c r="H74" s="5" t="s">
        <v>483</v>
      </c>
      <c r="I74" s="5" t="s">
        <v>484</v>
      </c>
      <c r="J74" s="5"/>
      <c r="K74" s="7" t="s">
        <v>7</v>
      </c>
      <c r="L74" s="7"/>
      <c r="M74" s="5"/>
      <c r="N74" s="5"/>
    </row>
    <row r="75" spans="1:14" customHeight="1" ht="53">
      <c r="A75" s="8" t="s">
        <v>485</v>
      </c>
      <c r="B75" s="4" t="s">
        <v>291</v>
      </c>
      <c r="C75" s="4" t="s">
        <v>486</v>
      </c>
      <c r="D75" s="6" t="s">
        <v>441</v>
      </c>
      <c r="E75" s="4" t="s">
        <v>469</v>
      </c>
      <c r="F75" s="4" t="s">
        <v>487</v>
      </c>
      <c r="G75" s="6">
        <v>1</v>
      </c>
      <c r="H75" s="4" t="s">
        <v>488</v>
      </c>
      <c r="I75" s="4" t="s">
        <v>489</v>
      </c>
      <c r="J75" s="4"/>
      <c r="K75" s="6" t="s">
        <v>7</v>
      </c>
      <c r="L75" s="6"/>
      <c r="M75" s="4"/>
      <c r="N75" s="4"/>
    </row>
    <row r="76" spans="1:14" customHeight="1" ht="30">
      <c r="A76" s="8" t="s">
        <v>485</v>
      </c>
      <c r="B76" s="4" t="s">
        <v>291</v>
      </c>
      <c r="C76" s="4" t="s">
        <v>486</v>
      </c>
      <c r="D76" s="6" t="s">
        <v>441</v>
      </c>
      <c r="E76" s="4"/>
      <c r="F76" s="4"/>
      <c r="G76" s="6">
        <v>2</v>
      </c>
      <c r="H76" s="4" t="s">
        <v>490</v>
      </c>
      <c r="I76" s="4" t="s">
        <v>474</v>
      </c>
      <c r="J76" s="4"/>
      <c r="K76" s="6" t="s">
        <v>7</v>
      </c>
      <c r="L76" s="6"/>
      <c r="M76" s="4"/>
      <c r="N76" s="4"/>
    </row>
    <row r="77" spans="1:14" customHeight="1" ht="30">
      <c r="A77" s="8" t="s">
        <v>485</v>
      </c>
      <c r="B77" s="4" t="s">
        <v>291</v>
      </c>
      <c r="C77" s="4" t="s">
        <v>486</v>
      </c>
      <c r="D77" s="6" t="s">
        <v>441</v>
      </c>
      <c r="E77" s="4"/>
      <c r="F77" s="4"/>
      <c r="G77" s="6">
        <v>3</v>
      </c>
      <c r="H77" s="4" t="s">
        <v>491</v>
      </c>
      <c r="I77" s="4" t="s">
        <v>492</v>
      </c>
      <c r="J77" s="4"/>
      <c r="K77" s="6" t="s">
        <v>7</v>
      </c>
      <c r="L77" s="6"/>
      <c r="M77" s="4"/>
      <c r="N77" s="4"/>
    </row>
    <row r="78" spans="1:14" customHeight="1" ht="30">
      <c r="A78" s="8" t="s">
        <v>485</v>
      </c>
      <c r="B78" s="4" t="s">
        <v>291</v>
      </c>
      <c r="C78" s="4" t="s">
        <v>486</v>
      </c>
      <c r="D78" s="6" t="s">
        <v>441</v>
      </c>
      <c r="E78" s="4"/>
      <c r="F78" s="4"/>
      <c r="G78" s="6">
        <v>4</v>
      </c>
      <c r="H78" s="4" t="s">
        <v>493</v>
      </c>
      <c r="I78" s="4" t="s">
        <v>494</v>
      </c>
      <c r="J78" s="4"/>
      <c r="K78" s="6" t="s">
        <v>7</v>
      </c>
      <c r="L78" s="6"/>
      <c r="M78" s="4"/>
      <c r="N78" s="4"/>
    </row>
    <row r="79" spans="1:14" customHeight="1" ht="40">
      <c r="A79" s="8" t="s">
        <v>485</v>
      </c>
      <c r="B79" s="4" t="s">
        <v>291</v>
      </c>
      <c r="C79" s="4" t="s">
        <v>486</v>
      </c>
      <c r="D79" s="6" t="s">
        <v>441</v>
      </c>
      <c r="E79" s="4"/>
      <c r="F79" s="4"/>
      <c r="G79" s="6">
        <v>5</v>
      </c>
      <c r="H79" s="4" t="s">
        <v>495</v>
      </c>
      <c r="I79" s="4" t="s">
        <v>496</v>
      </c>
      <c r="J79" s="4"/>
      <c r="K79" s="6" t="s">
        <v>7</v>
      </c>
      <c r="L79" s="6"/>
      <c r="M79" s="4"/>
      <c r="N79" s="4"/>
    </row>
    <row r="80" spans="1:14" customHeight="1" ht="30">
      <c r="A80" s="8" t="s">
        <v>485</v>
      </c>
      <c r="B80" s="4" t="s">
        <v>291</v>
      </c>
      <c r="C80" s="4" t="s">
        <v>486</v>
      </c>
      <c r="D80" s="6" t="s">
        <v>441</v>
      </c>
      <c r="E80" s="4"/>
      <c r="F80" s="4"/>
      <c r="G80" s="6">
        <v>6</v>
      </c>
      <c r="H80" s="4" t="s">
        <v>497</v>
      </c>
      <c r="I80" s="4" t="s">
        <v>350</v>
      </c>
      <c r="J80" s="4"/>
      <c r="K80" s="6" t="s">
        <v>7</v>
      </c>
      <c r="L80" s="6"/>
      <c r="M80" s="4"/>
      <c r="N80" s="4"/>
    </row>
    <row r="81" spans="1:14" customHeight="1" ht="30">
      <c r="A81" s="8" t="s">
        <v>485</v>
      </c>
      <c r="B81" s="4" t="s">
        <v>291</v>
      </c>
      <c r="C81" s="4" t="s">
        <v>486</v>
      </c>
      <c r="D81" s="6" t="s">
        <v>441</v>
      </c>
      <c r="E81" s="4"/>
      <c r="F81" s="4"/>
      <c r="G81" s="6">
        <v>7</v>
      </c>
      <c r="H81" s="4" t="s">
        <v>498</v>
      </c>
      <c r="I81" s="4" t="s">
        <v>499</v>
      </c>
      <c r="J81" s="4"/>
      <c r="K81" s="6" t="s">
        <v>7</v>
      </c>
      <c r="L81" s="6"/>
      <c r="M81" s="4"/>
      <c r="N81" s="4"/>
    </row>
    <row r="82" spans="1:14" customHeight="1" ht="40">
      <c r="A82" s="9" t="s">
        <v>500</v>
      </c>
      <c r="B82" s="5" t="s">
        <v>291</v>
      </c>
      <c r="C82" s="5" t="s">
        <v>501</v>
      </c>
      <c r="D82" s="7" t="s">
        <v>309</v>
      </c>
      <c r="E82" s="5" t="s">
        <v>502</v>
      </c>
      <c r="F82" s="5" t="s">
        <v>503</v>
      </c>
      <c r="G82" s="7">
        <v>1</v>
      </c>
      <c r="H82" s="5" t="s">
        <v>504</v>
      </c>
      <c r="I82" s="5" t="s">
        <v>505</v>
      </c>
      <c r="J82" s="5"/>
      <c r="K82" s="7" t="s">
        <v>7</v>
      </c>
      <c r="L82" s="7"/>
      <c r="M82" s="5"/>
      <c r="N82" s="5"/>
    </row>
    <row r="83" spans="1:14" customHeight="1" ht="40">
      <c r="A83" s="9" t="s">
        <v>500</v>
      </c>
      <c r="B83" s="5" t="s">
        <v>291</v>
      </c>
      <c r="C83" s="5" t="s">
        <v>501</v>
      </c>
      <c r="D83" s="7" t="s">
        <v>309</v>
      </c>
      <c r="E83" s="5"/>
      <c r="F83" s="5"/>
      <c r="G83" s="7">
        <v>2</v>
      </c>
      <c r="H83" s="5" t="s">
        <v>506</v>
      </c>
      <c r="I83" s="5" t="s">
        <v>507</v>
      </c>
      <c r="J83" s="5"/>
      <c r="K83" s="7" t="s">
        <v>7</v>
      </c>
      <c r="L83" s="7"/>
      <c r="M83" s="5"/>
      <c r="N83" s="5"/>
    </row>
    <row r="84" spans="1:14" customHeight="1" ht="30">
      <c r="A84" s="9" t="s">
        <v>500</v>
      </c>
      <c r="B84" s="5" t="s">
        <v>291</v>
      </c>
      <c r="C84" s="5" t="s">
        <v>501</v>
      </c>
      <c r="D84" s="7" t="s">
        <v>309</v>
      </c>
      <c r="E84" s="5"/>
      <c r="F84" s="5"/>
      <c r="G84" s="7">
        <v>3</v>
      </c>
      <c r="H84" s="5" t="s">
        <v>508</v>
      </c>
      <c r="I84" s="5" t="s">
        <v>509</v>
      </c>
      <c r="J84" s="5"/>
      <c r="K84" s="7" t="s">
        <v>7</v>
      </c>
      <c r="L84" s="7"/>
      <c r="M84" s="5"/>
      <c r="N84" s="5"/>
    </row>
    <row r="85" spans="1:14" customHeight="1" ht="30">
      <c r="A85" s="9" t="s">
        <v>500</v>
      </c>
      <c r="B85" s="5" t="s">
        <v>291</v>
      </c>
      <c r="C85" s="5" t="s">
        <v>501</v>
      </c>
      <c r="D85" s="7" t="s">
        <v>309</v>
      </c>
      <c r="E85" s="5"/>
      <c r="F85" s="5"/>
      <c r="G85" s="7">
        <v>4</v>
      </c>
      <c r="H85" s="5" t="s">
        <v>510</v>
      </c>
      <c r="I85" s="5" t="s">
        <v>511</v>
      </c>
      <c r="J85" s="5"/>
      <c r="K85" s="7" t="s">
        <v>7</v>
      </c>
      <c r="L85" s="7"/>
      <c r="M85" s="5"/>
      <c r="N85" s="5"/>
    </row>
    <row r="86" spans="1:14" customHeight="1" ht="40">
      <c r="A86" s="8" t="s">
        <v>512</v>
      </c>
      <c r="B86" s="4" t="s">
        <v>291</v>
      </c>
      <c r="C86" s="4" t="s">
        <v>513</v>
      </c>
      <c r="D86" s="6" t="s">
        <v>514</v>
      </c>
      <c r="E86" s="4" t="s">
        <v>515</v>
      </c>
      <c r="F86" s="4" t="s">
        <v>516</v>
      </c>
      <c r="G86" s="6">
        <v>1</v>
      </c>
      <c r="H86" s="4" t="s">
        <v>517</v>
      </c>
      <c r="I86" s="4" t="s">
        <v>518</v>
      </c>
      <c r="J86" s="4"/>
      <c r="K86" s="6" t="s">
        <v>7</v>
      </c>
      <c r="L86" s="6"/>
      <c r="M86" s="4"/>
      <c r="N86" s="4"/>
    </row>
    <row r="87" spans="1:14" customHeight="1" ht="30">
      <c r="A87" s="8" t="s">
        <v>512</v>
      </c>
      <c r="B87" s="4" t="s">
        <v>291</v>
      </c>
      <c r="C87" s="4" t="s">
        <v>513</v>
      </c>
      <c r="D87" s="6" t="s">
        <v>514</v>
      </c>
      <c r="E87" s="4"/>
      <c r="F87" s="4"/>
      <c r="G87" s="6">
        <v>2</v>
      </c>
      <c r="H87" s="4" t="s">
        <v>519</v>
      </c>
      <c r="I87" s="4" t="s">
        <v>520</v>
      </c>
      <c r="J87" s="4"/>
      <c r="K87" s="6" t="s">
        <v>7</v>
      </c>
      <c r="L87" s="6"/>
      <c r="M87" s="4"/>
      <c r="N87" s="4"/>
    </row>
    <row r="88" spans="1:14" customHeight="1" ht="30">
      <c r="A88" s="8" t="s">
        <v>512</v>
      </c>
      <c r="B88" s="4" t="s">
        <v>291</v>
      </c>
      <c r="C88" s="4" t="s">
        <v>513</v>
      </c>
      <c r="D88" s="6" t="s">
        <v>514</v>
      </c>
      <c r="E88" s="4"/>
      <c r="F88" s="4"/>
      <c r="G88" s="6">
        <v>3</v>
      </c>
      <c r="H88" s="4" t="s">
        <v>521</v>
      </c>
      <c r="I88" s="4" t="s">
        <v>350</v>
      </c>
      <c r="J88" s="4"/>
      <c r="K88" s="6" t="s">
        <v>7</v>
      </c>
      <c r="L88" s="6"/>
      <c r="M88" s="4"/>
      <c r="N88" s="4"/>
    </row>
    <row r="89" spans="1:14" customHeight="1" ht="40">
      <c r="A89" s="8" t="s">
        <v>512</v>
      </c>
      <c r="B89" s="4" t="s">
        <v>291</v>
      </c>
      <c r="C89" s="4" t="s">
        <v>513</v>
      </c>
      <c r="D89" s="6" t="s">
        <v>514</v>
      </c>
      <c r="E89" s="4"/>
      <c r="F89" s="4"/>
      <c r="G89" s="6">
        <v>4</v>
      </c>
      <c r="H89" s="4" t="s">
        <v>522</v>
      </c>
      <c r="I89" s="4" t="s">
        <v>523</v>
      </c>
      <c r="J89" s="4"/>
      <c r="K89" s="6" t="s">
        <v>7</v>
      </c>
      <c r="L89" s="6"/>
      <c r="M89" s="4"/>
      <c r="N89" s="4"/>
    </row>
    <row r="90" spans="1:14" customHeight="1" ht="40">
      <c r="A90" s="9" t="s">
        <v>524</v>
      </c>
      <c r="B90" s="5" t="s">
        <v>291</v>
      </c>
      <c r="C90" s="5" t="s">
        <v>525</v>
      </c>
      <c r="D90" s="7" t="s">
        <v>441</v>
      </c>
      <c r="E90" s="5" t="s">
        <v>526</v>
      </c>
      <c r="F90" s="5" t="s">
        <v>527</v>
      </c>
      <c r="G90" s="7">
        <v>1</v>
      </c>
      <c r="H90" s="5" t="s">
        <v>528</v>
      </c>
      <c r="I90" s="5" t="s">
        <v>529</v>
      </c>
      <c r="J90" s="5"/>
      <c r="K90" s="7" t="s">
        <v>7</v>
      </c>
      <c r="L90" s="7"/>
      <c r="M90" s="5"/>
      <c r="N90" s="5"/>
    </row>
    <row r="91" spans="1:14" customHeight="1" ht="53">
      <c r="A91" s="9" t="s">
        <v>524</v>
      </c>
      <c r="B91" s="5" t="s">
        <v>291</v>
      </c>
      <c r="C91" s="5" t="s">
        <v>525</v>
      </c>
      <c r="D91" s="7" t="s">
        <v>441</v>
      </c>
      <c r="E91" s="5"/>
      <c r="F91" s="5"/>
      <c r="G91" s="7">
        <v>2</v>
      </c>
      <c r="H91" s="5" t="s">
        <v>530</v>
      </c>
      <c r="I91" s="5" t="s">
        <v>531</v>
      </c>
      <c r="J91" s="5"/>
      <c r="K91" s="7" t="s">
        <v>7</v>
      </c>
      <c r="L91" s="7"/>
      <c r="M91" s="5"/>
      <c r="N91" s="5"/>
    </row>
    <row r="92" spans="1:14" customHeight="1" ht="53">
      <c r="A92" s="9" t="s">
        <v>524</v>
      </c>
      <c r="B92" s="5" t="s">
        <v>291</v>
      </c>
      <c r="C92" s="5" t="s">
        <v>525</v>
      </c>
      <c r="D92" s="7" t="s">
        <v>441</v>
      </c>
      <c r="E92" s="5"/>
      <c r="F92" s="5"/>
      <c r="G92" s="7">
        <v>3</v>
      </c>
      <c r="H92" s="5" t="s">
        <v>532</v>
      </c>
      <c r="I92" s="5" t="s">
        <v>533</v>
      </c>
      <c r="J92" s="5"/>
      <c r="K92" s="7" t="s">
        <v>7</v>
      </c>
      <c r="L92" s="7"/>
      <c r="M92" s="5"/>
      <c r="N92" s="5"/>
    </row>
    <row r="93" spans="1:14" customHeight="1" ht="40">
      <c r="A93" s="9" t="s">
        <v>524</v>
      </c>
      <c r="B93" s="5" t="s">
        <v>291</v>
      </c>
      <c r="C93" s="5" t="s">
        <v>525</v>
      </c>
      <c r="D93" s="7" t="s">
        <v>441</v>
      </c>
      <c r="E93" s="5"/>
      <c r="F93" s="5"/>
      <c r="G93" s="7">
        <v>4</v>
      </c>
      <c r="H93" s="5" t="s">
        <v>534</v>
      </c>
      <c r="I93" s="5" t="s">
        <v>535</v>
      </c>
      <c r="J93" s="5"/>
      <c r="K93" s="7" t="s">
        <v>7</v>
      </c>
      <c r="L93" s="7"/>
      <c r="M93" s="5"/>
      <c r="N93" s="5"/>
    </row>
    <row r="94" spans="1:14" customHeight="1" ht="40">
      <c r="A94" s="8" t="s">
        <v>536</v>
      </c>
      <c r="B94" s="4" t="s">
        <v>291</v>
      </c>
      <c r="C94" s="4" t="s">
        <v>537</v>
      </c>
      <c r="D94" s="6" t="s">
        <v>441</v>
      </c>
      <c r="E94" s="4" t="s">
        <v>538</v>
      </c>
      <c r="F94" s="4" t="s">
        <v>527</v>
      </c>
      <c r="G94" s="6">
        <v>1</v>
      </c>
      <c r="H94" s="4" t="s">
        <v>539</v>
      </c>
      <c r="I94" s="4" t="s">
        <v>540</v>
      </c>
      <c r="J94" s="4"/>
      <c r="K94" s="6" t="s">
        <v>7</v>
      </c>
      <c r="L94" s="6"/>
      <c r="M94" s="4"/>
      <c r="N94" s="4"/>
    </row>
    <row r="95" spans="1:14" customHeight="1" ht="40">
      <c r="A95" s="8" t="s">
        <v>536</v>
      </c>
      <c r="B95" s="4" t="s">
        <v>291</v>
      </c>
      <c r="C95" s="4" t="s">
        <v>537</v>
      </c>
      <c r="D95" s="6" t="s">
        <v>441</v>
      </c>
      <c r="E95" s="4"/>
      <c r="F95" s="4"/>
      <c r="G95" s="6">
        <v>2</v>
      </c>
      <c r="H95" s="4" t="s">
        <v>541</v>
      </c>
      <c r="I95" s="4" t="s">
        <v>542</v>
      </c>
      <c r="J95" s="4"/>
      <c r="K95" s="6" t="s">
        <v>7</v>
      </c>
      <c r="L95" s="6"/>
      <c r="M95" s="4"/>
      <c r="N95" s="4"/>
    </row>
    <row r="96" spans="1:14" customHeight="1" ht="40">
      <c r="A96" s="8" t="s">
        <v>536</v>
      </c>
      <c r="B96" s="4" t="s">
        <v>291</v>
      </c>
      <c r="C96" s="4" t="s">
        <v>537</v>
      </c>
      <c r="D96" s="6" t="s">
        <v>441</v>
      </c>
      <c r="E96" s="4"/>
      <c r="F96" s="4"/>
      <c r="G96" s="6">
        <v>3</v>
      </c>
      <c r="H96" s="4" t="s">
        <v>543</v>
      </c>
      <c r="I96" s="4" t="s">
        <v>544</v>
      </c>
      <c r="J96" s="4"/>
      <c r="K96" s="6" t="s">
        <v>7</v>
      </c>
      <c r="L96" s="6"/>
      <c r="M96" s="4"/>
      <c r="N96" s="4"/>
    </row>
    <row r="97" spans="1:14" customHeight="1" ht="53">
      <c r="A97" s="8" t="s">
        <v>536</v>
      </c>
      <c r="B97" s="4" t="s">
        <v>291</v>
      </c>
      <c r="C97" s="4" t="s">
        <v>537</v>
      </c>
      <c r="D97" s="6" t="s">
        <v>441</v>
      </c>
      <c r="E97" s="4"/>
      <c r="F97" s="4"/>
      <c r="G97" s="6">
        <v>4</v>
      </c>
      <c r="H97" s="4" t="s">
        <v>545</v>
      </c>
      <c r="I97" s="4" t="s">
        <v>546</v>
      </c>
      <c r="J97" s="4"/>
      <c r="K97" s="6" t="s">
        <v>7</v>
      </c>
      <c r="L97" s="6"/>
      <c r="M97" s="4"/>
      <c r="N97" s="4"/>
    </row>
    <row r="98" spans="1:14" customHeight="1" ht="40">
      <c r="A98" s="8" t="s">
        <v>536</v>
      </c>
      <c r="B98" s="4" t="s">
        <v>291</v>
      </c>
      <c r="C98" s="4" t="s">
        <v>537</v>
      </c>
      <c r="D98" s="6" t="s">
        <v>441</v>
      </c>
      <c r="E98" s="4"/>
      <c r="F98" s="4"/>
      <c r="G98" s="6">
        <v>5</v>
      </c>
      <c r="H98" s="4" t="s">
        <v>547</v>
      </c>
      <c r="I98" s="4" t="s">
        <v>548</v>
      </c>
      <c r="J98" s="4"/>
      <c r="K98" s="6" t="s">
        <v>7</v>
      </c>
      <c r="L98" s="6"/>
      <c r="M98" s="4"/>
      <c r="N98" s="4"/>
    </row>
    <row r="99" spans="1:14" customHeight="1" ht="40">
      <c r="A99" s="9" t="s">
        <v>549</v>
      </c>
      <c r="B99" s="5" t="s">
        <v>291</v>
      </c>
      <c r="C99" s="5" t="s">
        <v>550</v>
      </c>
      <c r="D99" s="7" t="s">
        <v>441</v>
      </c>
      <c r="E99" s="5" t="s">
        <v>551</v>
      </c>
      <c r="F99" s="5" t="s">
        <v>552</v>
      </c>
      <c r="G99" s="7">
        <v>1</v>
      </c>
      <c r="H99" s="5" t="s">
        <v>553</v>
      </c>
      <c r="I99" s="5" t="s">
        <v>554</v>
      </c>
      <c r="J99" s="5"/>
      <c r="K99" s="7" t="s">
        <v>7</v>
      </c>
      <c r="L99" s="7"/>
      <c r="M99" s="5"/>
      <c r="N99" s="5"/>
    </row>
    <row r="100" spans="1:14" customHeight="1" ht="40">
      <c r="A100" s="9" t="s">
        <v>549</v>
      </c>
      <c r="B100" s="5" t="s">
        <v>291</v>
      </c>
      <c r="C100" s="5" t="s">
        <v>550</v>
      </c>
      <c r="D100" s="7" t="s">
        <v>441</v>
      </c>
      <c r="E100" s="5"/>
      <c r="F100" s="5"/>
      <c r="G100" s="7">
        <v>2</v>
      </c>
      <c r="H100" s="5" t="s">
        <v>555</v>
      </c>
      <c r="I100" s="5" t="s">
        <v>556</v>
      </c>
      <c r="J100" s="5"/>
      <c r="K100" s="7" t="s">
        <v>7</v>
      </c>
      <c r="L100" s="7"/>
      <c r="M100" s="5"/>
      <c r="N100" s="5"/>
    </row>
    <row r="101" spans="1:14" customHeight="1" ht="40">
      <c r="A101" s="9" t="s">
        <v>549</v>
      </c>
      <c r="B101" s="5" t="s">
        <v>291</v>
      </c>
      <c r="C101" s="5" t="s">
        <v>550</v>
      </c>
      <c r="D101" s="7" t="s">
        <v>441</v>
      </c>
      <c r="E101" s="5"/>
      <c r="F101" s="5"/>
      <c r="G101" s="7">
        <v>3</v>
      </c>
      <c r="H101" s="5" t="s">
        <v>557</v>
      </c>
      <c r="I101" s="5" t="s">
        <v>558</v>
      </c>
      <c r="J101" s="5"/>
      <c r="K101" s="7" t="s">
        <v>7</v>
      </c>
      <c r="L101" s="7"/>
      <c r="M101" s="5"/>
      <c r="N101" s="5"/>
    </row>
    <row r="102" spans="1:14" customHeight="1" ht="30">
      <c r="A102" s="9" t="s">
        <v>549</v>
      </c>
      <c r="B102" s="5" t="s">
        <v>291</v>
      </c>
      <c r="C102" s="5" t="s">
        <v>550</v>
      </c>
      <c r="D102" s="7" t="s">
        <v>441</v>
      </c>
      <c r="E102" s="5"/>
      <c r="F102" s="5"/>
      <c r="G102" s="7">
        <v>4</v>
      </c>
      <c r="H102" s="5" t="s">
        <v>559</v>
      </c>
      <c r="I102" s="5" t="s">
        <v>560</v>
      </c>
      <c r="J102" s="5"/>
      <c r="K102" s="7" t="s">
        <v>7</v>
      </c>
      <c r="L102" s="7"/>
      <c r="M102" s="5"/>
      <c r="N102" s="5"/>
    </row>
    <row r="103" spans="1:14" customHeight="1" ht="40">
      <c r="A103" s="8" t="s">
        <v>561</v>
      </c>
      <c r="B103" s="4" t="s">
        <v>291</v>
      </c>
      <c r="C103" s="4" t="s">
        <v>562</v>
      </c>
      <c r="D103" s="6" t="s">
        <v>322</v>
      </c>
      <c r="E103" s="4" t="s">
        <v>563</v>
      </c>
      <c r="F103" s="4" t="s">
        <v>564</v>
      </c>
      <c r="G103" s="6">
        <v>1</v>
      </c>
      <c r="H103" s="4" t="s">
        <v>565</v>
      </c>
      <c r="I103" s="4" t="s">
        <v>566</v>
      </c>
      <c r="J103" s="4"/>
      <c r="K103" s="6" t="s">
        <v>7</v>
      </c>
      <c r="L103" s="6"/>
      <c r="M103" s="4"/>
      <c r="N103" s="4"/>
    </row>
    <row r="104" spans="1:14" customHeight="1" ht="40">
      <c r="A104" s="8" t="s">
        <v>561</v>
      </c>
      <c r="B104" s="4" t="s">
        <v>291</v>
      </c>
      <c r="C104" s="4" t="s">
        <v>562</v>
      </c>
      <c r="D104" s="6" t="s">
        <v>322</v>
      </c>
      <c r="E104" s="4"/>
      <c r="F104" s="4"/>
      <c r="G104" s="6">
        <v>2</v>
      </c>
      <c r="H104" s="4" t="s">
        <v>567</v>
      </c>
      <c r="I104" s="4" t="s">
        <v>568</v>
      </c>
      <c r="J104" s="4"/>
      <c r="K104" s="6" t="s">
        <v>7</v>
      </c>
      <c r="L104" s="6"/>
      <c r="M104" s="4"/>
      <c r="N104" s="4"/>
    </row>
    <row r="105" spans="1:14" customHeight="1" ht="53">
      <c r="A105" s="8" t="s">
        <v>561</v>
      </c>
      <c r="B105" s="4" t="s">
        <v>291</v>
      </c>
      <c r="C105" s="4" t="s">
        <v>562</v>
      </c>
      <c r="D105" s="6" t="s">
        <v>322</v>
      </c>
      <c r="E105" s="4"/>
      <c r="F105" s="4"/>
      <c r="G105" s="6">
        <v>3</v>
      </c>
      <c r="H105" s="4" t="s">
        <v>569</v>
      </c>
      <c r="I105" s="4" t="s">
        <v>570</v>
      </c>
      <c r="J105" s="4"/>
      <c r="K105" s="6" t="s">
        <v>7</v>
      </c>
      <c r="L105" s="6"/>
      <c r="M105" s="4"/>
      <c r="N105" s="4"/>
    </row>
    <row r="106" spans="1:14" customHeight="1" ht="40">
      <c r="A106" s="8" t="s">
        <v>561</v>
      </c>
      <c r="B106" s="4" t="s">
        <v>291</v>
      </c>
      <c r="C106" s="4" t="s">
        <v>562</v>
      </c>
      <c r="D106" s="6" t="s">
        <v>322</v>
      </c>
      <c r="E106" s="4"/>
      <c r="F106" s="4"/>
      <c r="G106" s="6">
        <v>4</v>
      </c>
      <c r="H106" s="4" t="s">
        <v>571</v>
      </c>
      <c r="I106" s="4" t="s">
        <v>572</v>
      </c>
      <c r="J106" s="4"/>
      <c r="K106" s="6" t="s">
        <v>7</v>
      </c>
      <c r="L106" s="6"/>
      <c r="M106" s="4"/>
      <c r="N106" s="4"/>
    </row>
    <row r="107" spans="1:14" customHeight="1" ht="53">
      <c r="A107" s="9" t="s">
        <v>573</v>
      </c>
      <c r="B107" s="5" t="s">
        <v>291</v>
      </c>
      <c r="C107" s="5" t="s">
        <v>574</v>
      </c>
      <c r="D107" s="7" t="s">
        <v>309</v>
      </c>
      <c r="E107" s="5" t="s">
        <v>575</v>
      </c>
      <c r="F107" s="5" t="s">
        <v>576</v>
      </c>
      <c r="G107" s="7">
        <v>1</v>
      </c>
      <c r="H107" s="5" t="s">
        <v>577</v>
      </c>
      <c r="I107" s="5" t="s">
        <v>578</v>
      </c>
      <c r="J107" s="5"/>
      <c r="K107" s="7" t="s">
        <v>7</v>
      </c>
      <c r="L107" s="7"/>
      <c r="M107" s="5"/>
      <c r="N107" s="5"/>
    </row>
    <row r="108" spans="1:14" customHeight="1" ht="40">
      <c r="A108" s="9" t="s">
        <v>573</v>
      </c>
      <c r="B108" s="5" t="s">
        <v>291</v>
      </c>
      <c r="C108" s="5" t="s">
        <v>574</v>
      </c>
      <c r="D108" s="7" t="s">
        <v>309</v>
      </c>
      <c r="E108" s="5"/>
      <c r="F108" s="5"/>
      <c r="G108" s="7">
        <v>2</v>
      </c>
      <c r="H108" s="5" t="s">
        <v>579</v>
      </c>
      <c r="I108" s="5" t="s">
        <v>580</v>
      </c>
      <c r="J108" s="5"/>
      <c r="K108" s="7" t="s">
        <v>7</v>
      </c>
      <c r="L108" s="7"/>
      <c r="M108" s="5"/>
      <c r="N108" s="5"/>
    </row>
    <row r="109" spans="1:14" customHeight="1" ht="40">
      <c r="A109" s="9" t="s">
        <v>573</v>
      </c>
      <c r="B109" s="5" t="s">
        <v>291</v>
      </c>
      <c r="C109" s="5" t="s">
        <v>574</v>
      </c>
      <c r="D109" s="7" t="s">
        <v>309</v>
      </c>
      <c r="E109" s="5"/>
      <c r="F109" s="5"/>
      <c r="G109" s="7">
        <v>3</v>
      </c>
      <c r="H109" s="5" t="s">
        <v>581</v>
      </c>
      <c r="I109" s="5" t="s">
        <v>582</v>
      </c>
      <c r="J109" s="5"/>
      <c r="K109" s="7" t="s">
        <v>7</v>
      </c>
      <c r="L109" s="7"/>
      <c r="M109" s="5"/>
      <c r="N109" s="5"/>
    </row>
    <row r="110" spans="1:14" customHeight="1" ht="40">
      <c r="A110" s="9" t="s">
        <v>573</v>
      </c>
      <c r="B110" s="5" t="s">
        <v>291</v>
      </c>
      <c r="C110" s="5" t="s">
        <v>574</v>
      </c>
      <c r="D110" s="7" t="s">
        <v>309</v>
      </c>
      <c r="E110" s="5"/>
      <c r="F110" s="5"/>
      <c r="G110" s="7">
        <v>4</v>
      </c>
      <c r="H110" s="5" t="s">
        <v>583</v>
      </c>
      <c r="I110" s="5" t="s">
        <v>584</v>
      </c>
      <c r="J110" s="5"/>
      <c r="K110" s="7" t="s">
        <v>7</v>
      </c>
      <c r="L110" s="7"/>
      <c r="M110" s="5"/>
      <c r="N110" s="5"/>
    </row>
    <row r="111" spans="1:14" customHeight="1" ht="40">
      <c r="A111" s="9" t="s">
        <v>573</v>
      </c>
      <c r="B111" s="5" t="s">
        <v>291</v>
      </c>
      <c r="C111" s="5" t="s">
        <v>574</v>
      </c>
      <c r="D111" s="7" t="s">
        <v>309</v>
      </c>
      <c r="E111" s="5"/>
      <c r="F111" s="5"/>
      <c r="G111" s="7">
        <v>5</v>
      </c>
      <c r="H111" s="5" t="s">
        <v>585</v>
      </c>
      <c r="I111" s="5" t="s">
        <v>586</v>
      </c>
      <c r="J111" s="5"/>
      <c r="K111" s="7" t="s">
        <v>7</v>
      </c>
      <c r="L111" s="7"/>
      <c r="M111" s="5"/>
      <c r="N111" s="5"/>
    </row>
    <row r="112" spans="1:14" customHeight="1" ht="30">
      <c r="A112" s="8" t="s">
        <v>587</v>
      </c>
      <c r="B112" s="4" t="s">
        <v>291</v>
      </c>
      <c r="C112" s="4" t="s">
        <v>588</v>
      </c>
      <c r="D112" s="6" t="s">
        <v>322</v>
      </c>
      <c r="E112" s="4" t="s">
        <v>589</v>
      </c>
      <c r="F112" s="4" t="s">
        <v>590</v>
      </c>
      <c r="G112" s="6">
        <v>1</v>
      </c>
      <c r="H112" s="4" t="s">
        <v>591</v>
      </c>
      <c r="I112" s="4" t="s">
        <v>592</v>
      </c>
      <c r="J112" s="4"/>
      <c r="K112" s="6" t="s">
        <v>7</v>
      </c>
      <c r="L112" s="6"/>
      <c r="M112" s="4"/>
      <c r="N112" s="4"/>
    </row>
    <row r="113" spans="1:14" customHeight="1" ht="40">
      <c r="A113" s="8" t="s">
        <v>587</v>
      </c>
      <c r="B113" s="4" t="s">
        <v>291</v>
      </c>
      <c r="C113" s="4" t="s">
        <v>588</v>
      </c>
      <c r="D113" s="6" t="s">
        <v>322</v>
      </c>
      <c r="E113" s="4"/>
      <c r="F113" s="4"/>
      <c r="G113" s="6">
        <v>2</v>
      </c>
      <c r="H113" s="4" t="s">
        <v>593</v>
      </c>
      <c r="I113" s="4" t="s">
        <v>594</v>
      </c>
      <c r="J113" s="4"/>
      <c r="K113" s="6" t="s">
        <v>7</v>
      </c>
      <c r="L113" s="6"/>
      <c r="M113" s="4"/>
      <c r="N113" s="4"/>
    </row>
    <row r="114" spans="1:14" customHeight="1" ht="40">
      <c r="A114" s="8" t="s">
        <v>587</v>
      </c>
      <c r="B114" s="4" t="s">
        <v>291</v>
      </c>
      <c r="C114" s="4" t="s">
        <v>588</v>
      </c>
      <c r="D114" s="6" t="s">
        <v>322</v>
      </c>
      <c r="E114" s="4"/>
      <c r="F114" s="4"/>
      <c r="G114" s="6">
        <v>3</v>
      </c>
      <c r="H114" s="4" t="s">
        <v>595</v>
      </c>
      <c r="I114" s="4" t="s">
        <v>596</v>
      </c>
      <c r="J114" s="4"/>
      <c r="K114" s="6" t="s">
        <v>7</v>
      </c>
      <c r="L114" s="6"/>
      <c r="M114" s="4"/>
      <c r="N114" s="4"/>
    </row>
    <row r="115" spans="1:14" customHeight="1" ht="40">
      <c r="A115" s="8" t="s">
        <v>587</v>
      </c>
      <c r="B115" s="4" t="s">
        <v>291</v>
      </c>
      <c r="C115" s="4" t="s">
        <v>588</v>
      </c>
      <c r="D115" s="6" t="s">
        <v>322</v>
      </c>
      <c r="E115" s="4"/>
      <c r="F115" s="4"/>
      <c r="G115" s="6">
        <v>4</v>
      </c>
      <c r="H115" s="4" t="s">
        <v>597</v>
      </c>
      <c r="I115" s="4" t="s">
        <v>598</v>
      </c>
      <c r="J115" s="4"/>
      <c r="K115" s="6" t="s">
        <v>7</v>
      </c>
      <c r="L115" s="6"/>
      <c r="M115" s="4"/>
      <c r="N115" s="4"/>
    </row>
    <row r="116" spans="1:14" customHeight="1" ht="40">
      <c r="A116" s="8" t="s">
        <v>587</v>
      </c>
      <c r="B116" s="4" t="s">
        <v>291</v>
      </c>
      <c r="C116" s="4" t="s">
        <v>588</v>
      </c>
      <c r="D116" s="6" t="s">
        <v>322</v>
      </c>
      <c r="E116" s="4"/>
      <c r="F116" s="4"/>
      <c r="G116" s="6">
        <v>5</v>
      </c>
      <c r="H116" s="4" t="s">
        <v>599</v>
      </c>
      <c r="I116" s="4" t="s">
        <v>600</v>
      </c>
      <c r="J116" s="4"/>
      <c r="K116" s="6" t="s">
        <v>7</v>
      </c>
      <c r="L116" s="6"/>
      <c r="M116" s="4"/>
      <c r="N116" s="4"/>
    </row>
    <row r="117" spans="1:14" customHeight="1" ht="40">
      <c r="A117" s="9" t="s">
        <v>601</v>
      </c>
      <c r="B117" s="5" t="s">
        <v>291</v>
      </c>
      <c r="C117" s="5" t="s">
        <v>602</v>
      </c>
      <c r="D117" s="7" t="s">
        <v>322</v>
      </c>
      <c r="E117" s="5" t="s">
        <v>603</v>
      </c>
      <c r="F117" s="5" t="s">
        <v>604</v>
      </c>
      <c r="G117" s="7">
        <v>1</v>
      </c>
      <c r="H117" s="5" t="s">
        <v>605</v>
      </c>
      <c r="I117" s="5" t="s">
        <v>606</v>
      </c>
      <c r="J117" s="5"/>
      <c r="K117" s="7" t="s">
        <v>7</v>
      </c>
      <c r="L117" s="7"/>
      <c r="M117" s="5"/>
      <c r="N117" s="5"/>
    </row>
    <row r="118" spans="1:14" customHeight="1" ht="53">
      <c r="A118" s="9" t="s">
        <v>601</v>
      </c>
      <c r="B118" s="5" t="s">
        <v>291</v>
      </c>
      <c r="C118" s="5" t="s">
        <v>602</v>
      </c>
      <c r="D118" s="7" t="s">
        <v>322</v>
      </c>
      <c r="E118" s="5"/>
      <c r="F118" s="5"/>
      <c r="G118" s="7">
        <v>2</v>
      </c>
      <c r="H118" s="5" t="s">
        <v>607</v>
      </c>
      <c r="I118" s="5" t="s">
        <v>608</v>
      </c>
      <c r="J118" s="5"/>
      <c r="K118" s="7" t="s">
        <v>7</v>
      </c>
      <c r="L118" s="7"/>
      <c r="M118" s="5"/>
      <c r="N118" s="5"/>
    </row>
    <row r="119" spans="1:14" customHeight="1" ht="40">
      <c r="A119" s="9" t="s">
        <v>601</v>
      </c>
      <c r="B119" s="5" t="s">
        <v>291</v>
      </c>
      <c r="C119" s="5" t="s">
        <v>602</v>
      </c>
      <c r="D119" s="7" t="s">
        <v>322</v>
      </c>
      <c r="E119" s="5"/>
      <c r="F119" s="5"/>
      <c r="G119" s="7">
        <v>3</v>
      </c>
      <c r="H119" s="5" t="s">
        <v>609</v>
      </c>
      <c r="I119" s="5" t="s">
        <v>610</v>
      </c>
      <c r="J119" s="5"/>
      <c r="K119" s="7" t="s">
        <v>7</v>
      </c>
      <c r="L119" s="7"/>
      <c r="M119" s="5"/>
      <c r="N119" s="5"/>
    </row>
    <row r="120" spans="1:14" customHeight="1" ht="40">
      <c r="A120" s="9" t="s">
        <v>601</v>
      </c>
      <c r="B120" s="5" t="s">
        <v>291</v>
      </c>
      <c r="C120" s="5" t="s">
        <v>602</v>
      </c>
      <c r="D120" s="7" t="s">
        <v>322</v>
      </c>
      <c r="E120" s="5"/>
      <c r="F120" s="5"/>
      <c r="G120" s="7">
        <v>4</v>
      </c>
      <c r="H120" s="5" t="s">
        <v>611</v>
      </c>
      <c r="I120" s="5" t="s">
        <v>612</v>
      </c>
      <c r="J120" s="5"/>
      <c r="K120" s="7" t="s">
        <v>7</v>
      </c>
      <c r="L120" s="7"/>
      <c r="M120" s="5"/>
      <c r="N120" s="5"/>
    </row>
    <row r="121" spans="1:14" customHeight="1" ht="40">
      <c r="A121" s="9" t="s">
        <v>601</v>
      </c>
      <c r="B121" s="5" t="s">
        <v>291</v>
      </c>
      <c r="C121" s="5" t="s">
        <v>602</v>
      </c>
      <c r="D121" s="7" t="s">
        <v>322</v>
      </c>
      <c r="E121" s="5"/>
      <c r="F121" s="5"/>
      <c r="G121" s="7">
        <v>5</v>
      </c>
      <c r="H121" s="5" t="s">
        <v>613</v>
      </c>
      <c r="I121" s="5" t="s">
        <v>614</v>
      </c>
      <c r="J121" s="5"/>
      <c r="K121" s="7" t="s">
        <v>7</v>
      </c>
      <c r="L121" s="7"/>
      <c r="M121" s="5"/>
      <c r="N121" s="5"/>
    </row>
  </sheetData>
  <autoFilter ref="A3:N121"/>
  <mergeCells>
    <mergeCell ref="A1:N1"/>
    <mergeCell ref="A2:N2"/>
  </mergeCells>
  <conditionalFormatting sqref="K4:K121">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121">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121">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121">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121">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57"/>
  <sheetViews>
    <sheetView tabSelected="0" workbookViewId="0" showGridLines="true" showRowColHeaders="1">
      <pane xSplit="2" ySplit="3" topLeftCell="C4" activePane="bottomRight" state="frozen"/>
      <selection pane="topRight"/>
      <selection pane="bottomLeft"/>
      <selection pane="bottomRight" activeCell="L4" sqref="L4:L57"/>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615</v>
      </c>
    </row>
    <row r="2" spans="1:14" customHeight="1" ht="30">
      <c r="A2" s="2" t="s">
        <v>616</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617</v>
      </c>
      <c r="B4" s="4" t="s">
        <v>615</v>
      </c>
      <c r="C4" s="4" t="s">
        <v>618</v>
      </c>
      <c r="D4" s="6" t="s">
        <v>322</v>
      </c>
      <c r="E4" s="4" t="s">
        <v>619</v>
      </c>
      <c r="F4" s="4" t="s">
        <v>389</v>
      </c>
      <c r="G4" s="6">
        <v>1</v>
      </c>
      <c r="H4" s="4" t="s">
        <v>620</v>
      </c>
      <c r="I4" s="4" t="s">
        <v>621</v>
      </c>
      <c r="J4" s="4"/>
      <c r="K4" s="6" t="s">
        <v>7</v>
      </c>
      <c r="L4" s="6"/>
      <c r="M4" s="4"/>
      <c r="N4" s="4"/>
    </row>
    <row r="5" spans="1:14" customHeight="1" ht="30">
      <c r="A5" s="8" t="s">
        <v>617</v>
      </c>
      <c r="B5" s="4" t="s">
        <v>615</v>
      </c>
      <c r="C5" s="4" t="s">
        <v>618</v>
      </c>
      <c r="D5" s="6" t="s">
        <v>322</v>
      </c>
      <c r="E5" s="4"/>
      <c r="F5" s="4"/>
      <c r="G5" s="6">
        <v>2</v>
      </c>
      <c r="H5" s="4" t="s">
        <v>622</v>
      </c>
      <c r="I5" s="4" t="s">
        <v>623</v>
      </c>
      <c r="J5" s="4"/>
      <c r="K5" s="6" t="s">
        <v>7</v>
      </c>
      <c r="L5" s="6"/>
      <c r="M5" s="4"/>
      <c r="N5" s="4"/>
    </row>
    <row r="6" spans="1:14" customHeight="1" ht="30">
      <c r="A6" s="8" t="s">
        <v>617</v>
      </c>
      <c r="B6" s="4" t="s">
        <v>615</v>
      </c>
      <c r="C6" s="4" t="s">
        <v>618</v>
      </c>
      <c r="D6" s="6" t="s">
        <v>322</v>
      </c>
      <c r="E6" s="4"/>
      <c r="F6" s="4"/>
      <c r="G6" s="6">
        <v>3</v>
      </c>
      <c r="H6" s="4" t="s">
        <v>624</v>
      </c>
      <c r="I6" s="4" t="s">
        <v>625</v>
      </c>
      <c r="J6" s="4"/>
      <c r="K6" s="6" t="s">
        <v>7</v>
      </c>
      <c r="L6" s="6"/>
      <c r="M6" s="4"/>
      <c r="N6" s="4"/>
    </row>
    <row r="7" spans="1:14" customHeight="1" ht="30">
      <c r="A7" s="8" t="s">
        <v>617</v>
      </c>
      <c r="B7" s="4" t="s">
        <v>615</v>
      </c>
      <c r="C7" s="4" t="s">
        <v>618</v>
      </c>
      <c r="D7" s="6" t="s">
        <v>322</v>
      </c>
      <c r="E7" s="4"/>
      <c r="F7" s="4"/>
      <c r="G7" s="6">
        <v>4</v>
      </c>
      <c r="H7" s="4" t="s">
        <v>626</v>
      </c>
      <c r="I7" s="4" t="s">
        <v>627</v>
      </c>
      <c r="J7" s="4"/>
      <c r="K7" s="6" t="s">
        <v>7</v>
      </c>
      <c r="L7" s="6"/>
      <c r="M7" s="4"/>
      <c r="N7" s="4"/>
    </row>
    <row r="8" spans="1:14" customHeight="1" ht="30">
      <c r="A8" s="8" t="s">
        <v>617</v>
      </c>
      <c r="B8" s="4" t="s">
        <v>615</v>
      </c>
      <c r="C8" s="4" t="s">
        <v>618</v>
      </c>
      <c r="D8" s="6" t="s">
        <v>322</v>
      </c>
      <c r="E8" s="4"/>
      <c r="F8" s="4"/>
      <c r="G8" s="6">
        <v>5</v>
      </c>
      <c r="H8" s="4" t="s">
        <v>628</v>
      </c>
      <c r="I8" s="4" t="s">
        <v>629</v>
      </c>
      <c r="J8" s="4"/>
      <c r="K8" s="6" t="s">
        <v>7</v>
      </c>
      <c r="L8" s="6"/>
      <c r="M8" s="4"/>
      <c r="N8" s="4"/>
    </row>
    <row r="9" spans="1:14" customHeight="1" ht="30">
      <c r="A9" s="8" t="s">
        <v>617</v>
      </c>
      <c r="B9" s="4" t="s">
        <v>615</v>
      </c>
      <c r="C9" s="4" t="s">
        <v>618</v>
      </c>
      <c r="D9" s="6" t="s">
        <v>322</v>
      </c>
      <c r="E9" s="4"/>
      <c r="F9" s="4"/>
      <c r="G9" s="6">
        <v>6</v>
      </c>
      <c r="H9" s="4" t="s">
        <v>630</v>
      </c>
      <c r="I9" s="4" t="s">
        <v>631</v>
      </c>
      <c r="J9" s="4"/>
      <c r="K9" s="6" t="s">
        <v>7</v>
      </c>
      <c r="L9" s="6"/>
      <c r="M9" s="4"/>
      <c r="N9" s="4"/>
    </row>
    <row r="10" spans="1:14" customHeight="1" ht="30">
      <c r="A10" s="8" t="s">
        <v>617</v>
      </c>
      <c r="B10" s="4" t="s">
        <v>615</v>
      </c>
      <c r="C10" s="4" t="s">
        <v>618</v>
      </c>
      <c r="D10" s="6" t="s">
        <v>322</v>
      </c>
      <c r="E10" s="4"/>
      <c r="F10" s="4"/>
      <c r="G10" s="6">
        <v>7</v>
      </c>
      <c r="H10" s="4" t="s">
        <v>632</v>
      </c>
      <c r="I10" s="4" t="s">
        <v>633</v>
      </c>
      <c r="J10" s="4"/>
      <c r="K10" s="6" t="s">
        <v>7</v>
      </c>
      <c r="L10" s="6"/>
      <c r="M10" s="4"/>
      <c r="N10" s="4"/>
    </row>
    <row r="11" spans="1:14" customHeight="1" ht="30">
      <c r="A11" s="8" t="s">
        <v>617</v>
      </c>
      <c r="B11" s="4" t="s">
        <v>615</v>
      </c>
      <c r="C11" s="4" t="s">
        <v>618</v>
      </c>
      <c r="D11" s="6" t="s">
        <v>322</v>
      </c>
      <c r="E11" s="4"/>
      <c r="F11" s="4"/>
      <c r="G11" s="6">
        <v>8</v>
      </c>
      <c r="H11" s="4" t="s">
        <v>634</v>
      </c>
      <c r="I11" s="4" t="s">
        <v>635</v>
      </c>
      <c r="J11" s="4"/>
      <c r="K11" s="6" t="s">
        <v>7</v>
      </c>
      <c r="L11" s="6"/>
      <c r="M11" s="4"/>
      <c r="N11" s="4"/>
    </row>
    <row r="12" spans="1:14" customHeight="1" ht="30">
      <c r="A12" s="8" t="s">
        <v>617</v>
      </c>
      <c r="B12" s="4" t="s">
        <v>615</v>
      </c>
      <c r="C12" s="4" t="s">
        <v>618</v>
      </c>
      <c r="D12" s="6" t="s">
        <v>322</v>
      </c>
      <c r="E12" s="4"/>
      <c r="F12" s="4"/>
      <c r="G12" s="6">
        <v>9</v>
      </c>
      <c r="H12" s="4" t="s">
        <v>636</v>
      </c>
      <c r="I12" s="4" t="s">
        <v>401</v>
      </c>
      <c r="J12" s="4"/>
      <c r="K12" s="6" t="s">
        <v>7</v>
      </c>
      <c r="L12" s="6"/>
      <c r="M12" s="4"/>
      <c r="N12" s="4"/>
    </row>
    <row r="13" spans="1:14" customHeight="1" ht="40">
      <c r="A13" s="8" t="s">
        <v>617</v>
      </c>
      <c r="B13" s="4" t="s">
        <v>615</v>
      </c>
      <c r="C13" s="4" t="s">
        <v>618</v>
      </c>
      <c r="D13" s="6" t="s">
        <v>322</v>
      </c>
      <c r="E13" s="4"/>
      <c r="F13" s="4"/>
      <c r="G13" s="6">
        <v>10</v>
      </c>
      <c r="H13" s="4" t="s">
        <v>637</v>
      </c>
      <c r="I13" s="4" t="s">
        <v>638</v>
      </c>
      <c r="J13" s="4"/>
      <c r="K13" s="6" t="s">
        <v>7</v>
      </c>
      <c r="L13" s="6"/>
      <c r="M13" s="4"/>
      <c r="N13" s="4"/>
    </row>
    <row r="14" spans="1:14" customHeight="1" ht="53">
      <c r="A14" s="8" t="s">
        <v>617</v>
      </c>
      <c r="B14" s="4" t="s">
        <v>615</v>
      </c>
      <c r="C14" s="4" t="s">
        <v>618</v>
      </c>
      <c r="D14" s="6" t="s">
        <v>322</v>
      </c>
      <c r="E14" s="4"/>
      <c r="F14" s="4"/>
      <c r="G14" s="6">
        <v>11</v>
      </c>
      <c r="H14" s="4" t="s">
        <v>639</v>
      </c>
      <c r="I14" s="4" t="s">
        <v>640</v>
      </c>
      <c r="J14" s="4"/>
      <c r="K14" s="6" t="s">
        <v>7</v>
      </c>
      <c r="L14" s="6"/>
      <c r="M14" s="4"/>
      <c r="N14" s="4"/>
    </row>
    <row r="15" spans="1:14" customHeight="1" ht="30">
      <c r="A15" s="9" t="s">
        <v>641</v>
      </c>
      <c r="B15" s="5" t="s">
        <v>615</v>
      </c>
      <c r="C15" s="5" t="s">
        <v>642</v>
      </c>
      <c r="D15" s="7" t="s">
        <v>309</v>
      </c>
      <c r="E15" s="5" t="s">
        <v>619</v>
      </c>
      <c r="F15" s="5" t="s">
        <v>643</v>
      </c>
      <c r="G15" s="7">
        <v>1</v>
      </c>
      <c r="H15" s="5" t="s">
        <v>644</v>
      </c>
      <c r="I15" s="5" t="s">
        <v>645</v>
      </c>
      <c r="J15" s="5"/>
      <c r="K15" s="7" t="s">
        <v>7</v>
      </c>
      <c r="L15" s="7"/>
      <c r="M15" s="5"/>
      <c r="N15" s="5"/>
    </row>
    <row r="16" spans="1:14" customHeight="1" ht="30">
      <c r="A16" s="9" t="s">
        <v>641</v>
      </c>
      <c r="B16" s="5" t="s">
        <v>615</v>
      </c>
      <c r="C16" s="5" t="s">
        <v>642</v>
      </c>
      <c r="D16" s="7" t="s">
        <v>309</v>
      </c>
      <c r="E16" s="5"/>
      <c r="F16" s="5"/>
      <c r="G16" s="7">
        <v>2</v>
      </c>
      <c r="H16" s="5" t="s">
        <v>646</v>
      </c>
      <c r="I16" s="5" t="s">
        <v>647</v>
      </c>
      <c r="J16" s="5"/>
      <c r="K16" s="7" t="s">
        <v>7</v>
      </c>
      <c r="L16" s="7"/>
      <c r="M16" s="5"/>
      <c r="N16" s="5"/>
    </row>
    <row r="17" spans="1:14" customHeight="1" ht="30">
      <c r="A17" s="9" t="s">
        <v>641</v>
      </c>
      <c r="B17" s="5" t="s">
        <v>615</v>
      </c>
      <c r="C17" s="5" t="s">
        <v>642</v>
      </c>
      <c r="D17" s="7" t="s">
        <v>309</v>
      </c>
      <c r="E17" s="5"/>
      <c r="F17" s="5"/>
      <c r="G17" s="7">
        <v>3</v>
      </c>
      <c r="H17" s="5" t="s">
        <v>648</v>
      </c>
      <c r="I17" s="5" t="s">
        <v>649</v>
      </c>
      <c r="J17" s="5"/>
      <c r="K17" s="7" t="s">
        <v>7</v>
      </c>
      <c r="L17" s="7"/>
      <c r="M17" s="5"/>
      <c r="N17" s="5"/>
    </row>
    <row r="18" spans="1:14" customHeight="1" ht="30">
      <c r="A18" s="9" t="s">
        <v>641</v>
      </c>
      <c r="B18" s="5" t="s">
        <v>615</v>
      </c>
      <c r="C18" s="5" t="s">
        <v>642</v>
      </c>
      <c r="D18" s="7" t="s">
        <v>309</v>
      </c>
      <c r="E18" s="5"/>
      <c r="F18" s="5"/>
      <c r="G18" s="7">
        <v>4</v>
      </c>
      <c r="H18" s="5" t="s">
        <v>650</v>
      </c>
      <c r="I18" s="5" t="s">
        <v>651</v>
      </c>
      <c r="J18" s="5"/>
      <c r="K18" s="7" t="s">
        <v>7</v>
      </c>
      <c r="L18" s="7"/>
      <c r="M18" s="5"/>
      <c r="N18" s="5"/>
    </row>
    <row r="19" spans="1:14" customHeight="1" ht="53">
      <c r="A19" s="9" t="s">
        <v>641</v>
      </c>
      <c r="B19" s="5" t="s">
        <v>615</v>
      </c>
      <c r="C19" s="5" t="s">
        <v>642</v>
      </c>
      <c r="D19" s="7" t="s">
        <v>309</v>
      </c>
      <c r="E19" s="5"/>
      <c r="F19" s="5"/>
      <c r="G19" s="7">
        <v>5</v>
      </c>
      <c r="H19" s="5" t="s">
        <v>652</v>
      </c>
      <c r="I19" s="5" t="s">
        <v>653</v>
      </c>
      <c r="J19" s="5"/>
      <c r="K19" s="7" t="s">
        <v>7</v>
      </c>
      <c r="L19" s="7"/>
      <c r="M19" s="5"/>
      <c r="N19" s="5"/>
    </row>
    <row r="20" spans="1:14" customHeight="1" ht="30">
      <c r="A20" s="8" t="s">
        <v>654</v>
      </c>
      <c r="B20" s="4" t="s">
        <v>615</v>
      </c>
      <c r="C20" s="4" t="s">
        <v>655</v>
      </c>
      <c r="D20" s="6" t="s">
        <v>309</v>
      </c>
      <c r="E20" s="4" t="s">
        <v>619</v>
      </c>
      <c r="F20" s="4" t="s">
        <v>656</v>
      </c>
      <c r="G20" s="6">
        <v>1</v>
      </c>
      <c r="H20" s="4" t="s">
        <v>657</v>
      </c>
      <c r="I20" s="4" t="s">
        <v>658</v>
      </c>
      <c r="J20" s="4"/>
      <c r="K20" s="6" t="s">
        <v>7</v>
      </c>
      <c r="L20" s="6"/>
      <c r="M20" s="4"/>
      <c r="N20" s="4"/>
    </row>
    <row r="21" spans="1:14" customHeight="1" ht="30">
      <c r="A21" s="8" t="s">
        <v>654</v>
      </c>
      <c r="B21" s="4" t="s">
        <v>615</v>
      </c>
      <c r="C21" s="4" t="s">
        <v>655</v>
      </c>
      <c r="D21" s="6" t="s">
        <v>309</v>
      </c>
      <c r="E21" s="4"/>
      <c r="F21" s="4"/>
      <c r="G21" s="6">
        <v>2</v>
      </c>
      <c r="H21" s="4" t="s">
        <v>659</v>
      </c>
      <c r="I21" s="4" t="s">
        <v>660</v>
      </c>
      <c r="J21" s="4"/>
      <c r="K21" s="6" t="s">
        <v>7</v>
      </c>
      <c r="L21" s="6"/>
      <c r="M21" s="4"/>
      <c r="N21" s="4"/>
    </row>
    <row r="22" spans="1:14" customHeight="1" ht="53">
      <c r="A22" s="8" t="s">
        <v>654</v>
      </c>
      <c r="B22" s="4" t="s">
        <v>615</v>
      </c>
      <c r="C22" s="4" t="s">
        <v>655</v>
      </c>
      <c r="D22" s="6" t="s">
        <v>309</v>
      </c>
      <c r="E22" s="4"/>
      <c r="F22" s="4"/>
      <c r="G22" s="6">
        <v>3</v>
      </c>
      <c r="H22" s="4" t="s">
        <v>661</v>
      </c>
      <c r="I22" s="4" t="s">
        <v>662</v>
      </c>
      <c r="J22" s="4"/>
      <c r="K22" s="6" t="s">
        <v>7</v>
      </c>
      <c r="L22" s="6"/>
      <c r="M22" s="4"/>
      <c r="N22" s="4"/>
    </row>
    <row r="23" spans="1:14" customHeight="1" ht="40">
      <c r="A23" s="8" t="s">
        <v>654</v>
      </c>
      <c r="B23" s="4" t="s">
        <v>615</v>
      </c>
      <c r="C23" s="4" t="s">
        <v>655</v>
      </c>
      <c r="D23" s="6" t="s">
        <v>309</v>
      </c>
      <c r="E23" s="4"/>
      <c r="F23" s="4"/>
      <c r="G23" s="6">
        <v>4</v>
      </c>
      <c r="H23" s="4" t="s">
        <v>663</v>
      </c>
      <c r="I23" s="4" t="s">
        <v>664</v>
      </c>
      <c r="J23" s="4"/>
      <c r="K23" s="6" t="s">
        <v>7</v>
      </c>
      <c r="L23" s="6"/>
      <c r="M23" s="4"/>
      <c r="N23" s="4"/>
    </row>
    <row r="24" spans="1:14" customHeight="1" ht="30">
      <c r="A24" s="8" t="s">
        <v>654</v>
      </c>
      <c r="B24" s="4" t="s">
        <v>615</v>
      </c>
      <c r="C24" s="4" t="s">
        <v>655</v>
      </c>
      <c r="D24" s="6" t="s">
        <v>309</v>
      </c>
      <c r="E24" s="4"/>
      <c r="F24" s="4"/>
      <c r="G24" s="6">
        <v>5</v>
      </c>
      <c r="H24" s="4" t="s">
        <v>665</v>
      </c>
      <c r="I24" s="4" t="s">
        <v>666</v>
      </c>
      <c r="J24" s="4"/>
      <c r="K24" s="6" t="s">
        <v>7</v>
      </c>
      <c r="L24" s="6"/>
      <c r="M24" s="4"/>
      <c r="N24" s="4"/>
    </row>
    <row r="25" spans="1:14" customHeight="1" ht="40">
      <c r="A25" s="9" t="s">
        <v>667</v>
      </c>
      <c r="B25" s="5" t="s">
        <v>615</v>
      </c>
      <c r="C25" s="5" t="s">
        <v>668</v>
      </c>
      <c r="D25" s="7" t="s">
        <v>309</v>
      </c>
      <c r="E25" s="5" t="s">
        <v>619</v>
      </c>
      <c r="F25" s="5" t="s">
        <v>669</v>
      </c>
      <c r="G25" s="7">
        <v>1</v>
      </c>
      <c r="H25" s="5" t="s">
        <v>670</v>
      </c>
      <c r="I25" s="5" t="s">
        <v>671</v>
      </c>
      <c r="J25" s="5"/>
      <c r="K25" s="7" t="s">
        <v>7</v>
      </c>
      <c r="L25" s="7"/>
      <c r="M25" s="5"/>
      <c r="N25" s="5"/>
    </row>
    <row r="26" spans="1:14" customHeight="1" ht="30">
      <c r="A26" s="9" t="s">
        <v>667</v>
      </c>
      <c r="B26" s="5" t="s">
        <v>615</v>
      </c>
      <c r="C26" s="5" t="s">
        <v>668</v>
      </c>
      <c r="D26" s="7" t="s">
        <v>309</v>
      </c>
      <c r="E26" s="5"/>
      <c r="F26" s="5"/>
      <c r="G26" s="7">
        <v>2</v>
      </c>
      <c r="H26" s="5" t="s">
        <v>672</v>
      </c>
      <c r="I26" s="5" t="s">
        <v>673</v>
      </c>
      <c r="J26" s="5"/>
      <c r="K26" s="7" t="s">
        <v>7</v>
      </c>
      <c r="L26" s="7"/>
      <c r="M26" s="5"/>
      <c r="N26" s="5"/>
    </row>
    <row r="27" spans="1:14" customHeight="1" ht="40">
      <c r="A27" s="9" t="s">
        <v>667</v>
      </c>
      <c r="B27" s="5" t="s">
        <v>615</v>
      </c>
      <c r="C27" s="5" t="s">
        <v>668</v>
      </c>
      <c r="D27" s="7" t="s">
        <v>309</v>
      </c>
      <c r="E27" s="5"/>
      <c r="F27" s="5"/>
      <c r="G27" s="7">
        <v>3</v>
      </c>
      <c r="H27" s="5" t="s">
        <v>674</v>
      </c>
      <c r="I27" s="5" t="s">
        <v>658</v>
      </c>
      <c r="J27" s="5"/>
      <c r="K27" s="7" t="s">
        <v>7</v>
      </c>
      <c r="L27" s="7"/>
      <c r="M27" s="5"/>
      <c r="N27" s="5"/>
    </row>
    <row r="28" spans="1:14" customHeight="1" ht="30">
      <c r="A28" s="9" t="s">
        <v>667</v>
      </c>
      <c r="B28" s="5" t="s">
        <v>615</v>
      </c>
      <c r="C28" s="5" t="s">
        <v>668</v>
      </c>
      <c r="D28" s="7" t="s">
        <v>309</v>
      </c>
      <c r="E28" s="5"/>
      <c r="F28" s="5"/>
      <c r="G28" s="7">
        <v>4</v>
      </c>
      <c r="H28" s="5" t="s">
        <v>675</v>
      </c>
      <c r="I28" s="5" t="s">
        <v>676</v>
      </c>
      <c r="J28" s="5"/>
      <c r="K28" s="7" t="s">
        <v>7</v>
      </c>
      <c r="L28" s="7"/>
      <c r="M28" s="5"/>
      <c r="N28" s="5"/>
    </row>
    <row r="29" spans="1:14" customHeight="1" ht="53">
      <c r="A29" s="9" t="s">
        <v>667</v>
      </c>
      <c r="B29" s="5" t="s">
        <v>615</v>
      </c>
      <c r="C29" s="5" t="s">
        <v>668</v>
      </c>
      <c r="D29" s="7" t="s">
        <v>309</v>
      </c>
      <c r="E29" s="5"/>
      <c r="F29" s="5"/>
      <c r="G29" s="7">
        <v>5</v>
      </c>
      <c r="H29" s="5" t="s">
        <v>677</v>
      </c>
      <c r="I29" s="5" t="s">
        <v>678</v>
      </c>
      <c r="J29" s="5"/>
      <c r="K29" s="7" t="s">
        <v>7</v>
      </c>
      <c r="L29" s="7"/>
      <c r="M29" s="5"/>
      <c r="N29" s="5"/>
    </row>
    <row r="30" spans="1:14" customHeight="1" ht="40">
      <c r="A30" s="8" t="s">
        <v>679</v>
      </c>
      <c r="B30" s="4" t="s">
        <v>615</v>
      </c>
      <c r="C30" s="4" t="s">
        <v>680</v>
      </c>
      <c r="D30" s="6" t="s">
        <v>309</v>
      </c>
      <c r="E30" s="4" t="s">
        <v>681</v>
      </c>
      <c r="F30" s="4" t="s">
        <v>682</v>
      </c>
      <c r="G30" s="6">
        <v>1</v>
      </c>
      <c r="H30" s="4" t="s">
        <v>683</v>
      </c>
      <c r="I30" s="4" t="s">
        <v>472</v>
      </c>
      <c r="J30" s="4"/>
      <c r="K30" s="6" t="s">
        <v>7</v>
      </c>
      <c r="L30" s="6"/>
      <c r="M30" s="4"/>
      <c r="N30" s="4"/>
    </row>
    <row r="31" spans="1:14" customHeight="1" ht="40">
      <c r="A31" s="8" t="s">
        <v>679</v>
      </c>
      <c r="B31" s="4" t="s">
        <v>615</v>
      </c>
      <c r="C31" s="4" t="s">
        <v>680</v>
      </c>
      <c r="D31" s="6" t="s">
        <v>309</v>
      </c>
      <c r="E31" s="4"/>
      <c r="F31" s="4"/>
      <c r="G31" s="6">
        <v>2</v>
      </c>
      <c r="H31" s="4" t="s">
        <v>684</v>
      </c>
      <c r="I31" s="4" t="s">
        <v>685</v>
      </c>
      <c r="J31" s="4"/>
      <c r="K31" s="6" t="s">
        <v>7</v>
      </c>
      <c r="L31" s="6"/>
      <c r="M31" s="4"/>
      <c r="N31" s="4"/>
    </row>
    <row r="32" spans="1:14" customHeight="1" ht="30">
      <c r="A32" s="8" t="s">
        <v>679</v>
      </c>
      <c r="B32" s="4" t="s">
        <v>615</v>
      </c>
      <c r="C32" s="4" t="s">
        <v>680</v>
      </c>
      <c r="D32" s="6" t="s">
        <v>309</v>
      </c>
      <c r="E32" s="4"/>
      <c r="F32" s="4"/>
      <c r="G32" s="6">
        <v>3</v>
      </c>
      <c r="H32" s="4" t="s">
        <v>686</v>
      </c>
      <c r="I32" s="4" t="s">
        <v>687</v>
      </c>
      <c r="J32" s="4"/>
      <c r="K32" s="6" t="s">
        <v>7</v>
      </c>
      <c r="L32" s="6"/>
      <c r="M32" s="4"/>
      <c r="N32" s="4"/>
    </row>
    <row r="33" spans="1:14" customHeight="1" ht="30">
      <c r="A33" s="8" t="s">
        <v>679</v>
      </c>
      <c r="B33" s="4" t="s">
        <v>615</v>
      </c>
      <c r="C33" s="4" t="s">
        <v>680</v>
      </c>
      <c r="D33" s="6" t="s">
        <v>309</v>
      </c>
      <c r="E33" s="4"/>
      <c r="F33" s="4"/>
      <c r="G33" s="6">
        <v>4</v>
      </c>
      <c r="H33" s="4" t="s">
        <v>688</v>
      </c>
      <c r="I33" s="4" t="s">
        <v>689</v>
      </c>
      <c r="J33" s="4"/>
      <c r="K33" s="6" t="s">
        <v>7</v>
      </c>
      <c r="L33" s="6"/>
      <c r="M33" s="4"/>
      <c r="N33" s="4"/>
    </row>
    <row r="34" spans="1:14" customHeight="1" ht="40">
      <c r="A34" s="8" t="s">
        <v>679</v>
      </c>
      <c r="B34" s="4" t="s">
        <v>615</v>
      </c>
      <c r="C34" s="4" t="s">
        <v>680</v>
      </c>
      <c r="D34" s="6" t="s">
        <v>309</v>
      </c>
      <c r="E34" s="4"/>
      <c r="F34" s="4"/>
      <c r="G34" s="6">
        <v>5</v>
      </c>
      <c r="H34" s="4" t="s">
        <v>690</v>
      </c>
      <c r="I34" s="4" t="s">
        <v>658</v>
      </c>
      <c r="J34" s="4"/>
      <c r="K34" s="6" t="s">
        <v>7</v>
      </c>
      <c r="L34" s="6"/>
      <c r="M34" s="4"/>
      <c r="N34" s="4"/>
    </row>
    <row r="35" spans="1:14" customHeight="1" ht="30">
      <c r="A35" s="9" t="s">
        <v>691</v>
      </c>
      <c r="B35" s="5" t="s">
        <v>615</v>
      </c>
      <c r="C35" s="5" t="s">
        <v>692</v>
      </c>
      <c r="D35" s="7" t="s">
        <v>322</v>
      </c>
      <c r="E35" s="5" t="s">
        <v>619</v>
      </c>
      <c r="F35" s="5" t="s">
        <v>693</v>
      </c>
      <c r="G35" s="7">
        <v>1</v>
      </c>
      <c r="H35" s="5" t="s">
        <v>694</v>
      </c>
      <c r="I35" s="5" t="s">
        <v>658</v>
      </c>
      <c r="J35" s="5"/>
      <c r="K35" s="7" t="s">
        <v>7</v>
      </c>
      <c r="L35" s="7"/>
      <c r="M35" s="5"/>
      <c r="N35" s="5"/>
    </row>
    <row r="36" spans="1:14" customHeight="1" ht="53">
      <c r="A36" s="9" t="s">
        <v>691</v>
      </c>
      <c r="B36" s="5" t="s">
        <v>615</v>
      </c>
      <c r="C36" s="5" t="s">
        <v>692</v>
      </c>
      <c r="D36" s="7" t="s">
        <v>322</v>
      </c>
      <c r="E36" s="5"/>
      <c r="F36" s="5"/>
      <c r="G36" s="7">
        <v>2</v>
      </c>
      <c r="H36" s="5" t="s">
        <v>695</v>
      </c>
      <c r="I36" s="5" t="s">
        <v>696</v>
      </c>
      <c r="J36" s="5"/>
      <c r="K36" s="7" t="s">
        <v>7</v>
      </c>
      <c r="L36" s="7"/>
      <c r="M36" s="5"/>
      <c r="N36" s="5"/>
    </row>
    <row r="37" spans="1:14" customHeight="1" ht="30">
      <c r="A37" s="9" t="s">
        <v>691</v>
      </c>
      <c r="B37" s="5" t="s">
        <v>615</v>
      </c>
      <c r="C37" s="5" t="s">
        <v>692</v>
      </c>
      <c r="D37" s="7" t="s">
        <v>322</v>
      </c>
      <c r="E37" s="5"/>
      <c r="F37" s="5"/>
      <c r="G37" s="7">
        <v>3</v>
      </c>
      <c r="H37" s="5" t="s">
        <v>697</v>
      </c>
      <c r="I37" s="5" t="s">
        <v>658</v>
      </c>
      <c r="J37" s="5"/>
      <c r="K37" s="7" t="s">
        <v>7</v>
      </c>
      <c r="L37" s="7"/>
      <c r="M37" s="5"/>
      <c r="N37" s="5"/>
    </row>
    <row r="38" spans="1:14" customHeight="1" ht="40">
      <c r="A38" s="9" t="s">
        <v>691</v>
      </c>
      <c r="B38" s="5" t="s">
        <v>615</v>
      </c>
      <c r="C38" s="5" t="s">
        <v>692</v>
      </c>
      <c r="D38" s="7" t="s">
        <v>322</v>
      </c>
      <c r="E38" s="5"/>
      <c r="F38" s="5"/>
      <c r="G38" s="7">
        <v>4</v>
      </c>
      <c r="H38" s="5" t="s">
        <v>698</v>
      </c>
      <c r="I38" s="5" t="s">
        <v>699</v>
      </c>
      <c r="J38" s="5"/>
      <c r="K38" s="7" t="s">
        <v>7</v>
      </c>
      <c r="L38" s="7"/>
      <c r="M38" s="5"/>
      <c r="N38" s="5"/>
    </row>
    <row r="39" spans="1:14" customHeight="1" ht="40">
      <c r="A39" s="9" t="s">
        <v>691</v>
      </c>
      <c r="B39" s="5" t="s">
        <v>615</v>
      </c>
      <c r="C39" s="5" t="s">
        <v>692</v>
      </c>
      <c r="D39" s="7" t="s">
        <v>322</v>
      </c>
      <c r="E39" s="5"/>
      <c r="F39" s="5"/>
      <c r="G39" s="7">
        <v>5</v>
      </c>
      <c r="H39" s="5" t="s">
        <v>700</v>
      </c>
      <c r="I39" s="5" t="s">
        <v>701</v>
      </c>
      <c r="J39" s="5"/>
      <c r="K39" s="7" t="s">
        <v>7</v>
      </c>
      <c r="L39" s="7"/>
      <c r="M39" s="5"/>
      <c r="N39" s="5"/>
    </row>
    <row r="40" spans="1:14" customHeight="1" ht="53">
      <c r="A40" s="8" t="s">
        <v>702</v>
      </c>
      <c r="B40" s="4" t="s">
        <v>615</v>
      </c>
      <c r="C40" s="4" t="s">
        <v>703</v>
      </c>
      <c r="D40" s="6" t="s">
        <v>322</v>
      </c>
      <c r="E40" s="4" t="s">
        <v>619</v>
      </c>
      <c r="F40" s="4" t="s">
        <v>704</v>
      </c>
      <c r="G40" s="6">
        <v>1</v>
      </c>
      <c r="H40" s="4" t="s">
        <v>705</v>
      </c>
      <c r="I40" s="4" t="s">
        <v>706</v>
      </c>
      <c r="J40" s="4"/>
      <c r="K40" s="6" t="s">
        <v>7</v>
      </c>
      <c r="L40" s="6"/>
      <c r="M40" s="4"/>
      <c r="N40" s="4"/>
    </row>
    <row r="41" spans="1:14" customHeight="1" ht="40">
      <c r="A41" s="8" t="s">
        <v>702</v>
      </c>
      <c r="B41" s="4" t="s">
        <v>615</v>
      </c>
      <c r="C41" s="4" t="s">
        <v>703</v>
      </c>
      <c r="D41" s="6" t="s">
        <v>322</v>
      </c>
      <c r="E41" s="4"/>
      <c r="F41" s="4"/>
      <c r="G41" s="6">
        <v>2</v>
      </c>
      <c r="H41" s="4" t="s">
        <v>707</v>
      </c>
      <c r="I41" s="4" t="s">
        <v>708</v>
      </c>
      <c r="J41" s="4"/>
      <c r="K41" s="6" t="s">
        <v>7</v>
      </c>
      <c r="L41" s="6"/>
      <c r="M41" s="4"/>
      <c r="N41" s="4"/>
    </row>
    <row r="42" spans="1:14" customHeight="1" ht="30">
      <c r="A42" s="8" t="s">
        <v>702</v>
      </c>
      <c r="B42" s="4" t="s">
        <v>615</v>
      </c>
      <c r="C42" s="4" t="s">
        <v>703</v>
      </c>
      <c r="D42" s="6" t="s">
        <v>322</v>
      </c>
      <c r="E42" s="4"/>
      <c r="F42" s="4"/>
      <c r="G42" s="6">
        <v>3</v>
      </c>
      <c r="H42" s="4" t="s">
        <v>709</v>
      </c>
      <c r="I42" s="4" t="s">
        <v>710</v>
      </c>
      <c r="J42" s="4"/>
      <c r="K42" s="6" t="s">
        <v>7</v>
      </c>
      <c r="L42" s="6"/>
      <c r="M42" s="4"/>
      <c r="N42" s="4"/>
    </row>
    <row r="43" spans="1:14" customHeight="1" ht="40">
      <c r="A43" s="8" t="s">
        <v>702</v>
      </c>
      <c r="B43" s="4" t="s">
        <v>615</v>
      </c>
      <c r="C43" s="4" t="s">
        <v>703</v>
      </c>
      <c r="D43" s="6" t="s">
        <v>322</v>
      </c>
      <c r="E43" s="4"/>
      <c r="F43" s="4"/>
      <c r="G43" s="6">
        <v>4</v>
      </c>
      <c r="H43" s="4" t="s">
        <v>711</v>
      </c>
      <c r="I43" s="4" t="s">
        <v>712</v>
      </c>
      <c r="J43" s="4"/>
      <c r="K43" s="6" t="s">
        <v>7</v>
      </c>
      <c r="L43" s="6"/>
      <c r="M43" s="4"/>
      <c r="N43" s="4"/>
    </row>
    <row r="44" spans="1:14" customHeight="1" ht="30">
      <c r="A44" s="9" t="s">
        <v>713</v>
      </c>
      <c r="B44" s="5" t="s">
        <v>615</v>
      </c>
      <c r="C44" s="5" t="s">
        <v>714</v>
      </c>
      <c r="D44" s="7" t="s">
        <v>322</v>
      </c>
      <c r="E44" s="5" t="s">
        <v>715</v>
      </c>
      <c r="F44" s="5" t="s">
        <v>716</v>
      </c>
      <c r="G44" s="7">
        <v>1</v>
      </c>
      <c r="H44" s="5" t="s">
        <v>717</v>
      </c>
      <c r="I44" s="5" t="s">
        <v>718</v>
      </c>
      <c r="J44" s="5"/>
      <c r="K44" s="7" t="s">
        <v>7</v>
      </c>
      <c r="L44" s="7"/>
      <c r="M44" s="5"/>
      <c r="N44" s="5"/>
    </row>
    <row r="45" spans="1:14" customHeight="1" ht="40">
      <c r="A45" s="9" t="s">
        <v>713</v>
      </c>
      <c r="B45" s="5" t="s">
        <v>615</v>
      </c>
      <c r="C45" s="5" t="s">
        <v>714</v>
      </c>
      <c r="D45" s="7" t="s">
        <v>322</v>
      </c>
      <c r="E45" s="5"/>
      <c r="F45" s="5"/>
      <c r="G45" s="7">
        <v>2</v>
      </c>
      <c r="H45" s="5" t="s">
        <v>719</v>
      </c>
      <c r="I45" s="5" t="s">
        <v>720</v>
      </c>
      <c r="J45" s="5"/>
      <c r="K45" s="7" t="s">
        <v>7</v>
      </c>
      <c r="L45" s="7"/>
      <c r="M45" s="5"/>
      <c r="N45" s="5"/>
    </row>
    <row r="46" spans="1:14" customHeight="1" ht="40">
      <c r="A46" s="9" t="s">
        <v>713</v>
      </c>
      <c r="B46" s="5" t="s">
        <v>615</v>
      </c>
      <c r="C46" s="5" t="s">
        <v>714</v>
      </c>
      <c r="D46" s="7" t="s">
        <v>322</v>
      </c>
      <c r="E46" s="5"/>
      <c r="F46" s="5"/>
      <c r="G46" s="7">
        <v>3</v>
      </c>
      <c r="H46" s="5" t="s">
        <v>721</v>
      </c>
      <c r="I46" s="5" t="s">
        <v>722</v>
      </c>
      <c r="J46" s="5"/>
      <c r="K46" s="7" t="s">
        <v>7</v>
      </c>
      <c r="L46" s="7"/>
      <c r="M46" s="5"/>
      <c r="N46" s="5"/>
    </row>
    <row r="47" spans="1:14" customHeight="1" ht="40">
      <c r="A47" s="9" t="s">
        <v>713</v>
      </c>
      <c r="B47" s="5" t="s">
        <v>615</v>
      </c>
      <c r="C47" s="5" t="s">
        <v>714</v>
      </c>
      <c r="D47" s="7" t="s">
        <v>322</v>
      </c>
      <c r="E47" s="5"/>
      <c r="F47" s="5"/>
      <c r="G47" s="7">
        <v>4</v>
      </c>
      <c r="H47" s="5" t="s">
        <v>723</v>
      </c>
      <c r="I47" s="5" t="s">
        <v>724</v>
      </c>
      <c r="J47" s="5"/>
      <c r="K47" s="7" t="s">
        <v>7</v>
      </c>
      <c r="L47" s="7"/>
      <c r="M47" s="5"/>
      <c r="N47" s="5"/>
    </row>
    <row r="48" spans="1:14" customHeight="1" ht="40">
      <c r="A48" s="9" t="s">
        <v>713</v>
      </c>
      <c r="B48" s="5" t="s">
        <v>615</v>
      </c>
      <c r="C48" s="5" t="s">
        <v>714</v>
      </c>
      <c r="D48" s="7" t="s">
        <v>322</v>
      </c>
      <c r="E48" s="5"/>
      <c r="F48" s="5"/>
      <c r="G48" s="7">
        <v>5</v>
      </c>
      <c r="H48" s="5" t="s">
        <v>725</v>
      </c>
      <c r="I48" s="5" t="s">
        <v>726</v>
      </c>
      <c r="J48" s="5"/>
      <c r="K48" s="7" t="s">
        <v>7</v>
      </c>
      <c r="L48" s="7"/>
      <c r="M48" s="5"/>
      <c r="N48" s="5"/>
    </row>
    <row r="49" spans="1:14" customHeight="1" ht="30">
      <c r="A49" s="9" t="s">
        <v>713</v>
      </c>
      <c r="B49" s="5" t="s">
        <v>615</v>
      </c>
      <c r="C49" s="5" t="s">
        <v>714</v>
      </c>
      <c r="D49" s="7" t="s">
        <v>322</v>
      </c>
      <c r="E49" s="5"/>
      <c r="F49" s="5"/>
      <c r="G49" s="7">
        <v>6</v>
      </c>
      <c r="H49" s="5" t="s">
        <v>727</v>
      </c>
      <c r="I49" s="5" t="s">
        <v>728</v>
      </c>
      <c r="J49" s="5"/>
      <c r="K49" s="7" t="s">
        <v>7</v>
      </c>
      <c r="L49" s="7"/>
      <c r="M49" s="5"/>
      <c r="N49" s="5"/>
    </row>
    <row r="50" spans="1:14" customHeight="1" ht="40">
      <c r="A50" s="8" t="s">
        <v>729</v>
      </c>
      <c r="B50" s="4" t="s">
        <v>615</v>
      </c>
      <c r="C50" s="4" t="s">
        <v>730</v>
      </c>
      <c r="D50" s="6" t="s">
        <v>322</v>
      </c>
      <c r="E50" s="4" t="s">
        <v>731</v>
      </c>
      <c r="F50" s="4" t="s">
        <v>732</v>
      </c>
      <c r="G50" s="6">
        <v>1</v>
      </c>
      <c r="H50" s="4" t="s">
        <v>733</v>
      </c>
      <c r="I50" s="4" t="s">
        <v>734</v>
      </c>
      <c r="J50" s="4"/>
      <c r="K50" s="6" t="s">
        <v>7</v>
      </c>
      <c r="L50" s="6"/>
      <c r="M50" s="4"/>
      <c r="N50" s="4"/>
    </row>
    <row r="51" spans="1:14" customHeight="1" ht="53">
      <c r="A51" s="8" t="s">
        <v>729</v>
      </c>
      <c r="B51" s="4" t="s">
        <v>615</v>
      </c>
      <c r="C51" s="4" t="s">
        <v>730</v>
      </c>
      <c r="D51" s="6" t="s">
        <v>322</v>
      </c>
      <c r="E51" s="4"/>
      <c r="F51" s="4"/>
      <c r="G51" s="6">
        <v>2</v>
      </c>
      <c r="H51" s="4" t="s">
        <v>735</v>
      </c>
      <c r="I51" s="4" t="s">
        <v>736</v>
      </c>
      <c r="J51" s="4"/>
      <c r="K51" s="6" t="s">
        <v>7</v>
      </c>
      <c r="L51" s="6"/>
      <c r="M51" s="4"/>
      <c r="N51" s="4"/>
    </row>
    <row r="52" spans="1:14" customHeight="1" ht="40">
      <c r="A52" s="8" t="s">
        <v>729</v>
      </c>
      <c r="B52" s="4" t="s">
        <v>615</v>
      </c>
      <c r="C52" s="4" t="s">
        <v>730</v>
      </c>
      <c r="D52" s="6" t="s">
        <v>322</v>
      </c>
      <c r="E52" s="4"/>
      <c r="F52" s="4"/>
      <c r="G52" s="6">
        <v>3</v>
      </c>
      <c r="H52" s="4" t="s">
        <v>737</v>
      </c>
      <c r="I52" s="4" t="s">
        <v>738</v>
      </c>
      <c r="J52" s="4"/>
      <c r="K52" s="6" t="s">
        <v>7</v>
      </c>
      <c r="L52" s="6"/>
      <c r="M52" s="4"/>
      <c r="N52" s="4"/>
    </row>
    <row r="53" spans="1:14" customHeight="1" ht="30">
      <c r="A53" s="8" t="s">
        <v>729</v>
      </c>
      <c r="B53" s="4" t="s">
        <v>615</v>
      </c>
      <c r="C53" s="4" t="s">
        <v>730</v>
      </c>
      <c r="D53" s="6" t="s">
        <v>322</v>
      </c>
      <c r="E53" s="4"/>
      <c r="F53" s="4"/>
      <c r="G53" s="6">
        <v>4</v>
      </c>
      <c r="H53" s="4" t="s">
        <v>739</v>
      </c>
      <c r="I53" s="4" t="s">
        <v>740</v>
      </c>
      <c r="J53" s="4"/>
      <c r="K53" s="6" t="s">
        <v>7</v>
      </c>
      <c r="L53" s="6"/>
      <c r="M53" s="4"/>
      <c r="N53" s="4"/>
    </row>
    <row r="54" spans="1:14" customHeight="1" ht="30">
      <c r="A54" s="9" t="s">
        <v>741</v>
      </c>
      <c r="B54" s="5" t="s">
        <v>615</v>
      </c>
      <c r="C54" s="5" t="s">
        <v>742</v>
      </c>
      <c r="D54" s="7" t="s">
        <v>441</v>
      </c>
      <c r="E54" s="5" t="s">
        <v>743</v>
      </c>
      <c r="F54" s="5" t="s">
        <v>744</v>
      </c>
      <c r="G54" s="7">
        <v>1</v>
      </c>
      <c r="H54" s="5" t="s">
        <v>745</v>
      </c>
      <c r="I54" s="5" t="s">
        <v>746</v>
      </c>
      <c r="J54" s="5"/>
      <c r="K54" s="7" t="s">
        <v>7</v>
      </c>
      <c r="L54" s="7"/>
      <c r="M54" s="5"/>
      <c r="N54" s="5"/>
    </row>
    <row r="55" spans="1:14" customHeight="1" ht="40">
      <c r="A55" s="9" t="s">
        <v>741</v>
      </c>
      <c r="B55" s="5" t="s">
        <v>615</v>
      </c>
      <c r="C55" s="5" t="s">
        <v>742</v>
      </c>
      <c r="D55" s="7" t="s">
        <v>441</v>
      </c>
      <c r="E55" s="5"/>
      <c r="F55" s="5"/>
      <c r="G55" s="7">
        <v>2</v>
      </c>
      <c r="H55" s="5" t="s">
        <v>595</v>
      </c>
      <c r="I55" s="5" t="s">
        <v>747</v>
      </c>
      <c r="J55" s="5"/>
      <c r="K55" s="7" t="s">
        <v>7</v>
      </c>
      <c r="L55" s="7"/>
      <c r="M55" s="5"/>
      <c r="N55" s="5"/>
    </row>
    <row r="56" spans="1:14" customHeight="1" ht="40">
      <c r="A56" s="9" t="s">
        <v>741</v>
      </c>
      <c r="B56" s="5" t="s">
        <v>615</v>
      </c>
      <c r="C56" s="5" t="s">
        <v>742</v>
      </c>
      <c r="D56" s="7" t="s">
        <v>441</v>
      </c>
      <c r="E56" s="5"/>
      <c r="F56" s="5"/>
      <c r="G56" s="7">
        <v>3</v>
      </c>
      <c r="H56" s="5" t="s">
        <v>748</v>
      </c>
      <c r="I56" s="5" t="s">
        <v>749</v>
      </c>
      <c r="J56" s="5"/>
      <c r="K56" s="7" t="s">
        <v>7</v>
      </c>
      <c r="L56" s="7"/>
      <c r="M56" s="5"/>
      <c r="N56" s="5"/>
    </row>
    <row r="57" spans="1:14" customHeight="1" ht="40">
      <c r="A57" s="9" t="s">
        <v>741</v>
      </c>
      <c r="B57" s="5" t="s">
        <v>615</v>
      </c>
      <c r="C57" s="5" t="s">
        <v>742</v>
      </c>
      <c r="D57" s="7" t="s">
        <v>441</v>
      </c>
      <c r="E57" s="5"/>
      <c r="F57" s="5"/>
      <c r="G57" s="7">
        <v>4</v>
      </c>
      <c r="H57" s="5" t="s">
        <v>750</v>
      </c>
      <c r="I57" s="5" t="s">
        <v>751</v>
      </c>
      <c r="J57" s="5"/>
      <c r="K57" s="7" t="s">
        <v>7</v>
      </c>
      <c r="L57" s="7"/>
      <c r="M57" s="5"/>
      <c r="N57" s="5"/>
    </row>
  </sheetData>
  <autoFilter ref="A3:N57"/>
  <mergeCells>
    <mergeCell ref="A1:N1"/>
    <mergeCell ref="A2:N2"/>
  </mergeCells>
  <conditionalFormatting sqref="K4:K57">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57">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57">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57">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57">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67"/>
  <sheetViews>
    <sheetView tabSelected="0" workbookViewId="0" showGridLines="true" showRowColHeaders="1">
      <pane xSplit="2" ySplit="3" topLeftCell="C4" activePane="bottomRight" state="frozen"/>
      <selection pane="topRight"/>
      <selection pane="bottomLeft"/>
      <selection pane="bottomRight" activeCell="L4" sqref="L4:L67"/>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752</v>
      </c>
    </row>
    <row r="2" spans="1:14" customHeight="1" ht="30">
      <c r="A2" s="2" t="s">
        <v>753</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53">
      <c r="A4" s="8" t="s">
        <v>754</v>
      </c>
      <c r="B4" s="4" t="s">
        <v>752</v>
      </c>
      <c r="C4" s="4" t="s">
        <v>755</v>
      </c>
      <c r="D4" s="6" t="s">
        <v>322</v>
      </c>
      <c r="E4" s="4" t="s">
        <v>756</v>
      </c>
      <c r="F4" s="4" t="s">
        <v>311</v>
      </c>
      <c r="G4" s="6">
        <v>1</v>
      </c>
      <c r="H4" s="4" t="s">
        <v>757</v>
      </c>
      <c r="I4" s="4" t="s">
        <v>758</v>
      </c>
      <c r="J4" s="4"/>
      <c r="K4" s="6" t="s">
        <v>7</v>
      </c>
      <c r="L4" s="6"/>
      <c r="M4" s="4"/>
      <c r="N4" s="4"/>
    </row>
    <row r="5" spans="1:14" customHeight="1" ht="66">
      <c r="A5" s="8" t="s">
        <v>754</v>
      </c>
      <c r="B5" s="4" t="s">
        <v>752</v>
      </c>
      <c r="C5" s="4" t="s">
        <v>755</v>
      </c>
      <c r="D5" s="6" t="s">
        <v>322</v>
      </c>
      <c r="E5" s="4"/>
      <c r="F5" s="4"/>
      <c r="G5" s="6">
        <v>2</v>
      </c>
      <c r="H5" s="4" t="s">
        <v>759</v>
      </c>
      <c r="I5" s="4" t="s">
        <v>760</v>
      </c>
      <c r="J5" s="4"/>
      <c r="K5" s="6" t="s">
        <v>7</v>
      </c>
      <c r="L5" s="6"/>
      <c r="M5" s="4"/>
      <c r="N5" s="4"/>
    </row>
    <row r="6" spans="1:14" customHeight="1" ht="79">
      <c r="A6" s="8" t="s">
        <v>754</v>
      </c>
      <c r="B6" s="4" t="s">
        <v>752</v>
      </c>
      <c r="C6" s="4" t="s">
        <v>755</v>
      </c>
      <c r="D6" s="6" t="s">
        <v>322</v>
      </c>
      <c r="E6" s="4"/>
      <c r="F6" s="4"/>
      <c r="G6" s="6">
        <v>3</v>
      </c>
      <c r="H6" s="4" t="s">
        <v>761</v>
      </c>
      <c r="I6" s="4" t="s">
        <v>762</v>
      </c>
      <c r="J6" s="4"/>
      <c r="K6" s="6" t="s">
        <v>7</v>
      </c>
      <c r="L6" s="6"/>
      <c r="M6" s="4"/>
      <c r="N6" s="4"/>
    </row>
    <row r="7" spans="1:14" customHeight="1" ht="40">
      <c r="A7" s="8" t="s">
        <v>754</v>
      </c>
      <c r="B7" s="4" t="s">
        <v>752</v>
      </c>
      <c r="C7" s="4" t="s">
        <v>755</v>
      </c>
      <c r="D7" s="6" t="s">
        <v>322</v>
      </c>
      <c r="E7" s="4"/>
      <c r="F7" s="4"/>
      <c r="G7" s="6">
        <v>4</v>
      </c>
      <c r="H7" s="4" t="s">
        <v>763</v>
      </c>
      <c r="I7" s="4" t="s">
        <v>764</v>
      </c>
      <c r="J7" s="4"/>
      <c r="K7" s="6" t="s">
        <v>7</v>
      </c>
      <c r="L7" s="6"/>
      <c r="M7" s="4"/>
      <c r="N7" s="4"/>
    </row>
    <row r="8" spans="1:14" customHeight="1" ht="40">
      <c r="A8" s="8" t="s">
        <v>754</v>
      </c>
      <c r="B8" s="4" t="s">
        <v>752</v>
      </c>
      <c r="C8" s="4" t="s">
        <v>755</v>
      </c>
      <c r="D8" s="6" t="s">
        <v>322</v>
      </c>
      <c r="E8" s="4"/>
      <c r="F8" s="4"/>
      <c r="G8" s="6">
        <v>5</v>
      </c>
      <c r="H8" s="4" t="s">
        <v>765</v>
      </c>
      <c r="I8" s="4" t="s">
        <v>766</v>
      </c>
      <c r="J8" s="4"/>
      <c r="K8" s="6" t="s">
        <v>7</v>
      </c>
      <c r="L8" s="6"/>
      <c r="M8" s="4"/>
      <c r="N8" s="4"/>
    </row>
    <row r="9" spans="1:14" customHeight="1" ht="53">
      <c r="A9" s="8" t="s">
        <v>754</v>
      </c>
      <c r="B9" s="4" t="s">
        <v>752</v>
      </c>
      <c r="C9" s="4" t="s">
        <v>755</v>
      </c>
      <c r="D9" s="6" t="s">
        <v>322</v>
      </c>
      <c r="E9" s="4"/>
      <c r="F9" s="4"/>
      <c r="G9" s="6">
        <v>6</v>
      </c>
      <c r="H9" s="4" t="s">
        <v>767</v>
      </c>
      <c r="I9" s="4" t="s">
        <v>768</v>
      </c>
      <c r="J9" s="4"/>
      <c r="K9" s="6" t="s">
        <v>7</v>
      </c>
      <c r="L9" s="6"/>
      <c r="M9" s="4"/>
      <c r="N9" s="4"/>
    </row>
    <row r="10" spans="1:14" customHeight="1" ht="30">
      <c r="A10" s="9" t="s">
        <v>769</v>
      </c>
      <c r="B10" s="5" t="s">
        <v>752</v>
      </c>
      <c r="C10" s="5" t="s">
        <v>770</v>
      </c>
      <c r="D10" s="7" t="s">
        <v>322</v>
      </c>
      <c r="E10" s="5" t="s">
        <v>771</v>
      </c>
      <c r="F10" s="5" t="s">
        <v>772</v>
      </c>
      <c r="G10" s="7">
        <v>1</v>
      </c>
      <c r="H10" s="5" t="s">
        <v>773</v>
      </c>
      <c r="I10" s="5" t="s">
        <v>774</v>
      </c>
      <c r="J10" s="5"/>
      <c r="K10" s="7" t="s">
        <v>7</v>
      </c>
      <c r="L10" s="7"/>
      <c r="M10" s="5"/>
      <c r="N10" s="5"/>
    </row>
    <row r="11" spans="1:14" customHeight="1" ht="30">
      <c r="A11" s="9" t="s">
        <v>769</v>
      </c>
      <c r="B11" s="5" t="s">
        <v>752</v>
      </c>
      <c r="C11" s="5" t="s">
        <v>770</v>
      </c>
      <c r="D11" s="7" t="s">
        <v>322</v>
      </c>
      <c r="E11" s="5"/>
      <c r="F11" s="5"/>
      <c r="G11" s="7">
        <v>2</v>
      </c>
      <c r="H11" s="5" t="s">
        <v>775</v>
      </c>
      <c r="I11" s="5" t="s">
        <v>350</v>
      </c>
      <c r="J11" s="5"/>
      <c r="K11" s="7" t="s">
        <v>7</v>
      </c>
      <c r="L11" s="7"/>
      <c r="M11" s="5"/>
      <c r="N11" s="5"/>
    </row>
    <row r="12" spans="1:14" customHeight="1" ht="30">
      <c r="A12" s="9" t="s">
        <v>769</v>
      </c>
      <c r="B12" s="5" t="s">
        <v>752</v>
      </c>
      <c r="C12" s="5" t="s">
        <v>770</v>
      </c>
      <c r="D12" s="7" t="s">
        <v>322</v>
      </c>
      <c r="E12" s="5"/>
      <c r="F12" s="5"/>
      <c r="G12" s="7">
        <v>3</v>
      </c>
      <c r="H12" s="5" t="s">
        <v>776</v>
      </c>
      <c r="I12" s="5" t="s">
        <v>350</v>
      </c>
      <c r="J12" s="5"/>
      <c r="K12" s="7" t="s">
        <v>7</v>
      </c>
      <c r="L12" s="7"/>
      <c r="M12" s="5"/>
      <c r="N12" s="5"/>
    </row>
    <row r="13" spans="1:14" customHeight="1" ht="30">
      <c r="A13" s="9" t="s">
        <v>769</v>
      </c>
      <c r="B13" s="5" t="s">
        <v>752</v>
      </c>
      <c r="C13" s="5" t="s">
        <v>770</v>
      </c>
      <c r="D13" s="7" t="s">
        <v>322</v>
      </c>
      <c r="E13" s="5"/>
      <c r="F13" s="5"/>
      <c r="G13" s="7">
        <v>4</v>
      </c>
      <c r="H13" s="5" t="s">
        <v>777</v>
      </c>
      <c r="I13" s="5" t="s">
        <v>778</v>
      </c>
      <c r="J13" s="5"/>
      <c r="K13" s="7" t="s">
        <v>7</v>
      </c>
      <c r="L13" s="7"/>
      <c r="M13" s="5"/>
      <c r="N13" s="5"/>
    </row>
    <row r="14" spans="1:14" customHeight="1" ht="30">
      <c r="A14" s="9" t="s">
        <v>769</v>
      </c>
      <c r="B14" s="5" t="s">
        <v>752</v>
      </c>
      <c r="C14" s="5" t="s">
        <v>770</v>
      </c>
      <c r="D14" s="7" t="s">
        <v>322</v>
      </c>
      <c r="E14" s="5"/>
      <c r="F14" s="5"/>
      <c r="G14" s="7">
        <v>5</v>
      </c>
      <c r="H14" s="5" t="s">
        <v>779</v>
      </c>
      <c r="I14" s="5" t="s">
        <v>350</v>
      </c>
      <c r="J14" s="5"/>
      <c r="K14" s="7" t="s">
        <v>7</v>
      </c>
      <c r="L14" s="7"/>
      <c r="M14" s="5"/>
      <c r="N14" s="5"/>
    </row>
    <row r="15" spans="1:14" customHeight="1" ht="30">
      <c r="A15" s="9" t="s">
        <v>769</v>
      </c>
      <c r="B15" s="5" t="s">
        <v>752</v>
      </c>
      <c r="C15" s="5" t="s">
        <v>770</v>
      </c>
      <c r="D15" s="7" t="s">
        <v>322</v>
      </c>
      <c r="E15" s="5"/>
      <c r="F15" s="5"/>
      <c r="G15" s="7">
        <v>6</v>
      </c>
      <c r="H15" s="5" t="s">
        <v>780</v>
      </c>
      <c r="I15" s="5" t="s">
        <v>350</v>
      </c>
      <c r="J15" s="5"/>
      <c r="K15" s="7" t="s">
        <v>7</v>
      </c>
      <c r="L15" s="7"/>
      <c r="M15" s="5"/>
      <c r="N15" s="5"/>
    </row>
    <row r="16" spans="1:14" customHeight="1" ht="30">
      <c r="A16" s="9" t="s">
        <v>769</v>
      </c>
      <c r="B16" s="5" t="s">
        <v>752</v>
      </c>
      <c r="C16" s="5" t="s">
        <v>770</v>
      </c>
      <c r="D16" s="7" t="s">
        <v>322</v>
      </c>
      <c r="E16" s="5"/>
      <c r="F16" s="5"/>
      <c r="G16" s="7">
        <v>7</v>
      </c>
      <c r="H16" s="5" t="s">
        <v>781</v>
      </c>
      <c r="I16" s="5" t="s">
        <v>782</v>
      </c>
      <c r="J16" s="5"/>
      <c r="K16" s="7" t="s">
        <v>7</v>
      </c>
      <c r="L16" s="7"/>
      <c r="M16" s="5"/>
      <c r="N16" s="5"/>
    </row>
    <row r="17" spans="1:14" customHeight="1" ht="30">
      <c r="A17" s="9" t="s">
        <v>769</v>
      </c>
      <c r="B17" s="5" t="s">
        <v>752</v>
      </c>
      <c r="C17" s="5" t="s">
        <v>770</v>
      </c>
      <c r="D17" s="7" t="s">
        <v>322</v>
      </c>
      <c r="E17" s="5"/>
      <c r="F17" s="5"/>
      <c r="G17" s="7">
        <v>8</v>
      </c>
      <c r="H17" s="5" t="s">
        <v>783</v>
      </c>
      <c r="I17" s="5" t="s">
        <v>784</v>
      </c>
      <c r="J17" s="5"/>
      <c r="K17" s="7" t="s">
        <v>7</v>
      </c>
      <c r="L17" s="7"/>
      <c r="M17" s="5"/>
      <c r="N17" s="5"/>
    </row>
    <row r="18" spans="1:14" customHeight="1" ht="40">
      <c r="A18" s="9" t="s">
        <v>769</v>
      </c>
      <c r="B18" s="5" t="s">
        <v>752</v>
      </c>
      <c r="C18" s="5" t="s">
        <v>770</v>
      </c>
      <c r="D18" s="7" t="s">
        <v>322</v>
      </c>
      <c r="E18" s="5"/>
      <c r="F18" s="5"/>
      <c r="G18" s="7">
        <v>9</v>
      </c>
      <c r="H18" s="5" t="s">
        <v>785</v>
      </c>
      <c r="I18" s="5" t="s">
        <v>350</v>
      </c>
      <c r="J18" s="5"/>
      <c r="K18" s="7" t="s">
        <v>7</v>
      </c>
      <c r="L18" s="7"/>
      <c r="M18" s="5"/>
      <c r="N18" s="5"/>
    </row>
    <row r="19" spans="1:14" customHeight="1" ht="30">
      <c r="A19" s="9" t="s">
        <v>769</v>
      </c>
      <c r="B19" s="5" t="s">
        <v>752</v>
      </c>
      <c r="C19" s="5" t="s">
        <v>770</v>
      </c>
      <c r="D19" s="7" t="s">
        <v>322</v>
      </c>
      <c r="E19" s="5"/>
      <c r="F19" s="5"/>
      <c r="G19" s="7">
        <v>10</v>
      </c>
      <c r="H19" s="5" t="s">
        <v>786</v>
      </c>
      <c r="I19" s="5" t="s">
        <v>350</v>
      </c>
      <c r="J19" s="5"/>
      <c r="K19" s="7" t="s">
        <v>7</v>
      </c>
      <c r="L19" s="7"/>
      <c r="M19" s="5"/>
      <c r="N19" s="5"/>
    </row>
    <row r="20" spans="1:14" customHeight="1" ht="30">
      <c r="A20" s="9" t="s">
        <v>769</v>
      </c>
      <c r="B20" s="5" t="s">
        <v>752</v>
      </c>
      <c r="C20" s="5" t="s">
        <v>770</v>
      </c>
      <c r="D20" s="7" t="s">
        <v>322</v>
      </c>
      <c r="E20" s="5"/>
      <c r="F20" s="5"/>
      <c r="G20" s="7">
        <v>11</v>
      </c>
      <c r="H20" s="5" t="s">
        <v>787</v>
      </c>
      <c r="I20" s="5" t="s">
        <v>350</v>
      </c>
      <c r="J20" s="5"/>
      <c r="K20" s="7" t="s">
        <v>7</v>
      </c>
      <c r="L20" s="7"/>
      <c r="M20" s="5"/>
      <c r="N20" s="5"/>
    </row>
    <row r="21" spans="1:14" customHeight="1" ht="40">
      <c r="A21" s="9" t="s">
        <v>769</v>
      </c>
      <c r="B21" s="5" t="s">
        <v>752</v>
      </c>
      <c r="C21" s="5" t="s">
        <v>770</v>
      </c>
      <c r="D21" s="7" t="s">
        <v>322</v>
      </c>
      <c r="E21" s="5"/>
      <c r="F21" s="5"/>
      <c r="G21" s="7">
        <v>12</v>
      </c>
      <c r="H21" s="5" t="s">
        <v>788</v>
      </c>
      <c r="I21" s="5" t="s">
        <v>789</v>
      </c>
      <c r="J21" s="5"/>
      <c r="K21" s="7" t="s">
        <v>7</v>
      </c>
      <c r="L21" s="7"/>
      <c r="M21" s="5"/>
      <c r="N21" s="5"/>
    </row>
    <row r="22" spans="1:14" customHeight="1" ht="30">
      <c r="A22" s="9" t="s">
        <v>769</v>
      </c>
      <c r="B22" s="5" t="s">
        <v>752</v>
      </c>
      <c r="C22" s="5" t="s">
        <v>770</v>
      </c>
      <c r="D22" s="7" t="s">
        <v>322</v>
      </c>
      <c r="E22" s="5"/>
      <c r="F22" s="5"/>
      <c r="G22" s="7">
        <v>13</v>
      </c>
      <c r="H22" s="5" t="s">
        <v>790</v>
      </c>
      <c r="I22" s="5" t="s">
        <v>791</v>
      </c>
      <c r="J22" s="5"/>
      <c r="K22" s="7" t="s">
        <v>7</v>
      </c>
      <c r="L22" s="7"/>
      <c r="M22" s="5"/>
      <c r="N22" s="5"/>
    </row>
    <row r="23" spans="1:14" customHeight="1" ht="40">
      <c r="A23" s="9" t="s">
        <v>769</v>
      </c>
      <c r="B23" s="5" t="s">
        <v>752</v>
      </c>
      <c r="C23" s="5" t="s">
        <v>770</v>
      </c>
      <c r="D23" s="7" t="s">
        <v>322</v>
      </c>
      <c r="E23" s="5"/>
      <c r="F23" s="5"/>
      <c r="G23" s="7">
        <v>14</v>
      </c>
      <c r="H23" s="5" t="s">
        <v>792</v>
      </c>
      <c r="I23" s="5" t="s">
        <v>793</v>
      </c>
      <c r="J23" s="5"/>
      <c r="K23" s="7" t="s">
        <v>7</v>
      </c>
      <c r="L23" s="7"/>
      <c r="M23" s="5"/>
      <c r="N23" s="5"/>
    </row>
    <row r="24" spans="1:14" customHeight="1" ht="53">
      <c r="A24" s="9" t="s">
        <v>769</v>
      </c>
      <c r="B24" s="5" t="s">
        <v>752</v>
      </c>
      <c r="C24" s="5" t="s">
        <v>770</v>
      </c>
      <c r="D24" s="7" t="s">
        <v>322</v>
      </c>
      <c r="E24" s="5"/>
      <c r="F24" s="5"/>
      <c r="G24" s="7">
        <v>15</v>
      </c>
      <c r="H24" s="5" t="s">
        <v>794</v>
      </c>
      <c r="I24" s="5" t="s">
        <v>795</v>
      </c>
      <c r="J24" s="5"/>
      <c r="K24" s="7" t="s">
        <v>7</v>
      </c>
      <c r="L24" s="7"/>
      <c r="M24" s="5"/>
      <c r="N24" s="5"/>
    </row>
    <row r="25" spans="1:14" customHeight="1" ht="40">
      <c r="A25" s="8" t="s">
        <v>796</v>
      </c>
      <c r="B25" s="4" t="s">
        <v>752</v>
      </c>
      <c r="C25" s="4" t="s">
        <v>797</v>
      </c>
      <c r="D25" s="6" t="s">
        <v>322</v>
      </c>
      <c r="E25" s="4" t="s">
        <v>798</v>
      </c>
      <c r="F25" s="4" t="s">
        <v>799</v>
      </c>
      <c r="G25" s="6">
        <v>1</v>
      </c>
      <c r="H25" s="4" t="s">
        <v>800</v>
      </c>
      <c r="I25" s="4" t="s">
        <v>801</v>
      </c>
      <c r="J25" s="4"/>
      <c r="K25" s="6" t="s">
        <v>7</v>
      </c>
      <c r="L25" s="6"/>
      <c r="M25" s="4"/>
      <c r="N25" s="4"/>
    </row>
    <row r="26" spans="1:14" customHeight="1" ht="53">
      <c r="A26" s="8" t="s">
        <v>796</v>
      </c>
      <c r="B26" s="4" t="s">
        <v>752</v>
      </c>
      <c r="C26" s="4" t="s">
        <v>797</v>
      </c>
      <c r="D26" s="6" t="s">
        <v>322</v>
      </c>
      <c r="E26" s="4"/>
      <c r="F26" s="4"/>
      <c r="G26" s="6">
        <v>2</v>
      </c>
      <c r="H26" s="4" t="s">
        <v>802</v>
      </c>
      <c r="I26" s="4" t="s">
        <v>803</v>
      </c>
      <c r="J26" s="4"/>
      <c r="K26" s="6" t="s">
        <v>7</v>
      </c>
      <c r="L26" s="6"/>
      <c r="M26" s="4"/>
      <c r="N26" s="4"/>
    </row>
    <row r="27" spans="1:14" customHeight="1" ht="40">
      <c r="A27" s="8" t="s">
        <v>796</v>
      </c>
      <c r="B27" s="4" t="s">
        <v>752</v>
      </c>
      <c r="C27" s="4" t="s">
        <v>797</v>
      </c>
      <c r="D27" s="6" t="s">
        <v>322</v>
      </c>
      <c r="E27" s="4"/>
      <c r="F27" s="4"/>
      <c r="G27" s="6">
        <v>3</v>
      </c>
      <c r="H27" s="4" t="s">
        <v>804</v>
      </c>
      <c r="I27" s="4" t="s">
        <v>805</v>
      </c>
      <c r="J27" s="4"/>
      <c r="K27" s="6" t="s">
        <v>7</v>
      </c>
      <c r="L27" s="6"/>
      <c r="M27" s="4"/>
      <c r="N27" s="4"/>
    </row>
    <row r="28" spans="1:14" customHeight="1" ht="40">
      <c r="A28" s="8" t="s">
        <v>796</v>
      </c>
      <c r="B28" s="4" t="s">
        <v>752</v>
      </c>
      <c r="C28" s="4" t="s">
        <v>797</v>
      </c>
      <c r="D28" s="6" t="s">
        <v>322</v>
      </c>
      <c r="E28" s="4"/>
      <c r="F28" s="4"/>
      <c r="G28" s="6">
        <v>4</v>
      </c>
      <c r="H28" s="4" t="s">
        <v>806</v>
      </c>
      <c r="I28" s="4" t="s">
        <v>807</v>
      </c>
      <c r="J28" s="4"/>
      <c r="K28" s="6" t="s">
        <v>7</v>
      </c>
      <c r="L28" s="6"/>
      <c r="M28" s="4"/>
      <c r="N28" s="4"/>
    </row>
    <row r="29" spans="1:14" customHeight="1" ht="53">
      <c r="A29" s="8" t="s">
        <v>796</v>
      </c>
      <c r="B29" s="4" t="s">
        <v>752</v>
      </c>
      <c r="C29" s="4" t="s">
        <v>797</v>
      </c>
      <c r="D29" s="6" t="s">
        <v>322</v>
      </c>
      <c r="E29" s="4"/>
      <c r="F29" s="4"/>
      <c r="G29" s="6">
        <v>5</v>
      </c>
      <c r="H29" s="4" t="s">
        <v>808</v>
      </c>
      <c r="I29" s="4" t="s">
        <v>809</v>
      </c>
      <c r="J29" s="4"/>
      <c r="K29" s="6" t="s">
        <v>7</v>
      </c>
      <c r="L29" s="6"/>
      <c r="M29" s="4"/>
      <c r="N29" s="4"/>
    </row>
    <row r="30" spans="1:14" customHeight="1" ht="40">
      <c r="A30" s="8" t="s">
        <v>796</v>
      </c>
      <c r="B30" s="4" t="s">
        <v>752</v>
      </c>
      <c r="C30" s="4" t="s">
        <v>797</v>
      </c>
      <c r="D30" s="6" t="s">
        <v>322</v>
      </c>
      <c r="E30" s="4"/>
      <c r="F30" s="4"/>
      <c r="G30" s="6">
        <v>6</v>
      </c>
      <c r="H30" s="4" t="s">
        <v>810</v>
      </c>
      <c r="I30" s="4" t="s">
        <v>811</v>
      </c>
      <c r="J30" s="4"/>
      <c r="K30" s="6" t="s">
        <v>7</v>
      </c>
      <c r="L30" s="6"/>
      <c r="M30" s="4"/>
      <c r="N30" s="4"/>
    </row>
    <row r="31" spans="1:14" customHeight="1" ht="53">
      <c r="A31" s="9" t="s">
        <v>812</v>
      </c>
      <c r="B31" s="5" t="s">
        <v>752</v>
      </c>
      <c r="C31" s="5" t="s">
        <v>813</v>
      </c>
      <c r="D31" s="7" t="s">
        <v>322</v>
      </c>
      <c r="E31" s="5" t="s">
        <v>814</v>
      </c>
      <c r="F31" s="5" t="s">
        <v>815</v>
      </c>
      <c r="G31" s="7">
        <v>1</v>
      </c>
      <c r="H31" s="5" t="s">
        <v>816</v>
      </c>
      <c r="I31" s="5" t="s">
        <v>817</v>
      </c>
      <c r="J31" s="5"/>
      <c r="K31" s="7" t="s">
        <v>7</v>
      </c>
      <c r="L31" s="7"/>
      <c r="M31" s="5"/>
      <c r="N31" s="5"/>
    </row>
    <row r="32" spans="1:14" customHeight="1" ht="40">
      <c r="A32" s="9" t="s">
        <v>812</v>
      </c>
      <c r="B32" s="5" t="s">
        <v>752</v>
      </c>
      <c r="C32" s="5" t="s">
        <v>813</v>
      </c>
      <c r="D32" s="7" t="s">
        <v>322</v>
      </c>
      <c r="E32" s="5"/>
      <c r="F32" s="5"/>
      <c r="G32" s="7">
        <v>2</v>
      </c>
      <c r="H32" s="5" t="s">
        <v>818</v>
      </c>
      <c r="I32" s="5" t="s">
        <v>819</v>
      </c>
      <c r="J32" s="5"/>
      <c r="K32" s="7" t="s">
        <v>7</v>
      </c>
      <c r="L32" s="7"/>
      <c r="M32" s="5"/>
      <c r="N32" s="5"/>
    </row>
    <row r="33" spans="1:14" customHeight="1" ht="40">
      <c r="A33" s="9" t="s">
        <v>812</v>
      </c>
      <c r="B33" s="5" t="s">
        <v>752</v>
      </c>
      <c r="C33" s="5" t="s">
        <v>813</v>
      </c>
      <c r="D33" s="7" t="s">
        <v>322</v>
      </c>
      <c r="E33" s="5"/>
      <c r="F33" s="5"/>
      <c r="G33" s="7">
        <v>3</v>
      </c>
      <c r="H33" s="5" t="s">
        <v>820</v>
      </c>
      <c r="I33" s="5" t="s">
        <v>821</v>
      </c>
      <c r="J33" s="5"/>
      <c r="K33" s="7" t="s">
        <v>7</v>
      </c>
      <c r="L33" s="7"/>
      <c r="M33" s="5"/>
      <c r="N33" s="5"/>
    </row>
    <row r="34" spans="1:14" customHeight="1" ht="40">
      <c r="A34" s="9" t="s">
        <v>812</v>
      </c>
      <c r="B34" s="5" t="s">
        <v>752</v>
      </c>
      <c r="C34" s="5" t="s">
        <v>813</v>
      </c>
      <c r="D34" s="7" t="s">
        <v>322</v>
      </c>
      <c r="E34" s="5"/>
      <c r="F34" s="5"/>
      <c r="G34" s="7">
        <v>4</v>
      </c>
      <c r="H34" s="5" t="s">
        <v>822</v>
      </c>
      <c r="I34" s="5" t="s">
        <v>823</v>
      </c>
      <c r="J34" s="5"/>
      <c r="K34" s="7" t="s">
        <v>7</v>
      </c>
      <c r="L34" s="7"/>
      <c r="M34" s="5"/>
      <c r="N34" s="5"/>
    </row>
    <row r="35" spans="1:14" customHeight="1" ht="40">
      <c r="A35" s="9" t="s">
        <v>812</v>
      </c>
      <c r="B35" s="5" t="s">
        <v>752</v>
      </c>
      <c r="C35" s="5" t="s">
        <v>813</v>
      </c>
      <c r="D35" s="7" t="s">
        <v>322</v>
      </c>
      <c r="E35" s="5"/>
      <c r="F35" s="5"/>
      <c r="G35" s="7">
        <v>5</v>
      </c>
      <c r="H35" s="5" t="s">
        <v>824</v>
      </c>
      <c r="I35" s="5" t="s">
        <v>825</v>
      </c>
      <c r="J35" s="5"/>
      <c r="K35" s="7" t="s">
        <v>7</v>
      </c>
      <c r="L35" s="7"/>
      <c r="M35" s="5"/>
      <c r="N35" s="5"/>
    </row>
    <row r="36" spans="1:14" customHeight="1" ht="30">
      <c r="A36" s="9" t="s">
        <v>812</v>
      </c>
      <c r="B36" s="5" t="s">
        <v>752</v>
      </c>
      <c r="C36" s="5" t="s">
        <v>813</v>
      </c>
      <c r="D36" s="7" t="s">
        <v>322</v>
      </c>
      <c r="E36" s="5"/>
      <c r="F36" s="5"/>
      <c r="G36" s="7">
        <v>6</v>
      </c>
      <c r="H36" s="5" t="s">
        <v>826</v>
      </c>
      <c r="I36" s="5" t="s">
        <v>827</v>
      </c>
      <c r="J36" s="5"/>
      <c r="K36" s="7" t="s">
        <v>7</v>
      </c>
      <c r="L36" s="7"/>
      <c r="M36" s="5"/>
      <c r="N36" s="5"/>
    </row>
    <row r="37" spans="1:14" customHeight="1" ht="30">
      <c r="A37" s="9" t="s">
        <v>812</v>
      </c>
      <c r="B37" s="5" t="s">
        <v>752</v>
      </c>
      <c r="C37" s="5" t="s">
        <v>813</v>
      </c>
      <c r="D37" s="7" t="s">
        <v>322</v>
      </c>
      <c r="E37" s="5"/>
      <c r="F37" s="5"/>
      <c r="G37" s="7">
        <v>7</v>
      </c>
      <c r="H37" s="5" t="s">
        <v>828</v>
      </c>
      <c r="I37" s="5" t="s">
        <v>829</v>
      </c>
      <c r="J37" s="5"/>
      <c r="K37" s="7" t="s">
        <v>7</v>
      </c>
      <c r="L37" s="7"/>
      <c r="M37" s="5"/>
      <c r="N37" s="5"/>
    </row>
    <row r="38" spans="1:14" customHeight="1" ht="30">
      <c r="A38" s="8" t="s">
        <v>830</v>
      </c>
      <c r="B38" s="4" t="s">
        <v>752</v>
      </c>
      <c r="C38" s="4" t="s">
        <v>831</v>
      </c>
      <c r="D38" s="6" t="s">
        <v>309</v>
      </c>
      <c r="E38" s="4" t="s">
        <v>832</v>
      </c>
      <c r="F38" s="4" t="s">
        <v>833</v>
      </c>
      <c r="G38" s="6">
        <v>1</v>
      </c>
      <c r="H38" s="4" t="s">
        <v>834</v>
      </c>
      <c r="I38" s="4" t="s">
        <v>835</v>
      </c>
      <c r="J38" s="4"/>
      <c r="K38" s="6" t="s">
        <v>7</v>
      </c>
      <c r="L38" s="6"/>
      <c r="M38" s="4"/>
      <c r="N38" s="4"/>
    </row>
    <row r="39" spans="1:14" customHeight="1" ht="30">
      <c r="A39" s="8" t="s">
        <v>830</v>
      </c>
      <c r="B39" s="4" t="s">
        <v>752</v>
      </c>
      <c r="C39" s="4" t="s">
        <v>831</v>
      </c>
      <c r="D39" s="6" t="s">
        <v>309</v>
      </c>
      <c r="E39" s="4"/>
      <c r="F39" s="4"/>
      <c r="G39" s="6">
        <v>2</v>
      </c>
      <c r="H39" s="4" t="s">
        <v>836</v>
      </c>
      <c r="I39" s="4" t="s">
        <v>837</v>
      </c>
      <c r="J39" s="4"/>
      <c r="K39" s="6" t="s">
        <v>7</v>
      </c>
      <c r="L39" s="6"/>
      <c r="M39" s="4"/>
      <c r="N39" s="4"/>
    </row>
    <row r="40" spans="1:14" customHeight="1" ht="40">
      <c r="A40" s="8" t="s">
        <v>830</v>
      </c>
      <c r="B40" s="4" t="s">
        <v>752</v>
      </c>
      <c r="C40" s="4" t="s">
        <v>831</v>
      </c>
      <c r="D40" s="6" t="s">
        <v>309</v>
      </c>
      <c r="E40" s="4"/>
      <c r="F40" s="4"/>
      <c r="G40" s="6">
        <v>3</v>
      </c>
      <c r="H40" s="4" t="s">
        <v>838</v>
      </c>
      <c r="I40" s="4" t="s">
        <v>839</v>
      </c>
      <c r="J40" s="4"/>
      <c r="K40" s="6" t="s">
        <v>7</v>
      </c>
      <c r="L40" s="6"/>
      <c r="M40" s="4"/>
      <c r="N40" s="4"/>
    </row>
    <row r="41" spans="1:14" customHeight="1" ht="30">
      <c r="A41" s="8" t="s">
        <v>830</v>
      </c>
      <c r="B41" s="4" t="s">
        <v>752</v>
      </c>
      <c r="C41" s="4" t="s">
        <v>831</v>
      </c>
      <c r="D41" s="6" t="s">
        <v>309</v>
      </c>
      <c r="E41" s="4"/>
      <c r="F41" s="4"/>
      <c r="G41" s="6">
        <v>4</v>
      </c>
      <c r="H41" s="4" t="s">
        <v>840</v>
      </c>
      <c r="I41" s="4" t="s">
        <v>841</v>
      </c>
      <c r="J41" s="4"/>
      <c r="K41" s="6" t="s">
        <v>7</v>
      </c>
      <c r="L41" s="6"/>
      <c r="M41" s="4"/>
      <c r="N41" s="4"/>
    </row>
    <row r="42" spans="1:14" customHeight="1" ht="30">
      <c r="A42" s="8" t="s">
        <v>830</v>
      </c>
      <c r="B42" s="4" t="s">
        <v>752</v>
      </c>
      <c r="C42" s="4" t="s">
        <v>831</v>
      </c>
      <c r="D42" s="6" t="s">
        <v>309</v>
      </c>
      <c r="E42" s="4"/>
      <c r="F42" s="4"/>
      <c r="G42" s="6">
        <v>5</v>
      </c>
      <c r="H42" s="4" t="s">
        <v>842</v>
      </c>
      <c r="I42" s="4" t="s">
        <v>843</v>
      </c>
      <c r="J42" s="4"/>
      <c r="K42" s="6" t="s">
        <v>7</v>
      </c>
      <c r="L42" s="6"/>
      <c r="M42" s="4"/>
      <c r="N42" s="4"/>
    </row>
    <row r="43" spans="1:14" customHeight="1" ht="30">
      <c r="A43" s="8" t="s">
        <v>830</v>
      </c>
      <c r="B43" s="4" t="s">
        <v>752</v>
      </c>
      <c r="C43" s="4" t="s">
        <v>831</v>
      </c>
      <c r="D43" s="6" t="s">
        <v>309</v>
      </c>
      <c r="E43" s="4"/>
      <c r="F43" s="4"/>
      <c r="G43" s="6">
        <v>6</v>
      </c>
      <c r="H43" s="4" t="s">
        <v>844</v>
      </c>
      <c r="I43" s="4" t="s">
        <v>845</v>
      </c>
      <c r="J43" s="4"/>
      <c r="K43" s="6" t="s">
        <v>7</v>
      </c>
      <c r="L43" s="6"/>
      <c r="M43" s="4"/>
      <c r="N43" s="4"/>
    </row>
    <row r="44" spans="1:14" customHeight="1" ht="30">
      <c r="A44" s="8" t="s">
        <v>830</v>
      </c>
      <c r="B44" s="4" t="s">
        <v>752</v>
      </c>
      <c r="C44" s="4" t="s">
        <v>831</v>
      </c>
      <c r="D44" s="6" t="s">
        <v>309</v>
      </c>
      <c r="E44" s="4"/>
      <c r="F44" s="4"/>
      <c r="G44" s="6">
        <v>7</v>
      </c>
      <c r="H44" s="4" t="s">
        <v>846</v>
      </c>
      <c r="I44" s="4" t="s">
        <v>847</v>
      </c>
      <c r="J44" s="4"/>
      <c r="K44" s="6" t="s">
        <v>7</v>
      </c>
      <c r="L44" s="6"/>
      <c r="M44" s="4"/>
      <c r="N44" s="4"/>
    </row>
    <row r="45" spans="1:14" customHeight="1" ht="40">
      <c r="A45" s="8" t="s">
        <v>830</v>
      </c>
      <c r="B45" s="4" t="s">
        <v>752</v>
      </c>
      <c r="C45" s="4" t="s">
        <v>831</v>
      </c>
      <c r="D45" s="6" t="s">
        <v>309</v>
      </c>
      <c r="E45" s="4"/>
      <c r="F45" s="4"/>
      <c r="G45" s="6">
        <v>8</v>
      </c>
      <c r="H45" s="4" t="s">
        <v>848</v>
      </c>
      <c r="I45" s="4" t="s">
        <v>849</v>
      </c>
      <c r="J45" s="4"/>
      <c r="K45" s="6" t="s">
        <v>7</v>
      </c>
      <c r="L45" s="6"/>
      <c r="M45" s="4"/>
      <c r="N45" s="4"/>
    </row>
    <row r="46" spans="1:14" customHeight="1" ht="40">
      <c r="A46" s="9" t="s">
        <v>850</v>
      </c>
      <c r="B46" s="5" t="s">
        <v>752</v>
      </c>
      <c r="C46" s="5" t="s">
        <v>851</v>
      </c>
      <c r="D46" s="7" t="s">
        <v>309</v>
      </c>
      <c r="E46" s="5" t="s">
        <v>852</v>
      </c>
      <c r="F46" s="5" t="s">
        <v>853</v>
      </c>
      <c r="G46" s="7">
        <v>1</v>
      </c>
      <c r="H46" s="5" t="s">
        <v>854</v>
      </c>
      <c r="I46" s="5" t="s">
        <v>855</v>
      </c>
      <c r="J46" s="5"/>
      <c r="K46" s="7" t="s">
        <v>7</v>
      </c>
      <c r="L46" s="7"/>
      <c r="M46" s="5"/>
      <c r="N46" s="5"/>
    </row>
    <row r="47" spans="1:14" customHeight="1" ht="30">
      <c r="A47" s="9" t="s">
        <v>850</v>
      </c>
      <c r="B47" s="5" t="s">
        <v>752</v>
      </c>
      <c r="C47" s="5" t="s">
        <v>851</v>
      </c>
      <c r="D47" s="7" t="s">
        <v>309</v>
      </c>
      <c r="E47" s="5"/>
      <c r="F47" s="5"/>
      <c r="G47" s="7">
        <v>2</v>
      </c>
      <c r="H47" s="5" t="s">
        <v>856</v>
      </c>
      <c r="I47" s="5" t="s">
        <v>474</v>
      </c>
      <c r="J47" s="5"/>
      <c r="K47" s="7" t="s">
        <v>7</v>
      </c>
      <c r="L47" s="7"/>
      <c r="M47" s="5"/>
      <c r="N47" s="5"/>
    </row>
    <row r="48" spans="1:14" customHeight="1" ht="30">
      <c r="A48" s="9" t="s">
        <v>850</v>
      </c>
      <c r="B48" s="5" t="s">
        <v>752</v>
      </c>
      <c r="C48" s="5" t="s">
        <v>851</v>
      </c>
      <c r="D48" s="7" t="s">
        <v>309</v>
      </c>
      <c r="E48" s="5"/>
      <c r="F48" s="5"/>
      <c r="G48" s="7">
        <v>3</v>
      </c>
      <c r="H48" s="5" t="s">
        <v>857</v>
      </c>
      <c r="I48" s="5" t="s">
        <v>858</v>
      </c>
      <c r="J48" s="5"/>
      <c r="K48" s="7" t="s">
        <v>7</v>
      </c>
      <c r="L48" s="7"/>
      <c r="M48" s="5"/>
      <c r="N48" s="5"/>
    </row>
    <row r="49" spans="1:14" customHeight="1" ht="30">
      <c r="A49" s="9" t="s">
        <v>850</v>
      </c>
      <c r="B49" s="5" t="s">
        <v>752</v>
      </c>
      <c r="C49" s="5" t="s">
        <v>851</v>
      </c>
      <c r="D49" s="7" t="s">
        <v>309</v>
      </c>
      <c r="E49" s="5"/>
      <c r="F49" s="5"/>
      <c r="G49" s="7">
        <v>4</v>
      </c>
      <c r="H49" s="5" t="s">
        <v>859</v>
      </c>
      <c r="I49" s="5" t="s">
        <v>350</v>
      </c>
      <c r="J49" s="5"/>
      <c r="K49" s="7" t="s">
        <v>7</v>
      </c>
      <c r="L49" s="7"/>
      <c r="M49" s="5"/>
      <c r="N49" s="5"/>
    </row>
    <row r="50" spans="1:14" customHeight="1" ht="40">
      <c r="A50" s="9" t="s">
        <v>850</v>
      </c>
      <c r="B50" s="5" t="s">
        <v>752</v>
      </c>
      <c r="C50" s="5" t="s">
        <v>851</v>
      </c>
      <c r="D50" s="7" t="s">
        <v>309</v>
      </c>
      <c r="E50" s="5"/>
      <c r="F50" s="5"/>
      <c r="G50" s="7">
        <v>5</v>
      </c>
      <c r="H50" s="5" t="s">
        <v>860</v>
      </c>
      <c r="I50" s="5" t="s">
        <v>861</v>
      </c>
      <c r="J50" s="5"/>
      <c r="K50" s="7" t="s">
        <v>7</v>
      </c>
      <c r="L50" s="7"/>
      <c r="M50" s="5"/>
      <c r="N50" s="5"/>
    </row>
    <row r="51" spans="1:14" customHeight="1" ht="40">
      <c r="A51" s="9" t="s">
        <v>850</v>
      </c>
      <c r="B51" s="5" t="s">
        <v>752</v>
      </c>
      <c r="C51" s="5" t="s">
        <v>851</v>
      </c>
      <c r="D51" s="7" t="s">
        <v>309</v>
      </c>
      <c r="E51" s="5"/>
      <c r="F51" s="5"/>
      <c r="G51" s="7">
        <v>6</v>
      </c>
      <c r="H51" s="5" t="s">
        <v>862</v>
      </c>
      <c r="I51" s="5" t="s">
        <v>863</v>
      </c>
      <c r="J51" s="5"/>
      <c r="K51" s="7" t="s">
        <v>7</v>
      </c>
      <c r="L51" s="7"/>
      <c r="M51" s="5"/>
      <c r="N51" s="5"/>
    </row>
    <row r="52" spans="1:14" customHeight="1" ht="40">
      <c r="A52" s="8" t="s">
        <v>864</v>
      </c>
      <c r="B52" s="4" t="s">
        <v>752</v>
      </c>
      <c r="C52" s="4" t="s">
        <v>865</v>
      </c>
      <c r="D52" s="6" t="s">
        <v>309</v>
      </c>
      <c r="E52" s="4" t="s">
        <v>866</v>
      </c>
      <c r="F52" s="4" t="s">
        <v>799</v>
      </c>
      <c r="G52" s="6">
        <v>1</v>
      </c>
      <c r="H52" s="4" t="s">
        <v>867</v>
      </c>
      <c r="I52" s="4" t="s">
        <v>868</v>
      </c>
      <c r="J52" s="4"/>
      <c r="K52" s="6" t="s">
        <v>7</v>
      </c>
      <c r="L52" s="6"/>
      <c r="M52" s="4"/>
      <c r="N52" s="4"/>
    </row>
    <row r="53" spans="1:14" customHeight="1" ht="53">
      <c r="A53" s="8" t="s">
        <v>864</v>
      </c>
      <c r="B53" s="4" t="s">
        <v>752</v>
      </c>
      <c r="C53" s="4" t="s">
        <v>865</v>
      </c>
      <c r="D53" s="6" t="s">
        <v>309</v>
      </c>
      <c r="E53" s="4"/>
      <c r="F53" s="4"/>
      <c r="G53" s="6">
        <v>2</v>
      </c>
      <c r="H53" s="4" t="s">
        <v>869</v>
      </c>
      <c r="I53" s="4" t="s">
        <v>870</v>
      </c>
      <c r="J53" s="4"/>
      <c r="K53" s="6" t="s">
        <v>7</v>
      </c>
      <c r="L53" s="6"/>
      <c r="M53" s="4"/>
      <c r="N53" s="4"/>
    </row>
    <row r="54" spans="1:14" customHeight="1" ht="30">
      <c r="A54" s="8" t="s">
        <v>864</v>
      </c>
      <c r="B54" s="4" t="s">
        <v>752</v>
      </c>
      <c r="C54" s="4" t="s">
        <v>865</v>
      </c>
      <c r="D54" s="6" t="s">
        <v>309</v>
      </c>
      <c r="E54" s="4"/>
      <c r="F54" s="4"/>
      <c r="G54" s="6">
        <v>3</v>
      </c>
      <c r="H54" s="4" t="s">
        <v>871</v>
      </c>
      <c r="I54" s="4" t="s">
        <v>872</v>
      </c>
      <c r="J54" s="4"/>
      <c r="K54" s="6" t="s">
        <v>7</v>
      </c>
      <c r="L54" s="6"/>
      <c r="M54" s="4"/>
      <c r="N54" s="4"/>
    </row>
    <row r="55" spans="1:14" customHeight="1" ht="40">
      <c r="A55" s="9" t="s">
        <v>873</v>
      </c>
      <c r="B55" s="5" t="s">
        <v>752</v>
      </c>
      <c r="C55" s="5" t="s">
        <v>874</v>
      </c>
      <c r="D55" s="7" t="s">
        <v>309</v>
      </c>
      <c r="E55" s="5" t="s">
        <v>875</v>
      </c>
      <c r="F55" s="5" t="s">
        <v>876</v>
      </c>
      <c r="G55" s="7">
        <v>1</v>
      </c>
      <c r="H55" s="5" t="s">
        <v>877</v>
      </c>
      <c r="I55" s="5" t="s">
        <v>878</v>
      </c>
      <c r="J55" s="5"/>
      <c r="K55" s="7" t="s">
        <v>7</v>
      </c>
      <c r="L55" s="7"/>
      <c r="M55" s="5"/>
      <c r="N55" s="5"/>
    </row>
    <row r="56" spans="1:14" customHeight="1" ht="53">
      <c r="A56" s="9" t="s">
        <v>873</v>
      </c>
      <c r="B56" s="5" t="s">
        <v>752</v>
      </c>
      <c r="C56" s="5" t="s">
        <v>874</v>
      </c>
      <c r="D56" s="7" t="s">
        <v>309</v>
      </c>
      <c r="E56" s="5"/>
      <c r="F56" s="5"/>
      <c r="G56" s="7">
        <v>2</v>
      </c>
      <c r="H56" s="5" t="s">
        <v>879</v>
      </c>
      <c r="I56" s="5" t="s">
        <v>880</v>
      </c>
      <c r="J56" s="5"/>
      <c r="K56" s="7" t="s">
        <v>7</v>
      </c>
      <c r="L56" s="7"/>
      <c r="M56" s="5"/>
      <c r="N56" s="5"/>
    </row>
    <row r="57" spans="1:14" customHeight="1" ht="40">
      <c r="A57" s="9" t="s">
        <v>873</v>
      </c>
      <c r="B57" s="5" t="s">
        <v>752</v>
      </c>
      <c r="C57" s="5" t="s">
        <v>874</v>
      </c>
      <c r="D57" s="7" t="s">
        <v>309</v>
      </c>
      <c r="E57" s="5"/>
      <c r="F57" s="5"/>
      <c r="G57" s="7">
        <v>3</v>
      </c>
      <c r="H57" s="5" t="s">
        <v>881</v>
      </c>
      <c r="I57" s="5" t="s">
        <v>882</v>
      </c>
      <c r="J57" s="5"/>
      <c r="K57" s="7" t="s">
        <v>7</v>
      </c>
      <c r="L57" s="7"/>
      <c r="M57" s="5"/>
      <c r="N57" s="5"/>
    </row>
    <row r="58" spans="1:14" customHeight="1" ht="40">
      <c r="A58" s="9" t="s">
        <v>873</v>
      </c>
      <c r="B58" s="5" t="s">
        <v>752</v>
      </c>
      <c r="C58" s="5" t="s">
        <v>874</v>
      </c>
      <c r="D58" s="7" t="s">
        <v>309</v>
      </c>
      <c r="E58" s="5"/>
      <c r="F58" s="5"/>
      <c r="G58" s="7">
        <v>4</v>
      </c>
      <c r="H58" s="5" t="s">
        <v>883</v>
      </c>
      <c r="I58" s="5" t="s">
        <v>884</v>
      </c>
      <c r="J58" s="5"/>
      <c r="K58" s="7" t="s">
        <v>7</v>
      </c>
      <c r="L58" s="7"/>
      <c r="M58" s="5"/>
      <c r="N58" s="5"/>
    </row>
    <row r="59" spans="1:14" customHeight="1" ht="40">
      <c r="A59" s="8" t="s">
        <v>885</v>
      </c>
      <c r="B59" s="4" t="s">
        <v>752</v>
      </c>
      <c r="C59" s="4" t="s">
        <v>886</v>
      </c>
      <c r="D59" s="6" t="s">
        <v>441</v>
      </c>
      <c r="E59" s="4" t="s">
        <v>887</v>
      </c>
      <c r="F59" s="4" t="s">
        <v>888</v>
      </c>
      <c r="G59" s="6">
        <v>1</v>
      </c>
      <c r="H59" s="4" t="s">
        <v>889</v>
      </c>
      <c r="I59" s="4" t="s">
        <v>890</v>
      </c>
      <c r="J59" s="4"/>
      <c r="K59" s="6" t="s">
        <v>7</v>
      </c>
      <c r="L59" s="6"/>
      <c r="M59" s="4"/>
      <c r="N59" s="4"/>
    </row>
    <row r="60" spans="1:14" customHeight="1" ht="30">
      <c r="A60" s="8" t="s">
        <v>885</v>
      </c>
      <c r="B60" s="4" t="s">
        <v>752</v>
      </c>
      <c r="C60" s="4" t="s">
        <v>886</v>
      </c>
      <c r="D60" s="6" t="s">
        <v>441</v>
      </c>
      <c r="E60" s="4"/>
      <c r="F60" s="4"/>
      <c r="G60" s="6">
        <v>2</v>
      </c>
      <c r="H60" s="4" t="s">
        <v>891</v>
      </c>
      <c r="I60" s="4" t="s">
        <v>892</v>
      </c>
      <c r="J60" s="4"/>
      <c r="K60" s="6" t="s">
        <v>7</v>
      </c>
      <c r="L60" s="6"/>
      <c r="M60" s="4"/>
      <c r="N60" s="4"/>
    </row>
    <row r="61" spans="1:14" customHeight="1" ht="40">
      <c r="A61" s="8" t="s">
        <v>885</v>
      </c>
      <c r="B61" s="4" t="s">
        <v>752</v>
      </c>
      <c r="C61" s="4" t="s">
        <v>886</v>
      </c>
      <c r="D61" s="6" t="s">
        <v>441</v>
      </c>
      <c r="E61" s="4"/>
      <c r="F61" s="4"/>
      <c r="G61" s="6">
        <v>3</v>
      </c>
      <c r="H61" s="4" t="s">
        <v>893</v>
      </c>
      <c r="I61" s="4" t="s">
        <v>894</v>
      </c>
      <c r="J61" s="4"/>
      <c r="K61" s="6" t="s">
        <v>7</v>
      </c>
      <c r="L61" s="6"/>
      <c r="M61" s="4"/>
      <c r="N61" s="4"/>
    </row>
    <row r="62" spans="1:14" customHeight="1" ht="40">
      <c r="A62" s="8" t="s">
        <v>885</v>
      </c>
      <c r="B62" s="4" t="s">
        <v>752</v>
      </c>
      <c r="C62" s="4" t="s">
        <v>886</v>
      </c>
      <c r="D62" s="6" t="s">
        <v>441</v>
      </c>
      <c r="E62" s="4"/>
      <c r="F62" s="4"/>
      <c r="G62" s="6">
        <v>4</v>
      </c>
      <c r="H62" s="4" t="s">
        <v>895</v>
      </c>
      <c r="I62" s="4" t="s">
        <v>896</v>
      </c>
      <c r="J62" s="4"/>
      <c r="K62" s="6" t="s">
        <v>7</v>
      </c>
      <c r="L62" s="6"/>
      <c r="M62" s="4"/>
      <c r="N62" s="4"/>
    </row>
    <row r="63" spans="1:14" customHeight="1" ht="53">
      <c r="A63" s="8" t="s">
        <v>885</v>
      </c>
      <c r="B63" s="4" t="s">
        <v>752</v>
      </c>
      <c r="C63" s="4" t="s">
        <v>886</v>
      </c>
      <c r="D63" s="6" t="s">
        <v>441</v>
      </c>
      <c r="E63" s="4"/>
      <c r="F63" s="4"/>
      <c r="G63" s="6">
        <v>5</v>
      </c>
      <c r="H63" s="4" t="s">
        <v>897</v>
      </c>
      <c r="I63" s="4" t="s">
        <v>898</v>
      </c>
      <c r="J63" s="4"/>
      <c r="K63" s="6" t="s">
        <v>7</v>
      </c>
      <c r="L63" s="6"/>
      <c r="M63" s="4"/>
      <c r="N63" s="4"/>
    </row>
    <row r="64" spans="1:14" customHeight="1" ht="53">
      <c r="A64" s="9" t="s">
        <v>899</v>
      </c>
      <c r="B64" s="5" t="s">
        <v>752</v>
      </c>
      <c r="C64" s="5" t="s">
        <v>900</v>
      </c>
      <c r="D64" s="7" t="s">
        <v>514</v>
      </c>
      <c r="E64" s="5" t="s">
        <v>887</v>
      </c>
      <c r="F64" s="5" t="s">
        <v>901</v>
      </c>
      <c r="G64" s="7">
        <v>1</v>
      </c>
      <c r="H64" s="5" t="s">
        <v>902</v>
      </c>
      <c r="I64" s="5" t="s">
        <v>903</v>
      </c>
      <c r="J64" s="5"/>
      <c r="K64" s="7" t="s">
        <v>7</v>
      </c>
      <c r="L64" s="7"/>
      <c r="M64" s="5"/>
      <c r="N64" s="5"/>
    </row>
    <row r="65" spans="1:14" customHeight="1" ht="40">
      <c r="A65" s="9" t="s">
        <v>899</v>
      </c>
      <c r="B65" s="5" t="s">
        <v>752</v>
      </c>
      <c r="C65" s="5" t="s">
        <v>900</v>
      </c>
      <c r="D65" s="7" t="s">
        <v>514</v>
      </c>
      <c r="E65" s="5"/>
      <c r="F65" s="5"/>
      <c r="G65" s="7">
        <v>2</v>
      </c>
      <c r="H65" s="5" t="s">
        <v>904</v>
      </c>
      <c r="I65" s="5" t="s">
        <v>905</v>
      </c>
      <c r="J65" s="5"/>
      <c r="K65" s="7" t="s">
        <v>7</v>
      </c>
      <c r="L65" s="7"/>
      <c r="M65" s="5"/>
      <c r="N65" s="5"/>
    </row>
    <row r="66" spans="1:14" customHeight="1" ht="30">
      <c r="A66" s="9" t="s">
        <v>899</v>
      </c>
      <c r="B66" s="5" t="s">
        <v>752</v>
      </c>
      <c r="C66" s="5" t="s">
        <v>900</v>
      </c>
      <c r="D66" s="7" t="s">
        <v>514</v>
      </c>
      <c r="E66" s="5"/>
      <c r="F66" s="5"/>
      <c r="G66" s="7">
        <v>3</v>
      </c>
      <c r="H66" s="5" t="s">
        <v>906</v>
      </c>
      <c r="I66" s="5" t="s">
        <v>907</v>
      </c>
      <c r="J66" s="5"/>
      <c r="K66" s="7" t="s">
        <v>7</v>
      </c>
      <c r="L66" s="7"/>
      <c r="M66" s="5"/>
      <c r="N66" s="5"/>
    </row>
    <row r="67" spans="1:14" customHeight="1" ht="40">
      <c r="A67" s="9" t="s">
        <v>899</v>
      </c>
      <c r="B67" s="5" t="s">
        <v>752</v>
      </c>
      <c r="C67" s="5" t="s">
        <v>900</v>
      </c>
      <c r="D67" s="7" t="s">
        <v>514</v>
      </c>
      <c r="E67" s="5"/>
      <c r="F67" s="5"/>
      <c r="G67" s="7">
        <v>4</v>
      </c>
      <c r="H67" s="5" t="s">
        <v>908</v>
      </c>
      <c r="I67" s="5" t="s">
        <v>909</v>
      </c>
      <c r="J67" s="5"/>
      <c r="K67" s="7" t="s">
        <v>7</v>
      </c>
      <c r="L67" s="7"/>
      <c r="M67" s="5"/>
      <c r="N67" s="5"/>
    </row>
  </sheetData>
  <autoFilter ref="A3:N67"/>
  <mergeCells>
    <mergeCell ref="A1:N1"/>
    <mergeCell ref="A2:N2"/>
  </mergeCells>
  <conditionalFormatting sqref="K4:K67">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67">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67">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67">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67">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64"/>
  <sheetViews>
    <sheetView tabSelected="0" workbookViewId="0" showGridLines="true" showRowColHeaders="1">
      <pane xSplit="2" ySplit="3" topLeftCell="C4" activePane="bottomRight" state="frozen"/>
      <selection pane="topRight"/>
      <selection pane="bottomLeft"/>
      <selection pane="bottomRight" activeCell="L4" sqref="L4:L64"/>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910</v>
      </c>
    </row>
    <row r="2" spans="1:14" customHeight="1" ht="30">
      <c r="A2" s="2" t="s">
        <v>911</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912</v>
      </c>
      <c r="B4" s="4" t="s">
        <v>910</v>
      </c>
      <c r="C4" s="4" t="s">
        <v>913</v>
      </c>
      <c r="D4" s="6" t="s">
        <v>322</v>
      </c>
      <c r="E4" s="4" t="s">
        <v>914</v>
      </c>
      <c r="F4" s="4" t="s">
        <v>915</v>
      </c>
      <c r="G4" s="6">
        <v>1</v>
      </c>
      <c r="H4" s="4" t="s">
        <v>916</v>
      </c>
      <c r="I4" s="4" t="s">
        <v>917</v>
      </c>
      <c r="J4" s="4"/>
      <c r="K4" s="6" t="s">
        <v>7</v>
      </c>
      <c r="L4" s="6"/>
      <c r="M4" s="4"/>
      <c r="N4" s="4"/>
    </row>
    <row r="5" spans="1:14" customHeight="1" ht="30">
      <c r="A5" s="8" t="s">
        <v>912</v>
      </c>
      <c r="B5" s="4" t="s">
        <v>910</v>
      </c>
      <c r="C5" s="4" t="s">
        <v>913</v>
      </c>
      <c r="D5" s="6" t="s">
        <v>322</v>
      </c>
      <c r="E5" s="4"/>
      <c r="F5" s="4"/>
      <c r="G5" s="6">
        <v>2</v>
      </c>
      <c r="H5" s="4" t="s">
        <v>918</v>
      </c>
      <c r="I5" s="4" t="s">
        <v>919</v>
      </c>
      <c r="J5" s="4"/>
      <c r="K5" s="6" t="s">
        <v>7</v>
      </c>
      <c r="L5" s="6"/>
      <c r="M5" s="4"/>
      <c r="N5" s="4"/>
    </row>
    <row r="6" spans="1:14" customHeight="1" ht="40">
      <c r="A6" s="8" t="s">
        <v>912</v>
      </c>
      <c r="B6" s="4" t="s">
        <v>910</v>
      </c>
      <c r="C6" s="4" t="s">
        <v>913</v>
      </c>
      <c r="D6" s="6" t="s">
        <v>322</v>
      </c>
      <c r="E6" s="4"/>
      <c r="F6" s="4"/>
      <c r="G6" s="6">
        <v>3</v>
      </c>
      <c r="H6" s="4" t="s">
        <v>920</v>
      </c>
      <c r="I6" s="4" t="s">
        <v>921</v>
      </c>
      <c r="J6" s="4"/>
      <c r="K6" s="6" t="s">
        <v>7</v>
      </c>
      <c r="L6" s="6"/>
      <c r="M6" s="4"/>
      <c r="N6" s="4"/>
    </row>
    <row r="7" spans="1:14" customHeight="1" ht="40">
      <c r="A7" s="8" t="s">
        <v>912</v>
      </c>
      <c r="B7" s="4" t="s">
        <v>910</v>
      </c>
      <c r="C7" s="4" t="s">
        <v>913</v>
      </c>
      <c r="D7" s="6" t="s">
        <v>322</v>
      </c>
      <c r="E7" s="4"/>
      <c r="F7" s="4"/>
      <c r="G7" s="6">
        <v>4</v>
      </c>
      <c r="H7" s="4" t="s">
        <v>922</v>
      </c>
      <c r="I7" s="4" t="s">
        <v>923</v>
      </c>
      <c r="J7" s="4"/>
      <c r="K7" s="6" t="s">
        <v>7</v>
      </c>
      <c r="L7" s="6"/>
      <c r="M7" s="4"/>
      <c r="N7" s="4"/>
    </row>
    <row r="8" spans="1:14" customHeight="1" ht="40">
      <c r="A8" s="8" t="s">
        <v>912</v>
      </c>
      <c r="B8" s="4" t="s">
        <v>910</v>
      </c>
      <c r="C8" s="4" t="s">
        <v>913</v>
      </c>
      <c r="D8" s="6" t="s">
        <v>322</v>
      </c>
      <c r="E8" s="4"/>
      <c r="F8" s="4"/>
      <c r="G8" s="6">
        <v>5</v>
      </c>
      <c r="H8" s="4" t="s">
        <v>924</v>
      </c>
      <c r="I8" s="4" t="s">
        <v>925</v>
      </c>
      <c r="J8" s="4"/>
      <c r="K8" s="6" t="s">
        <v>7</v>
      </c>
      <c r="L8" s="6"/>
      <c r="M8" s="4"/>
      <c r="N8" s="4"/>
    </row>
    <row r="9" spans="1:14" customHeight="1" ht="30">
      <c r="A9" s="8" t="s">
        <v>912</v>
      </c>
      <c r="B9" s="4" t="s">
        <v>910</v>
      </c>
      <c r="C9" s="4" t="s">
        <v>913</v>
      </c>
      <c r="D9" s="6" t="s">
        <v>322</v>
      </c>
      <c r="E9" s="4"/>
      <c r="F9" s="4"/>
      <c r="G9" s="6">
        <v>6</v>
      </c>
      <c r="H9" s="4" t="s">
        <v>926</v>
      </c>
      <c r="I9" s="4" t="s">
        <v>927</v>
      </c>
      <c r="J9" s="4"/>
      <c r="K9" s="6" t="s">
        <v>7</v>
      </c>
      <c r="L9" s="6"/>
      <c r="M9" s="4"/>
      <c r="N9" s="4"/>
    </row>
    <row r="10" spans="1:14" customHeight="1" ht="30">
      <c r="A10" s="9" t="s">
        <v>928</v>
      </c>
      <c r="B10" s="5" t="s">
        <v>910</v>
      </c>
      <c r="C10" s="5" t="s">
        <v>929</v>
      </c>
      <c r="D10" s="7" t="s">
        <v>309</v>
      </c>
      <c r="E10" s="5" t="s">
        <v>930</v>
      </c>
      <c r="F10" s="5" t="s">
        <v>931</v>
      </c>
      <c r="G10" s="7">
        <v>1</v>
      </c>
      <c r="H10" s="5" t="s">
        <v>932</v>
      </c>
      <c r="I10" s="5" t="s">
        <v>933</v>
      </c>
      <c r="J10" s="5"/>
      <c r="K10" s="7" t="s">
        <v>7</v>
      </c>
      <c r="L10" s="7"/>
      <c r="M10" s="5"/>
      <c r="N10" s="5"/>
    </row>
    <row r="11" spans="1:14" customHeight="1" ht="30">
      <c r="A11" s="9" t="s">
        <v>928</v>
      </c>
      <c r="B11" s="5" t="s">
        <v>910</v>
      </c>
      <c r="C11" s="5" t="s">
        <v>929</v>
      </c>
      <c r="D11" s="7" t="s">
        <v>309</v>
      </c>
      <c r="E11" s="5"/>
      <c r="F11" s="5"/>
      <c r="G11" s="7">
        <v>2</v>
      </c>
      <c r="H11" s="5" t="s">
        <v>934</v>
      </c>
      <c r="I11" s="5" t="s">
        <v>935</v>
      </c>
      <c r="J11" s="5"/>
      <c r="K11" s="7" t="s">
        <v>7</v>
      </c>
      <c r="L11" s="7"/>
      <c r="M11" s="5"/>
      <c r="N11" s="5"/>
    </row>
    <row r="12" spans="1:14" customHeight="1" ht="30">
      <c r="A12" s="9" t="s">
        <v>928</v>
      </c>
      <c r="B12" s="5" t="s">
        <v>910</v>
      </c>
      <c r="C12" s="5" t="s">
        <v>929</v>
      </c>
      <c r="D12" s="7" t="s">
        <v>309</v>
      </c>
      <c r="E12" s="5"/>
      <c r="F12" s="5"/>
      <c r="G12" s="7">
        <v>3</v>
      </c>
      <c r="H12" s="5" t="s">
        <v>936</v>
      </c>
      <c r="I12" s="5" t="s">
        <v>937</v>
      </c>
      <c r="J12" s="5"/>
      <c r="K12" s="7" t="s">
        <v>7</v>
      </c>
      <c r="L12" s="7"/>
      <c r="M12" s="5"/>
      <c r="N12" s="5"/>
    </row>
    <row r="13" spans="1:14" customHeight="1" ht="30">
      <c r="A13" s="9" t="s">
        <v>928</v>
      </c>
      <c r="B13" s="5" t="s">
        <v>910</v>
      </c>
      <c r="C13" s="5" t="s">
        <v>929</v>
      </c>
      <c r="D13" s="7" t="s">
        <v>309</v>
      </c>
      <c r="E13" s="5"/>
      <c r="F13" s="5"/>
      <c r="G13" s="7">
        <v>4</v>
      </c>
      <c r="H13" s="5" t="s">
        <v>938</v>
      </c>
      <c r="I13" s="5" t="s">
        <v>939</v>
      </c>
      <c r="J13" s="5"/>
      <c r="K13" s="7" t="s">
        <v>7</v>
      </c>
      <c r="L13" s="7"/>
      <c r="M13" s="5"/>
      <c r="N13" s="5"/>
    </row>
    <row r="14" spans="1:14" customHeight="1" ht="30">
      <c r="A14" s="9" t="s">
        <v>928</v>
      </c>
      <c r="B14" s="5" t="s">
        <v>910</v>
      </c>
      <c r="C14" s="5" t="s">
        <v>929</v>
      </c>
      <c r="D14" s="7" t="s">
        <v>309</v>
      </c>
      <c r="E14" s="5"/>
      <c r="F14" s="5"/>
      <c r="G14" s="7">
        <v>5</v>
      </c>
      <c r="H14" s="5" t="s">
        <v>940</v>
      </c>
      <c r="I14" s="5" t="s">
        <v>941</v>
      </c>
      <c r="J14" s="5"/>
      <c r="K14" s="7" t="s">
        <v>7</v>
      </c>
      <c r="L14" s="7"/>
      <c r="M14" s="5"/>
      <c r="N14" s="5"/>
    </row>
    <row r="15" spans="1:14" customHeight="1" ht="30">
      <c r="A15" s="9" t="s">
        <v>928</v>
      </c>
      <c r="B15" s="5" t="s">
        <v>910</v>
      </c>
      <c r="C15" s="5" t="s">
        <v>929</v>
      </c>
      <c r="D15" s="7" t="s">
        <v>309</v>
      </c>
      <c r="E15" s="5"/>
      <c r="F15" s="5"/>
      <c r="G15" s="7">
        <v>6</v>
      </c>
      <c r="H15" s="5" t="s">
        <v>942</v>
      </c>
      <c r="I15" s="5" t="s">
        <v>943</v>
      </c>
      <c r="J15" s="5"/>
      <c r="K15" s="7" t="s">
        <v>7</v>
      </c>
      <c r="L15" s="7"/>
      <c r="M15" s="5"/>
      <c r="N15" s="5"/>
    </row>
    <row r="16" spans="1:14" customHeight="1" ht="53">
      <c r="A16" s="9" t="s">
        <v>928</v>
      </c>
      <c r="B16" s="5" t="s">
        <v>910</v>
      </c>
      <c r="C16" s="5" t="s">
        <v>929</v>
      </c>
      <c r="D16" s="7" t="s">
        <v>309</v>
      </c>
      <c r="E16" s="5"/>
      <c r="F16" s="5"/>
      <c r="G16" s="7">
        <v>7</v>
      </c>
      <c r="H16" s="5" t="s">
        <v>944</v>
      </c>
      <c r="I16" s="5" t="s">
        <v>945</v>
      </c>
      <c r="J16" s="5"/>
      <c r="K16" s="7" t="s">
        <v>7</v>
      </c>
      <c r="L16" s="7"/>
      <c r="M16" s="5"/>
      <c r="N16" s="5"/>
    </row>
    <row r="17" spans="1:14" customHeight="1" ht="40">
      <c r="A17" s="9" t="s">
        <v>928</v>
      </c>
      <c r="B17" s="5" t="s">
        <v>910</v>
      </c>
      <c r="C17" s="5" t="s">
        <v>929</v>
      </c>
      <c r="D17" s="7" t="s">
        <v>309</v>
      </c>
      <c r="E17" s="5"/>
      <c r="F17" s="5"/>
      <c r="G17" s="7">
        <v>8</v>
      </c>
      <c r="H17" s="5" t="s">
        <v>946</v>
      </c>
      <c r="I17" s="5" t="s">
        <v>947</v>
      </c>
      <c r="J17" s="5"/>
      <c r="K17" s="7" t="s">
        <v>7</v>
      </c>
      <c r="L17" s="7"/>
      <c r="M17" s="5"/>
      <c r="N17" s="5"/>
    </row>
    <row r="18" spans="1:14" customHeight="1" ht="40">
      <c r="A18" s="8" t="s">
        <v>948</v>
      </c>
      <c r="B18" s="4" t="s">
        <v>910</v>
      </c>
      <c r="C18" s="4" t="s">
        <v>949</v>
      </c>
      <c r="D18" s="6" t="s">
        <v>322</v>
      </c>
      <c r="E18" s="4" t="s">
        <v>950</v>
      </c>
      <c r="F18" s="4" t="s">
        <v>951</v>
      </c>
      <c r="G18" s="6">
        <v>1</v>
      </c>
      <c r="H18" s="4" t="s">
        <v>952</v>
      </c>
      <c r="I18" s="4" t="s">
        <v>953</v>
      </c>
      <c r="J18" s="4"/>
      <c r="K18" s="6" t="s">
        <v>7</v>
      </c>
      <c r="L18" s="6"/>
      <c r="M18" s="4"/>
      <c r="N18" s="4"/>
    </row>
    <row r="19" spans="1:14" customHeight="1" ht="40">
      <c r="A19" s="8" t="s">
        <v>948</v>
      </c>
      <c r="B19" s="4" t="s">
        <v>910</v>
      </c>
      <c r="C19" s="4" t="s">
        <v>949</v>
      </c>
      <c r="D19" s="6" t="s">
        <v>322</v>
      </c>
      <c r="E19" s="4"/>
      <c r="F19" s="4"/>
      <c r="G19" s="6">
        <v>2</v>
      </c>
      <c r="H19" s="4" t="s">
        <v>954</v>
      </c>
      <c r="I19" s="4" t="s">
        <v>955</v>
      </c>
      <c r="J19" s="4"/>
      <c r="K19" s="6" t="s">
        <v>7</v>
      </c>
      <c r="L19" s="6"/>
      <c r="M19" s="4"/>
      <c r="N19" s="4"/>
    </row>
    <row r="20" spans="1:14" customHeight="1" ht="40">
      <c r="A20" s="8" t="s">
        <v>948</v>
      </c>
      <c r="B20" s="4" t="s">
        <v>910</v>
      </c>
      <c r="C20" s="4" t="s">
        <v>949</v>
      </c>
      <c r="D20" s="6" t="s">
        <v>322</v>
      </c>
      <c r="E20" s="4"/>
      <c r="F20" s="4"/>
      <c r="G20" s="6">
        <v>3</v>
      </c>
      <c r="H20" s="4" t="s">
        <v>956</v>
      </c>
      <c r="I20" s="4" t="s">
        <v>957</v>
      </c>
      <c r="J20" s="4"/>
      <c r="K20" s="6" t="s">
        <v>7</v>
      </c>
      <c r="L20" s="6"/>
      <c r="M20" s="4"/>
      <c r="N20" s="4"/>
    </row>
    <row r="21" spans="1:14" customHeight="1" ht="30">
      <c r="A21" s="8" t="s">
        <v>948</v>
      </c>
      <c r="B21" s="4" t="s">
        <v>910</v>
      </c>
      <c r="C21" s="4" t="s">
        <v>949</v>
      </c>
      <c r="D21" s="6" t="s">
        <v>322</v>
      </c>
      <c r="E21" s="4"/>
      <c r="F21" s="4"/>
      <c r="G21" s="6">
        <v>4</v>
      </c>
      <c r="H21" s="4" t="s">
        <v>958</v>
      </c>
      <c r="I21" s="4" t="s">
        <v>959</v>
      </c>
      <c r="J21" s="4"/>
      <c r="K21" s="6" t="s">
        <v>7</v>
      </c>
      <c r="L21" s="6"/>
      <c r="M21" s="4"/>
      <c r="N21" s="4"/>
    </row>
    <row r="22" spans="1:14" customHeight="1" ht="53">
      <c r="A22" s="8" t="s">
        <v>948</v>
      </c>
      <c r="B22" s="4" t="s">
        <v>910</v>
      </c>
      <c r="C22" s="4" t="s">
        <v>949</v>
      </c>
      <c r="D22" s="6" t="s">
        <v>322</v>
      </c>
      <c r="E22" s="4"/>
      <c r="F22" s="4"/>
      <c r="G22" s="6">
        <v>5</v>
      </c>
      <c r="H22" s="4" t="s">
        <v>960</v>
      </c>
      <c r="I22" s="4" t="s">
        <v>961</v>
      </c>
      <c r="J22" s="4"/>
      <c r="K22" s="6" t="s">
        <v>7</v>
      </c>
      <c r="L22" s="6"/>
      <c r="M22" s="4"/>
      <c r="N22" s="4"/>
    </row>
    <row r="23" spans="1:14" customHeight="1" ht="40">
      <c r="A23" s="8" t="s">
        <v>948</v>
      </c>
      <c r="B23" s="4" t="s">
        <v>910</v>
      </c>
      <c r="C23" s="4" t="s">
        <v>949</v>
      </c>
      <c r="D23" s="6" t="s">
        <v>322</v>
      </c>
      <c r="E23" s="4"/>
      <c r="F23" s="4"/>
      <c r="G23" s="6">
        <v>6</v>
      </c>
      <c r="H23" s="4" t="s">
        <v>962</v>
      </c>
      <c r="I23" s="4" t="s">
        <v>963</v>
      </c>
      <c r="J23" s="4"/>
      <c r="K23" s="6" t="s">
        <v>7</v>
      </c>
      <c r="L23" s="6"/>
      <c r="M23" s="4"/>
      <c r="N23" s="4"/>
    </row>
    <row r="24" spans="1:14" customHeight="1" ht="40">
      <c r="A24" s="8" t="s">
        <v>948</v>
      </c>
      <c r="B24" s="4" t="s">
        <v>910</v>
      </c>
      <c r="C24" s="4" t="s">
        <v>949</v>
      </c>
      <c r="D24" s="6" t="s">
        <v>322</v>
      </c>
      <c r="E24" s="4"/>
      <c r="F24" s="4"/>
      <c r="G24" s="6">
        <v>7</v>
      </c>
      <c r="H24" s="4" t="s">
        <v>964</v>
      </c>
      <c r="I24" s="4" t="s">
        <v>965</v>
      </c>
      <c r="J24" s="4"/>
      <c r="K24" s="6" t="s">
        <v>7</v>
      </c>
      <c r="L24" s="6"/>
      <c r="M24" s="4"/>
      <c r="N24" s="4"/>
    </row>
    <row r="25" spans="1:14" customHeight="1" ht="30">
      <c r="A25" s="9" t="s">
        <v>966</v>
      </c>
      <c r="B25" s="5" t="s">
        <v>910</v>
      </c>
      <c r="C25" s="5" t="s">
        <v>967</v>
      </c>
      <c r="D25" s="7" t="s">
        <v>322</v>
      </c>
      <c r="E25" s="5" t="s">
        <v>968</v>
      </c>
      <c r="F25" s="5" t="s">
        <v>815</v>
      </c>
      <c r="G25" s="7">
        <v>1</v>
      </c>
      <c r="H25" s="5" t="s">
        <v>969</v>
      </c>
      <c r="I25" s="5" t="s">
        <v>594</v>
      </c>
      <c r="J25" s="5"/>
      <c r="K25" s="7" t="s">
        <v>7</v>
      </c>
      <c r="L25" s="7"/>
      <c r="M25" s="5"/>
      <c r="N25" s="5"/>
    </row>
    <row r="26" spans="1:14" customHeight="1" ht="40">
      <c r="A26" s="9" t="s">
        <v>966</v>
      </c>
      <c r="B26" s="5" t="s">
        <v>910</v>
      </c>
      <c r="C26" s="5" t="s">
        <v>967</v>
      </c>
      <c r="D26" s="7" t="s">
        <v>322</v>
      </c>
      <c r="E26" s="5"/>
      <c r="F26" s="5"/>
      <c r="G26" s="7">
        <v>2</v>
      </c>
      <c r="H26" s="5" t="s">
        <v>970</v>
      </c>
      <c r="I26" s="5" t="s">
        <v>971</v>
      </c>
      <c r="J26" s="5"/>
      <c r="K26" s="7" t="s">
        <v>7</v>
      </c>
      <c r="L26" s="7"/>
      <c r="M26" s="5"/>
      <c r="N26" s="5"/>
    </row>
    <row r="27" spans="1:14" customHeight="1" ht="53">
      <c r="A27" s="9" t="s">
        <v>966</v>
      </c>
      <c r="B27" s="5" t="s">
        <v>910</v>
      </c>
      <c r="C27" s="5" t="s">
        <v>967</v>
      </c>
      <c r="D27" s="7" t="s">
        <v>322</v>
      </c>
      <c r="E27" s="5"/>
      <c r="F27" s="5"/>
      <c r="G27" s="7">
        <v>3</v>
      </c>
      <c r="H27" s="5" t="s">
        <v>972</v>
      </c>
      <c r="I27" s="5" t="s">
        <v>973</v>
      </c>
      <c r="J27" s="5"/>
      <c r="K27" s="7" t="s">
        <v>7</v>
      </c>
      <c r="L27" s="7"/>
      <c r="M27" s="5"/>
      <c r="N27" s="5"/>
    </row>
    <row r="28" spans="1:14" customHeight="1" ht="40">
      <c r="A28" s="9" t="s">
        <v>966</v>
      </c>
      <c r="B28" s="5" t="s">
        <v>910</v>
      </c>
      <c r="C28" s="5" t="s">
        <v>967</v>
      </c>
      <c r="D28" s="7" t="s">
        <v>322</v>
      </c>
      <c r="E28" s="5"/>
      <c r="F28" s="5"/>
      <c r="G28" s="7">
        <v>4</v>
      </c>
      <c r="H28" s="5" t="s">
        <v>974</v>
      </c>
      <c r="I28" s="5" t="s">
        <v>975</v>
      </c>
      <c r="J28" s="5"/>
      <c r="K28" s="7" t="s">
        <v>7</v>
      </c>
      <c r="L28" s="7"/>
      <c r="M28" s="5"/>
      <c r="N28" s="5"/>
    </row>
    <row r="29" spans="1:14" customHeight="1" ht="30">
      <c r="A29" s="9" t="s">
        <v>966</v>
      </c>
      <c r="B29" s="5" t="s">
        <v>910</v>
      </c>
      <c r="C29" s="5" t="s">
        <v>967</v>
      </c>
      <c r="D29" s="7" t="s">
        <v>322</v>
      </c>
      <c r="E29" s="5"/>
      <c r="F29" s="5"/>
      <c r="G29" s="7">
        <v>5</v>
      </c>
      <c r="H29" s="5" t="s">
        <v>976</v>
      </c>
      <c r="I29" s="5" t="s">
        <v>977</v>
      </c>
      <c r="J29" s="5"/>
      <c r="K29" s="7" t="s">
        <v>7</v>
      </c>
      <c r="L29" s="7"/>
      <c r="M29" s="5"/>
      <c r="N29" s="5"/>
    </row>
    <row r="30" spans="1:14" customHeight="1" ht="30">
      <c r="A30" s="9" t="s">
        <v>966</v>
      </c>
      <c r="B30" s="5" t="s">
        <v>910</v>
      </c>
      <c r="C30" s="5" t="s">
        <v>967</v>
      </c>
      <c r="D30" s="7" t="s">
        <v>322</v>
      </c>
      <c r="E30" s="5"/>
      <c r="F30" s="5"/>
      <c r="G30" s="7">
        <v>6</v>
      </c>
      <c r="H30" s="5" t="s">
        <v>820</v>
      </c>
      <c r="I30" s="5" t="s">
        <v>978</v>
      </c>
      <c r="J30" s="5"/>
      <c r="K30" s="7" t="s">
        <v>7</v>
      </c>
      <c r="L30" s="7"/>
      <c r="M30" s="5"/>
      <c r="N30" s="5"/>
    </row>
    <row r="31" spans="1:14" customHeight="1" ht="40">
      <c r="A31" s="9" t="s">
        <v>966</v>
      </c>
      <c r="B31" s="5" t="s">
        <v>910</v>
      </c>
      <c r="C31" s="5" t="s">
        <v>967</v>
      </c>
      <c r="D31" s="7" t="s">
        <v>322</v>
      </c>
      <c r="E31" s="5"/>
      <c r="F31" s="5"/>
      <c r="G31" s="7">
        <v>7</v>
      </c>
      <c r="H31" s="5" t="s">
        <v>822</v>
      </c>
      <c r="I31" s="5" t="s">
        <v>979</v>
      </c>
      <c r="J31" s="5"/>
      <c r="K31" s="7" t="s">
        <v>7</v>
      </c>
      <c r="L31" s="7"/>
      <c r="M31" s="5"/>
      <c r="N31" s="5"/>
    </row>
    <row r="32" spans="1:14" customHeight="1" ht="53">
      <c r="A32" s="9" t="s">
        <v>966</v>
      </c>
      <c r="B32" s="5" t="s">
        <v>910</v>
      </c>
      <c r="C32" s="5" t="s">
        <v>967</v>
      </c>
      <c r="D32" s="7" t="s">
        <v>322</v>
      </c>
      <c r="E32" s="5"/>
      <c r="F32" s="5"/>
      <c r="G32" s="7">
        <v>8</v>
      </c>
      <c r="H32" s="5" t="s">
        <v>980</v>
      </c>
      <c r="I32" s="5" t="s">
        <v>981</v>
      </c>
      <c r="J32" s="5"/>
      <c r="K32" s="7" t="s">
        <v>7</v>
      </c>
      <c r="L32" s="7"/>
      <c r="M32" s="5"/>
      <c r="N32" s="5"/>
    </row>
    <row r="33" spans="1:14" customHeight="1" ht="40">
      <c r="A33" s="9" t="s">
        <v>966</v>
      </c>
      <c r="B33" s="5" t="s">
        <v>910</v>
      </c>
      <c r="C33" s="5" t="s">
        <v>967</v>
      </c>
      <c r="D33" s="7" t="s">
        <v>322</v>
      </c>
      <c r="E33" s="5"/>
      <c r="F33" s="5"/>
      <c r="G33" s="7">
        <v>9</v>
      </c>
      <c r="H33" s="5" t="s">
        <v>982</v>
      </c>
      <c r="I33" s="5" t="s">
        <v>983</v>
      </c>
      <c r="J33" s="5"/>
      <c r="K33" s="7" t="s">
        <v>7</v>
      </c>
      <c r="L33" s="7"/>
      <c r="M33" s="5"/>
      <c r="N33" s="5"/>
    </row>
    <row r="34" spans="1:14" customHeight="1" ht="30">
      <c r="A34" s="8" t="s">
        <v>984</v>
      </c>
      <c r="B34" s="4" t="s">
        <v>910</v>
      </c>
      <c r="C34" s="4" t="s">
        <v>985</v>
      </c>
      <c r="D34" s="6" t="s">
        <v>309</v>
      </c>
      <c r="E34" s="4" t="s">
        <v>986</v>
      </c>
      <c r="F34" s="4" t="s">
        <v>987</v>
      </c>
      <c r="G34" s="6">
        <v>1</v>
      </c>
      <c r="H34" s="4" t="s">
        <v>591</v>
      </c>
      <c r="I34" s="4" t="s">
        <v>988</v>
      </c>
      <c r="J34" s="4"/>
      <c r="K34" s="6" t="s">
        <v>7</v>
      </c>
      <c r="L34" s="6"/>
      <c r="M34" s="4"/>
      <c r="N34" s="4"/>
    </row>
    <row r="35" spans="1:14" customHeight="1" ht="30">
      <c r="A35" s="8" t="s">
        <v>984</v>
      </c>
      <c r="B35" s="4" t="s">
        <v>910</v>
      </c>
      <c r="C35" s="4" t="s">
        <v>985</v>
      </c>
      <c r="D35" s="6" t="s">
        <v>309</v>
      </c>
      <c r="E35" s="4"/>
      <c r="F35" s="4"/>
      <c r="G35" s="6">
        <v>2</v>
      </c>
      <c r="H35" s="4" t="s">
        <v>989</v>
      </c>
      <c r="I35" s="4" t="s">
        <v>594</v>
      </c>
      <c r="J35" s="4"/>
      <c r="K35" s="6" t="s">
        <v>7</v>
      </c>
      <c r="L35" s="6"/>
      <c r="M35" s="4"/>
      <c r="N35" s="4"/>
    </row>
    <row r="36" spans="1:14" customHeight="1" ht="30">
      <c r="A36" s="8" t="s">
        <v>984</v>
      </c>
      <c r="B36" s="4" t="s">
        <v>910</v>
      </c>
      <c r="C36" s="4" t="s">
        <v>985</v>
      </c>
      <c r="D36" s="6" t="s">
        <v>309</v>
      </c>
      <c r="E36" s="4"/>
      <c r="F36" s="4"/>
      <c r="G36" s="6">
        <v>3</v>
      </c>
      <c r="H36" s="4" t="s">
        <v>595</v>
      </c>
      <c r="I36" s="4" t="s">
        <v>990</v>
      </c>
      <c r="J36" s="4"/>
      <c r="K36" s="6" t="s">
        <v>7</v>
      </c>
      <c r="L36" s="6"/>
      <c r="M36" s="4"/>
      <c r="N36" s="4"/>
    </row>
    <row r="37" spans="1:14" customHeight="1" ht="30">
      <c r="A37" s="8" t="s">
        <v>984</v>
      </c>
      <c r="B37" s="4" t="s">
        <v>910</v>
      </c>
      <c r="C37" s="4" t="s">
        <v>985</v>
      </c>
      <c r="D37" s="6" t="s">
        <v>309</v>
      </c>
      <c r="E37" s="4"/>
      <c r="F37" s="4"/>
      <c r="G37" s="6">
        <v>4</v>
      </c>
      <c r="H37" s="4" t="s">
        <v>991</v>
      </c>
      <c r="I37" s="4" t="s">
        <v>992</v>
      </c>
      <c r="J37" s="4"/>
      <c r="K37" s="6" t="s">
        <v>7</v>
      </c>
      <c r="L37" s="6"/>
      <c r="M37" s="4"/>
      <c r="N37" s="4"/>
    </row>
    <row r="38" spans="1:14" customHeight="1" ht="40">
      <c r="A38" s="8" t="s">
        <v>984</v>
      </c>
      <c r="B38" s="4" t="s">
        <v>910</v>
      </c>
      <c r="C38" s="4" t="s">
        <v>985</v>
      </c>
      <c r="D38" s="6" t="s">
        <v>309</v>
      </c>
      <c r="E38" s="4"/>
      <c r="F38" s="4"/>
      <c r="G38" s="6">
        <v>5</v>
      </c>
      <c r="H38" s="4" t="s">
        <v>993</v>
      </c>
      <c r="I38" s="4" t="s">
        <v>994</v>
      </c>
      <c r="J38" s="4"/>
      <c r="K38" s="6" t="s">
        <v>7</v>
      </c>
      <c r="L38" s="6"/>
      <c r="M38" s="4"/>
      <c r="N38" s="4"/>
    </row>
    <row r="39" spans="1:14" customHeight="1" ht="30">
      <c r="A39" s="9" t="s">
        <v>995</v>
      </c>
      <c r="B39" s="5" t="s">
        <v>910</v>
      </c>
      <c r="C39" s="5" t="s">
        <v>996</v>
      </c>
      <c r="D39" s="7" t="s">
        <v>309</v>
      </c>
      <c r="E39" s="5" t="s">
        <v>997</v>
      </c>
      <c r="F39" s="5" t="s">
        <v>998</v>
      </c>
      <c r="G39" s="7">
        <v>1</v>
      </c>
      <c r="H39" s="5" t="s">
        <v>999</v>
      </c>
      <c r="I39" s="5" t="s">
        <v>1000</v>
      </c>
      <c r="J39" s="5"/>
      <c r="K39" s="7" t="s">
        <v>7</v>
      </c>
      <c r="L39" s="7"/>
      <c r="M39" s="5"/>
      <c r="N39" s="5"/>
    </row>
    <row r="40" spans="1:14" customHeight="1" ht="40">
      <c r="A40" s="9" t="s">
        <v>995</v>
      </c>
      <c r="B40" s="5" t="s">
        <v>910</v>
      </c>
      <c r="C40" s="5" t="s">
        <v>996</v>
      </c>
      <c r="D40" s="7" t="s">
        <v>309</v>
      </c>
      <c r="E40" s="5"/>
      <c r="F40" s="5"/>
      <c r="G40" s="7">
        <v>2</v>
      </c>
      <c r="H40" s="5" t="s">
        <v>1001</v>
      </c>
      <c r="I40" s="5" t="s">
        <v>1002</v>
      </c>
      <c r="J40" s="5"/>
      <c r="K40" s="7" t="s">
        <v>7</v>
      </c>
      <c r="L40" s="7"/>
      <c r="M40" s="5"/>
      <c r="N40" s="5"/>
    </row>
    <row r="41" spans="1:14" customHeight="1" ht="40">
      <c r="A41" s="9" t="s">
        <v>995</v>
      </c>
      <c r="B41" s="5" t="s">
        <v>910</v>
      </c>
      <c r="C41" s="5" t="s">
        <v>996</v>
      </c>
      <c r="D41" s="7" t="s">
        <v>309</v>
      </c>
      <c r="E41" s="5"/>
      <c r="F41" s="5"/>
      <c r="G41" s="7">
        <v>3</v>
      </c>
      <c r="H41" s="5" t="s">
        <v>1003</v>
      </c>
      <c r="I41" s="5" t="s">
        <v>1004</v>
      </c>
      <c r="J41" s="5"/>
      <c r="K41" s="7" t="s">
        <v>7</v>
      </c>
      <c r="L41" s="7"/>
      <c r="M41" s="5"/>
      <c r="N41" s="5"/>
    </row>
    <row r="42" spans="1:14" customHeight="1" ht="40">
      <c r="A42" s="9" t="s">
        <v>995</v>
      </c>
      <c r="B42" s="5" t="s">
        <v>910</v>
      </c>
      <c r="C42" s="5" t="s">
        <v>996</v>
      </c>
      <c r="D42" s="7" t="s">
        <v>309</v>
      </c>
      <c r="E42" s="5"/>
      <c r="F42" s="5"/>
      <c r="G42" s="7">
        <v>4</v>
      </c>
      <c r="H42" s="5" t="s">
        <v>1005</v>
      </c>
      <c r="I42" s="5" t="s">
        <v>1006</v>
      </c>
      <c r="J42" s="5"/>
      <c r="K42" s="7" t="s">
        <v>7</v>
      </c>
      <c r="L42" s="7"/>
      <c r="M42" s="5"/>
      <c r="N42" s="5"/>
    </row>
    <row r="43" spans="1:14" customHeight="1" ht="30">
      <c r="A43" s="9" t="s">
        <v>995</v>
      </c>
      <c r="B43" s="5" t="s">
        <v>910</v>
      </c>
      <c r="C43" s="5" t="s">
        <v>996</v>
      </c>
      <c r="D43" s="7" t="s">
        <v>309</v>
      </c>
      <c r="E43" s="5"/>
      <c r="F43" s="5"/>
      <c r="G43" s="7">
        <v>5</v>
      </c>
      <c r="H43" s="5" t="s">
        <v>1007</v>
      </c>
      <c r="I43" s="5" t="s">
        <v>1008</v>
      </c>
      <c r="J43" s="5"/>
      <c r="K43" s="7" t="s">
        <v>7</v>
      </c>
      <c r="L43" s="7"/>
      <c r="M43" s="5"/>
      <c r="N43" s="5"/>
    </row>
    <row r="44" spans="1:14" customHeight="1" ht="40">
      <c r="A44" s="8" t="s">
        <v>1009</v>
      </c>
      <c r="B44" s="4" t="s">
        <v>910</v>
      </c>
      <c r="C44" s="4" t="s">
        <v>1010</v>
      </c>
      <c r="D44" s="6" t="s">
        <v>322</v>
      </c>
      <c r="E44" s="4" t="s">
        <v>1011</v>
      </c>
      <c r="F44" s="4" t="s">
        <v>1012</v>
      </c>
      <c r="G44" s="6">
        <v>1</v>
      </c>
      <c r="H44" s="4" t="s">
        <v>1013</v>
      </c>
      <c r="I44" s="4" t="s">
        <v>1014</v>
      </c>
      <c r="J44" s="4"/>
      <c r="K44" s="6" t="s">
        <v>7</v>
      </c>
      <c r="L44" s="6"/>
      <c r="M44" s="4"/>
      <c r="N44" s="4"/>
    </row>
    <row r="45" spans="1:14" customHeight="1" ht="40">
      <c r="A45" s="8" t="s">
        <v>1009</v>
      </c>
      <c r="B45" s="4" t="s">
        <v>910</v>
      </c>
      <c r="C45" s="4" t="s">
        <v>1010</v>
      </c>
      <c r="D45" s="6" t="s">
        <v>322</v>
      </c>
      <c r="E45" s="4"/>
      <c r="F45" s="4"/>
      <c r="G45" s="6">
        <v>2</v>
      </c>
      <c r="H45" s="4" t="s">
        <v>1015</v>
      </c>
      <c r="I45" s="4" t="s">
        <v>1016</v>
      </c>
      <c r="J45" s="4"/>
      <c r="K45" s="6" t="s">
        <v>7</v>
      </c>
      <c r="L45" s="6"/>
      <c r="M45" s="4"/>
      <c r="N45" s="4"/>
    </row>
    <row r="46" spans="1:14" customHeight="1" ht="40">
      <c r="A46" s="8" t="s">
        <v>1009</v>
      </c>
      <c r="B46" s="4" t="s">
        <v>910</v>
      </c>
      <c r="C46" s="4" t="s">
        <v>1010</v>
      </c>
      <c r="D46" s="6" t="s">
        <v>322</v>
      </c>
      <c r="E46" s="4"/>
      <c r="F46" s="4"/>
      <c r="G46" s="6">
        <v>3</v>
      </c>
      <c r="H46" s="4" t="s">
        <v>1017</v>
      </c>
      <c r="I46" s="4" t="s">
        <v>1018</v>
      </c>
      <c r="J46" s="4"/>
      <c r="K46" s="6" t="s">
        <v>7</v>
      </c>
      <c r="L46" s="6"/>
      <c r="M46" s="4"/>
      <c r="N46" s="4"/>
    </row>
    <row r="47" spans="1:14" customHeight="1" ht="66">
      <c r="A47" s="8" t="s">
        <v>1009</v>
      </c>
      <c r="B47" s="4" t="s">
        <v>910</v>
      </c>
      <c r="C47" s="4" t="s">
        <v>1010</v>
      </c>
      <c r="D47" s="6" t="s">
        <v>322</v>
      </c>
      <c r="E47" s="4"/>
      <c r="F47" s="4"/>
      <c r="G47" s="6">
        <v>4</v>
      </c>
      <c r="H47" s="4" t="s">
        <v>1019</v>
      </c>
      <c r="I47" s="4" t="s">
        <v>1020</v>
      </c>
      <c r="J47" s="4"/>
      <c r="K47" s="6" t="s">
        <v>7</v>
      </c>
      <c r="L47" s="6"/>
      <c r="M47" s="4"/>
      <c r="N47" s="4"/>
    </row>
    <row r="48" spans="1:14" customHeight="1" ht="40">
      <c r="A48" s="8" t="s">
        <v>1009</v>
      </c>
      <c r="B48" s="4" t="s">
        <v>910</v>
      </c>
      <c r="C48" s="4" t="s">
        <v>1010</v>
      </c>
      <c r="D48" s="6" t="s">
        <v>322</v>
      </c>
      <c r="E48" s="4"/>
      <c r="F48" s="4"/>
      <c r="G48" s="6">
        <v>5</v>
      </c>
      <c r="H48" s="4" t="s">
        <v>1021</v>
      </c>
      <c r="I48" s="4" t="s">
        <v>1022</v>
      </c>
      <c r="J48" s="4"/>
      <c r="K48" s="6" t="s">
        <v>7</v>
      </c>
      <c r="L48" s="6"/>
      <c r="M48" s="4"/>
      <c r="N48" s="4"/>
    </row>
    <row r="49" spans="1:14" customHeight="1" ht="40">
      <c r="A49" s="8" t="s">
        <v>1009</v>
      </c>
      <c r="B49" s="4" t="s">
        <v>910</v>
      </c>
      <c r="C49" s="4" t="s">
        <v>1010</v>
      </c>
      <c r="D49" s="6" t="s">
        <v>322</v>
      </c>
      <c r="E49" s="4"/>
      <c r="F49" s="4"/>
      <c r="G49" s="6">
        <v>6</v>
      </c>
      <c r="H49" s="4" t="s">
        <v>1023</v>
      </c>
      <c r="I49" s="4" t="s">
        <v>1024</v>
      </c>
      <c r="J49" s="4"/>
      <c r="K49" s="6" t="s">
        <v>7</v>
      </c>
      <c r="L49" s="6"/>
      <c r="M49" s="4"/>
      <c r="N49" s="4"/>
    </row>
    <row r="50" spans="1:14" customHeight="1" ht="40">
      <c r="A50" s="8" t="s">
        <v>1009</v>
      </c>
      <c r="B50" s="4" t="s">
        <v>910</v>
      </c>
      <c r="C50" s="4" t="s">
        <v>1010</v>
      </c>
      <c r="D50" s="6" t="s">
        <v>322</v>
      </c>
      <c r="E50" s="4"/>
      <c r="F50" s="4"/>
      <c r="G50" s="6">
        <v>7</v>
      </c>
      <c r="H50" s="4" t="s">
        <v>1025</v>
      </c>
      <c r="I50" s="4" t="s">
        <v>1026</v>
      </c>
      <c r="J50" s="4"/>
      <c r="K50" s="6" t="s">
        <v>7</v>
      </c>
      <c r="L50" s="6"/>
      <c r="M50" s="4"/>
      <c r="N50" s="4"/>
    </row>
    <row r="51" spans="1:14" customHeight="1" ht="40">
      <c r="A51" s="9" t="s">
        <v>1027</v>
      </c>
      <c r="B51" s="5" t="s">
        <v>910</v>
      </c>
      <c r="C51" s="5" t="s">
        <v>1028</v>
      </c>
      <c r="D51" s="7" t="s">
        <v>441</v>
      </c>
      <c r="E51" s="5" t="s">
        <v>1029</v>
      </c>
      <c r="F51" s="5" t="s">
        <v>1030</v>
      </c>
      <c r="G51" s="7">
        <v>1</v>
      </c>
      <c r="H51" s="5" t="s">
        <v>1031</v>
      </c>
      <c r="I51" s="5" t="s">
        <v>1032</v>
      </c>
      <c r="J51" s="5"/>
      <c r="K51" s="7" t="s">
        <v>7</v>
      </c>
      <c r="L51" s="7"/>
      <c r="M51" s="5"/>
      <c r="N51" s="5"/>
    </row>
    <row r="52" spans="1:14" customHeight="1" ht="40">
      <c r="A52" s="9" t="s">
        <v>1027</v>
      </c>
      <c r="B52" s="5" t="s">
        <v>910</v>
      </c>
      <c r="C52" s="5" t="s">
        <v>1028</v>
      </c>
      <c r="D52" s="7" t="s">
        <v>441</v>
      </c>
      <c r="E52" s="5"/>
      <c r="F52" s="5"/>
      <c r="G52" s="7">
        <v>2</v>
      </c>
      <c r="H52" s="5" t="s">
        <v>1033</v>
      </c>
      <c r="I52" s="5" t="s">
        <v>1034</v>
      </c>
      <c r="J52" s="5"/>
      <c r="K52" s="7" t="s">
        <v>7</v>
      </c>
      <c r="L52" s="7"/>
      <c r="M52" s="5"/>
      <c r="N52" s="5"/>
    </row>
    <row r="53" spans="1:14" customHeight="1" ht="40">
      <c r="A53" s="9" t="s">
        <v>1027</v>
      </c>
      <c r="B53" s="5" t="s">
        <v>910</v>
      </c>
      <c r="C53" s="5" t="s">
        <v>1028</v>
      </c>
      <c r="D53" s="7" t="s">
        <v>441</v>
      </c>
      <c r="E53" s="5"/>
      <c r="F53" s="5"/>
      <c r="G53" s="7">
        <v>3</v>
      </c>
      <c r="H53" s="5" t="s">
        <v>1035</v>
      </c>
      <c r="I53" s="5" t="s">
        <v>1036</v>
      </c>
      <c r="J53" s="5"/>
      <c r="K53" s="7" t="s">
        <v>7</v>
      </c>
      <c r="L53" s="7"/>
      <c r="M53" s="5"/>
      <c r="N53" s="5"/>
    </row>
    <row r="54" spans="1:14" customHeight="1" ht="30">
      <c r="A54" s="9" t="s">
        <v>1027</v>
      </c>
      <c r="B54" s="5" t="s">
        <v>910</v>
      </c>
      <c r="C54" s="5" t="s">
        <v>1028</v>
      </c>
      <c r="D54" s="7" t="s">
        <v>441</v>
      </c>
      <c r="E54" s="5"/>
      <c r="F54" s="5"/>
      <c r="G54" s="7">
        <v>4</v>
      </c>
      <c r="H54" s="5" t="s">
        <v>1037</v>
      </c>
      <c r="I54" s="5" t="s">
        <v>1038</v>
      </c>
      <c r="J54" s="5"/>
      <c r="K54" s="7" t="s">
        <v>7</v>
      </c>
      <c r="L54" s="7"/>
      <c r="M54" s="5"/>
      <c r="N54" s="5"/>
    </row>
    <row r="55" spans="1:14" customHeight="1" ht="40">
      <c r="A55" s="9" t="s">
        <v>1027</v>
      </c>
      <c r="B55" s="5" t="s">
        <v>910</v>
      </c>
      <c r="C55" s="5" t="s">
        <v>1028</v>
      </c>
      <c r="D55" s="7" t="s">
        <v>441</v>
      </c>
      <c r="E55" s="5"/>
      <c r="F55" s="5"/>
      <c r="G55" s="7">
        <v>5</v>
      </c>
      <c r="H55" s="5" t="s">
        <v>1039</v>
      </c>
      <c r="I55" s="5" t="s">
        <v>1040</v>
      </c>
      <c r="J55" s="5"/>
      <c r="K55" s="7" t="s">
        <v>7</v>
      </c>
      <c r="L55" s="7"/>
      <c r="M55" s="5"/>
      <c r="N55" s="5"/>
    </row>
    <row r="56" spans="1:14" customHeight="1" ht="40">
      <c r="A56" s="8" t="s">
        <v>1041</v>
      </c>
      <c r="B56" s="4" t="s">
        <v>910</v>
      </c>
      <c r="C56" s="4" t="s">
        <v>1042</v>
      </c>
      <c r="D56" s="6" t="s">
        <v>441</v>
      </c>
      <c r="E56" s="4" t="s">
        <v>1043</v>
      </c>
      <c r="F56" s="4" t="s">
        <v>1044</v>
      </c>
      <c r="G56" s="6">
        <v>1</v>
      </c>
      <c r="H56" s="4" t="s">
        <v>1045</v>
      </c>
      <c r="I56" s="4" t="s">
        <v>1046</v>
      </c>
      <c r="J56" s="4"/>
      <c r="K56" s="6" t="s">
        <v>7</v>
      </c>
      <c r="L56" s="6"/>
      <c r="M56" s="4"/>
      <c r="N56" s="4"/>
    </row>
    <row r="57" spans="1:14" customHeight="1" ht="30">
      <c r="A57" s="8" t="s">
        <v>1041</v>
      </c>
      <c r="B57" s="4" t="s">
        <v>910</v>
      </c>
      <c r="C57" s="4" t="s">
        <v>1042</v>
      </c>
      <c r="D57" s="6" t="s">
        <v>441</v>
      </c>
      <c r="E57" s="4"/>
      <c r="F57" s="4"/>
      <c r="G57" s="6">
        <v>2</v>
      </c>
      <c r="H57" s="4" t="s">
        <v>1035</v>
      </c>
      <c r="I57" s="4" t="s">
        <v>1047</v>
      </c>
      <c r="J57" s="4"/>
      <c r="K57" s="6" t="s">
        <v>7</v>
      </c>
      <c r="L57" s="6"/>
      <c r="M57" s="4"/>
      <c r="N57" s="4"/>
    </row>
    <row r="58" spans="1:14" customHeight="1" ht="30">
      <c r="A58" s="8" t="s">
        <v>1041</v>
      </c>
      <c r="B58" s="4" t="s">
        <v>910</v>
      </c>
      <c r="C58" s="4" t="s">
        <v>1042</v>
      </c>
      <c r="D58" s="6" t="s">
        <v>441</v>
      </c>
      <c r="E58" s="4"/>
      <c r="F58" s="4"/>
      <c r="G58" s="6">
        <v>3</v>
      </c>
      <c r="H58" s="4" t="s">
        <v>1048</v>
      </c>
      <c r="I58" s="4" t="s">
        <v>1038</v>
      </c>
      <c r="J58" s="4"/>
      <c r="K58" s="6" t="s">
        <v>7</v>
      </c>
      <c r="L58" s="6"/>
      <c r="M58" s="4"/>
      <c r="N58" s="4"/>
    </row>
    <row r="59" spans="1:14" customHeight="1" ht="30">
      <c r="A59" s="8" t="s">
        <v>1041</v>
      </c>
      <c r="B59" s="4" t="s">
        <v>910</v>
      </c>
      <c r="C59" s="4" t="s">
        <v>1042</v>
      </c>
      <c r="D59" s="6" t="s">
        <v>441</v>
      </c>
      <c r="E59" s="4"/>
      <c r="F59" s="4"/>
      <c r="G59" s="6">
        <v>4</v>
      </c>
      <c r="H59" s="4" t="s">
        <v>1049</v>
      </c>
      <c r="I59" s="4" t="s">
        <v>1050</v>
      </c>
      <c r="J59" s="4"/>
      <c r="K59" s="6" t="s">
        <v>7</v>
      </c>
      <c r="L59" s="6"/>
      <c r="M59" s="4"/>
      <c r="N59" s="4"/>
    </row>
    <row r="60" spans="1:14" customHeight="1" ht="40">
      <c r="A60" s="9" t="s">
        <v>1051</v>
      </c>
      <c r="B60" s="5" t="s">
        <v>910</v>
      </c>
      <c r="C60" s="5" t="s">
        <v>1052</v>
      </c>
      <c r="D60" s="7" t="s">
        <v>441</v>
      </c>
      <c r="E60" s="5" t="s">
        <v>1053</v>
      </c>
      <c r="F60" s="5" t="s">
        <v>1054</v>
      </c>
      <c r="G60" s="7">
        <v>1</v>
      </c>
      <c r="H60" s="5" t="s">
        <v>1055</v>
      </c>
      <c r="I60" s="5" t="s">
        <v>1056</v>
      </c>
      <c r="J60" s="5"/>
      <c r="K60" s="7" t="s">
        <v>7</v>
      </c>
      <c r="L60" s="7"/>
      <c r="M60" s="5"/>
      <c r="N60" s="5"/>
    </row>
    <row r="61" spans="1:14" customHeight="1" ht="40">
      <c r="A61" s="9" t="s">
        <v>1051</v>
      </c>
      <c r="B61" s="5" t="s">
        <v>910</v>
      </c>
      <c r="C61" s="5" t="s">
        <v>1052</v>
      </c>
      <c r="D61" s="7" t="s">
        <v>441</v>
      </c>
      <c r="E61" s="5"/>
      <c r="F61" s="5"/>
      <c r="G61" s="7">
        <v>2</v>
      </c>
      <c r="H61" s="5" t="s">
        <v>1057</v>
      </c>
      <c r="I61" s="5" t="s">
        <v>1058</v>
      </c>
      <c r="J61" s="5"/>
      <c r="K61" s="7" t="s">
        <v>7</v>
      </c>
      <c r="L61" s="7"/>
      <c r="M61" s="5"/>
      <c r="N61" s="5"/>
    </row>
    <row r="62" spans="1:14" customHeight="1" ht="40">
      <c r="A62" s="9" t="s">
        <v>1051</v>
      </c>
      <c r="B62" s="5" t="s">
        <v>910</v>
      </c>
      <c r="C62" s="5" t="s">
        <v>1052</v>
      </c>
      <c r="D62" s="7" t="s">
        <v>441</v>
      </c>
      <c r="E62" s="5"/>
      <c r="F62" s="5"/>
      <c r="G62" s="7">
        <v>3</v>
      </c>
      <c r="H62" s="5" t="s">
        <v>1059</v>
      </c>
      <c r="I62" s="5" t="s">
        <v>1060</v>
      </c>
      <c r="J62" s="5"/>
      <c r="K62" s="7" t="s">
        <v>7</v>
      </c>
      <c r="L62" s="7"/>
      <c r="M62" s="5"/>
      <c r="N62" s="5"/>
    </row>
    <row r="63" spans="1:14" customHeight="1" ht="40">
      <c r="A63" s="9" t="s">
        <v>1051</v>
      </c>
      <c r="B63" s="5" t="s">
        <v>910</v>
      </c>
      <c r="C63" s="5" t="s">
        <v>1052</v>
      </c>
      <c r="D63" s="7" t="s">
        <v>441</v>
      </c>
      <c r="E63" s="5"/>
      <c r="F63" s="5"/>
      <c r="G63" s="7">
        <v>4</v>
      </c>
      <c r="H63" s="5" t="s">
        <v>1003</v>
      </c>
      <c r="I63" s="5" t="s">
        <v>1061</v>
      </c>
      <c r="J63" s="5"/>
      <c r="K63" s="7" t="s">
        <v>7</v>
      </c>
      <c r="L63" s="7"/>
      <c r="M63" s="5"/>
      <c r="N63" s="5"/>
    </row>
    <row r="64" spans="1:14" customHeight="1" ht="30">
      <c r="A64" s="9" t="s">
        <v>1051</v>
      </c>
      <c r="B64" s="5" t="s">
        <v>910</v>
      </c>
      <c r="C64" s="5" t="s">
        <v>1052</v>
      </c>
      <c r="D64" s="7" t="s">
        <v>441</v>
      </c>
      <c r="E64" s="5"/>
      <c r="F64" s="5"/>
      <c r="G64" s="7">
        <v>5</v>
      </c>
      <c r="H64" s="5" t="s">
        <v>1062</v>
      </c>
      <c r="I64" s="5" t="s">
        <v>1063</v>
      </c>
      <c r="J64" s="5"/>
      <c r="K64" s="7" t="s">
        <v>7</v>
      </c>
      <c r="L64" s="7"/>
      <c r="M64" s="5"/>
      <c r="N64" s="5"/>
    </row>
  </sheetData>
  <autoFilter ref="A3:N64"/>
  <mergeCells>
    <mergeCell ref="A1:N1"/>
    <mergeCell ref="A2:N2"/>
  </mergeCells>
  <conditionalFormatting sqref="K4:K64">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64">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64">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64">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64">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6"/>
  <sheetViews>
    <sheetView tabSelected="0" workbookViewId="0" showGridLines="true" showRowColHeaders="1">
      <pane xSplit="2" ySplit="3" topLeftCell="C4" activePane="bottomRight" state="frozen"/>
      <selection pane="topRight"/>
      <selection pane="bottomLeft"/>
      <selection pane="bottomRight" activeCell="L4" sqref="L4:L46"/>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1064</v>
      </c>
    </row>
    <row r="2" spans="1:14" customHeight="1" ht="30">
      <c r="A2" s="2" t="s">
        <v>1065</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1066</v>
      </c>
      <c r="B4" s="4" t="s">
        <v>1064</v>
      </c>
      <c r="C4" s="4" t="s">
        <v>1067</v>
      </c>
      <c r="D4" s="6" t="s">
        <v>309</v>
      </c>
      <c r="E4" s="4" t="s">
        <v>1068</v>
      </c>
      <c r="F4" s="4" t="s">
        <v>1069</v>
      </c>
      <c r="G4" s="6">
        <v>1</v>
      </c>
      <c r="H4" s="4" t="s">
        <v>1070</v>
      </c>
      <c r="I4" s="4" t="s">
        <v>1071</v>
      </c>
      <c r="J4" s="4"/>
      <c r="K4" s="6" t="s">
        <v>7</v>
      </c>
      <c r="L4" s="6"/>
      <c r="M4" s="4"/>
      <c r="N4" s="4"/>
    </row>
    <row r="5" spans="1:14" customHeight="1" ht="40">
      <c r="A5" s="8" t="s">
        <v>1066</v>
      </c>
      <c r="B5" s="4" t="s">
        <v>1064</v>
      </c>
      <c r="C5" s="4" t="s">
        <v>1067</v>
      </c>
      <c r="D5" s="6" t="s">
        <v>309</v>
      </c>
      <c r="E5" s="4"/>
      <c r="F5" s="4"/>
      <c r="G5" s="6">
        <v>2</v>
      </c>
      <c r="H5" s="4" t="s">
        <v>1072</v>
      </c>
      <c r="I5" s="4" t="s">
        <v>1073</v>
      </c>
      <c r="J5" s="4"/>
      <c r="K5" s="6" t="s">
        <v>7</v>
      </c>
      <c r="L5" s="6"/>
      <c r="M5" s="4"/>
      <c r="N5" s="4"/>
    </row>
    <row r="6" spans="1:14" customHeight="1" ht="40">
      <c r="A6" s="8" t="s">
        <v>1066</v>
      </c>
      <c r="B6" s="4" t="s">
        <v>1064</v>
      </c>
      <c r="C6" s="4" t="s">
        <v>1067</v>
      </c>
      <c r="D6" s="6" t="s">
        <v>309</v>
      </c>
      <c r="E6" s="4"/>
      <c r="F6" s="4"/>
      <c r="G6" s="6">
        <v>3</v>
      </c>
      <c r="H6" s="4" t="s">
        <v>1074</v>
      </c>
      <c r="I6" s="4" t="s">
        <v>1075</v>
      </c>
      <c r="J6" s="4"/>
      <c r="K6" s="6" t="s">
        <v>7</v>
      </c>
      <c r="L6" s="6"/>
      <c r="M6" s="4"/>
      <c r="N6" s="4"/>
    </row>
    <row r="7" spans="1:14" customHeight="1" ht="30">
      <c r="A7" s="8" t="s">
        <v>1066</v>
      </c>
      <c r="B7" s="4" t="s">
        <v>1064</v>
      </c>
      <c r="C7" s="4" t="s">
        <v>1067</v>
      </c>
      <c r="D7" s="6" t="s">
        <v>309</v>
      </c>
      <c r="E7" s="4"/>
      <c r="F7" s="4"/>
      <c r="G7" s="6">
        <v>4</v>
      </c>
      <c r="H7" s="4" t="s">
        <v>1076</v>
      </c>
      <c r="I7" s="4" t="s">
        <v>1077</v>
      </c>
      <c r="J7" s="4"/>
      <c r="K7" s="6" t="s">
        <v>7</v>
      </c>
      <c r="L7" s="6"/>
      <c r="M7" s="4"/>
      <c r="N7" s="4"/>
    </row>
    <row r="8" spans="1:14" customHeight="1" ht="30">
      <c r="A8" s="9" t="s">
        <v>1078</v>
      </c>
      <c r="B8" s="5" t="s">
        <v>1064</v>
      </c>
      <c r="C8" s="5" t="s">
        <v>1079</v>
      </c>
      <c r="D8" s="7" t="s">
        <v>322</v>
      </c>
      <c r="E8" s="5" t="s">
        <v>1080</v>
      </c>
      <c r="F8" s="5" t="s">
        <v>1081</v>
      </c>
      <c r="G8" s="7">
        <v>1</v>
      </c>
      <c r="H8" s="5" t="s">
        <v>999</v>
      </c>
      <c r="I8" s="5" t="s">
        <v>1082</v>
      </c>
      <c r="J8" s="5"/>
      <c r="K8" s="7" t="s">
        <v>7</v>
      </c>
      <c r="L8" s="7"/>
      <c r="M8" s="5"/>
      <c r="N8" s="5"/>
    </row>
    <row r="9" spans="1:14" customHeight="1" ht="40">
      <c r="A9" s="9" t="s">
        <v>1078</v>
      </c>
      <c r="B9" s="5" t="s">
        <v>1064</v>
      </c>
      <c r="C9" s="5" t="s">
        <v>1079</v>
      </c>
      <c r="D9" s="7" t="s">
        <v>322</v>
      </c>
      <c r="E9" s="5"/>
      <c r="F9" s="5"/>
      <c r="G9" s="7">
        <v>2</v>
      </c>
      <c r="H9" s="5" t="s">
        <v>1083</v>
      </c>
      <c r="I9" s="5" t="s">
        <v>1084</v>
      </c>
      <c r="J9" s="5"/>
      <c r="K9" s="7" t="s">
        <v>7</v>
      </c>
      <c r="L9" s="7"/>
      <c r="M9" s="5"/>
      <c r="N9" s="5"/>
    </row>
    <row r="10" spans="1:14" customHeight="1" ht="30">
      <c r="A10" s="9" t="s">
        <v>1078</v>
      </c>
      <c r="B10" s="5" t="s">
        <v>1064</v>
      </c>
      <c r="C10" s="5" t="s">
        <v>1079</v>
      </c>
      <c r="D10" s="7" t="s">
        <v>322</v>
      </c>
      <c r="E10" s="5"/>
      <c r="F10" s="5"/>
      <c r="G10" s="7">
        <v>3</v>
      </c>
      <c r="H10" s="5" t="s">
        <v>956</v>
      </c>
      <c r="I10" s="5" t="s">
        <v>1085</v>
      </c>
      <c r="J10" s="5"/>
      <c r="K10" s="7" t="s">
        <v>7</v>
      </c>
      <c r="L10" s="7"/>
      <c r="M10" s="5"/>
      <c r="N10" s="5"/>
    </row>
    <row r="11" spans="1:14" customHeight="1" ht="30">
      <c r="A11" s="9" t="s">
        <v>1078</v>
      </c>
      <c r="B11" s="5" t="s">
        <v>1064</v>
      </c>
      <c r="C11" s="5" t="s">
        <v>1079</v>
      </c>
      <c r="D11" s="7" t="s">
        <v>322</v>
      </c>
      <c r="E11" s="5"/>
      <c r="F11" s="5"/>
      <c r="G11" s="7">
        <v>4</v>
      </c>
      <c r="H11" s="5" t="s">
        <v>958</v>
      </c>
      <c r="I11" s="5" t="s">
        <v>1086</v>
      </c>
      <c r="J11" s="5"/>
      <c r="K11" s="7" t="s">
        <v>7</v>
      </c>
      <c r="L11" s="7"/>
      <c r="M11" s="5"/>
      <c r="N11" s="5"/>
    </row>
    <row r="12" spans="1:14" customHeight="1" ht="40">
      <c r="A12" s="9" t="s">
        <v>1078</v>
      </c>
      <c r="B12" s="5" t="s">
        <v>1064</v>
      </c>
      <c r="C12" s="5" t="s">
        <v>1079</v>
      </c>
      <c r="D12" s="7" t="s">
        <v>322</v>
      </c>
      <c r="E12" s="5"/>
      <c r="F12" s="5"/>
      <c r="G12" s="7">
        <v>5</v>
      </c>
      <c r="H12" s="5" t="s">
        <v>1087</v>
      </c>
      <c r="I12" s="5" t="s">
        <v>1088</v>
      </c>
      <c r="J12" s="5"/>
      <c r="K12" s="7" t="s">
        <v>7</v>
      </c>
      <c r="L12" s="7"/>
      <c r="M12" s="5"/>
      <c r="N12" s="5"/>
    </row>
    <row r="13" spans="1:14" customHeight="1" ht="40">
      <c r="A13" s="9" t="s">
        <v>1078</v>
      </c>
      <c r="B13" s="5" t="s">
        <v>1064</v>
      </c>
      <c r="C13" s="5" t="s">
        <v>1079</v>
      </c>
      <c r="D13" s="7" t="s">
        <v>322</v>
      </c>
      <c r="E13" s="5"/>
      <c r="F13" s="5"/>
      <c r="G13" s="7">
        <v>6</v>
      </c>
      <c r="H13" s="5" t="s">
        <v>1089</v>
      </c>
      <c r="I13" s="5" t="s">
        <v>1090</v>
      </c>
      <c r="J13" s="5"/>
      <c r="K13" s="7" t="s">
        <v>7</v>
      </c>
      <c r="L13" s="7"/>
      <c r="M13" s="5"/>
      <c r="N13" s="5"/>
    </row>
    <row r="14" spans="1:14" customHeight="1" ht="30">
      <c r="A14" s="9" t="s">
        <v>1078</v>
      </c>
      <c r="B14" s="5" t="s">
        <v>1064</v>
      </c>
      <c r="C14" s="5" t="s">
        <v>1079</v>
      </c>
      <c r="D14" s="7" t="s">
        <v>322</v>
      </c>
      <c r="E14" s="5"/>
      <c r="F14" s="5"/>
      <c r="G14" s="7">
        <v>7</v>
      </c>
      <c r="H14" s="5" t="s">
        <v>1091</v>
      </c>
      <c r="I14" s="5" t="s">
        <v>1092</v>
      </c>
      <c r="J14" s="5"/>
      <c r="K14" s="7" t="s">
        <v>7</v>
      </c>
      <c r="L14" s="7"/>
      <c r="M14" s="5"/>
      <c r="N14" s="5"/>
    </row>
    <row r="15" spans="1:14" customHeight="1" ht="30">
      <c r="A15" s="8" t="s">
        <v>1093</v>
      </c>
      <c r="B15" s="4" t="s">
        <v>1064</v>
      </c>
      <c r="C15" s="4" t="s">
        <v>1094</v>
      </c>
      <c r="D15" s="6" t="s">
        <v>322</v>
      </c>
      <c r="E15" s="4" t="s">
        <v>1095</v>
      </c>
      <c r="F15" s="4" t="s">
        <v>815</v>
      </c>
      <c r="G15" s="6">
        <v>1</v>
      </c>
      <c r="H15" s="4" t="s">
        <v>1096</v>
      </c>
      <c r="I15" s="4" t="s">
        <v>1097</v>
      </c>
      <c r="J15" s="4"/>
      <c r="K15" s="6" t="s">
        <v>7</v>
      </c>
      <c r="L15" s="6"/>
      <c r="M15" s="4"/>
      <c r="N15" s="4"/>
    </row>
    <row r="16" spans="1:14" customHeight="1" ht="53">
      <c r="A16" s="8" t="s">
        <v>1093</v>
      </c>
      <c r="B16" s="4" t="s">
        <v>1064</v>
      </c>
      <c r="C16" s="4" t="s">
        <v>1094</v>
      </c>
      <c r="D16" s="6" t="s">
        <v>322</v>
      </c>
      <c r="E16" s="4"/>
      <c r="F16" s="4"/>
      <c r="G16" s="6">
        <v>2</v>
      </c>
      <c r="H16" s="4" t="s">
        <v>1098</v>
      </c>
      <c r="I16" s="4" t="s">
        <v>1099</v>
      </c>
      <c r="J16" s="4"/>
      <c r="K16" s="6" t="s">
        <v>7</v>
      </c>
      <c r="L16" s="6"/>
      <c r="M16" s="4"/>
      <c r="N16" s="4"/>
    </row>
    <row r="17" spans="1:14" customHeight="1" ht="66">
      <c r="A17" s="8" t="s">
        <v>1093</v>
      </c>
      <c r="B17" s="4" t="s">
        <v>1064</v>
      </c>
      <c r="C17" s="4" t="s">
        <v>1094</v>
      </c>
      <c r="D17" s="6" t="s">
        <v>322</v>
      </c>
      <c r="E17" s="4"/>
      <c r="F17" s="4"/>
      <c r="G17" s="6">
        <v>3</v>
      </c>
      <c r="H17" s="4" t="s">
        <v>1100</v>
      </c>
      <c r="I17" s="4" t="s">
        <v>1101</v>
      </c>
      <c r="J17" s="4"/>
      <c r="K17" s="6" t="s">
        <v>7</v>
      </c>
      <c r="L17" s="6"/>
      <c r="M17" s="4"/>
      <c r="N17" s="4"/>
    </row>
    <row r="18" spans="1:14" customHeight="1" ht="40">
      <c r="A18" s="8" t="s">
        <v>1093</v>
      </c>
      <c r="B18" s="4" t="s">
        <v>1064</v>
      </c>
      <c r="C18" s="4" t="s">
        <v>1094</v>
      </c>
      <c r="D18" s="6" t="s">
        <v>322</v>
      </c>
      <c r="E18" s="4"/>
      <c r="F18" s="4"/>
      <c r="G18" s="6">
        <v>4</v>
      </c>
      <c r="H18" s="4" t="s">
        <v>1102</v>
      </c>
      <c r="I18" s="4" t="s">
        <v>1103</v>
      </c>
      <c r="J18" s="4"/>
      <c r="K18" s="6" t="s">
        <v>7</v>
      </c>
      <c r="L18" s="6"/>
      <c r="M18" s="4"/>
      <c r="N18" s="4"/>
    </row>
    <row r="19" spans="1:14" customHeight="1" ht="30">
      <c r="A19" s="8" t="s">
        <v>1093</v>
      </c>
      <c r="B19" s="4" t="s">
        <v>1064</v>
      </c>
      <c r="C19" s="4" t="s">
        <v>1094</v>
      </c>
      <c r="D19" s="6" t="s">
        <v>322</v>
      </c>
      <c r="E19" s="4"/>
      <c r="F19" s="4"/>
      <c r="G19" s="6">
        <v>5</v>
      </c>
      <c r="H19" s="4" t="s">
        <v>1104</v>
      </c>
      <c r="I19" s="4" t="s">
        <v>1105</v>
      </c>
      <c r="J19" s="4"/>
      <c r="K19" s="6" t="s">
        <v>7</v>
      </c>
      <c r="L19" s="6"/>
      <c r="M19" s="4"/>
      <c r="N19" s="4"/>
    </row>
    <row r="20" spans="1:14" customHeight="1" ht="40">
      <c r="A20" s="8" t="s">
        <v>1093</v>
      </c>
      <c r="B20" s="4" t="s">
        <v>1064</v>
      </c>
      <c r="C20" s="4" t="s">
        <v>1094</v>
      </c>
      <c r="D20" s="6" t="s">
        <v>322</v>
      </c>
      <c r="E20" s="4"/>
      <c r="F20" s="4"/>
      <c r="G20" s="6">
        <v>6</v>
      </c>
      <c r="H20" s="4" t="s">
        <v>1106</v>
      </c>
      <c r="I20" s="4" t="s">
        <v>1107</v>
      </c>
      <c r="J20" s="4"/>
      <c r="K20" s="6" t="s">
        <v>7</v>
      </c>
      <c r="L20" s="6"/>
      <c r="M20" s="4"/>
      <c r="N20" s="4"/>
    </row>
    <row r="21" spans="1:14" customHeight="1" ht="40">
      <c r="A21" s="8" t="s">
        <v>1093</v>
      </c>
      <c r="B21" s="4" t="s">
        <v>1064</v>
      </c>
      <c r="C21" s="4" t="s">
        <v>1094</v>
      </c>
      <c r="D21" s="6" t="s">
        <v>322</v>
      </c>
      <c r="E21" s="4"/>
      <c r="F21" s="4"/>
      <c r="G21" s="6">
        <v>7</v>
      </c>
      <c r="H21" s="4" t="s">
        <v>1108</v>
      </c>
      <c r="I21" s="4" t="s">
        <v>1109</v>
      </c>
      <c r="J21" s="4"/>
      <c r="K21" s="6" t="s">
        <v>7</v>
      </c>
      <c r="L21" s="6"/>
      <c r="M21" s="4"/>
      <c r="N21" s="4"/>
    </row>
    <row r="22" spans="1:14" customHeight="1" ht="30">
      <c r="A22" s="9" t="s">
        <v>1110</v>
      </c>
      <c r="B22" s="5" t="s">
        <v>1064</v>
      </c>
      <c r="C22" s="5" t="s">
        <v>1111</v>
      </c>
      <c r="D22" s="7" t="s">
        <v>309</v>
      </c>
      <c r="E22" s="5" t="s">
        <v>1112</v>
      </c>
      <c r="F22" s="5" t="s">
        <v>1113</v>
      </c>
      <c r="G22" s="7">
        <v>1</v>
      </c>
      <c r="H22" s="5" t="s">
        <v>999</v>
      </c>
      <c r="I22" s="5" t="s">
        <v>1082</v>
      </c>
      <c r="J22" s="5"/>
      <c r="K22" s="7" t="s">
        <v>7</v>
      </c>
      <c r="L22" s="7"/>
      <c r="M22" s="5"/>
      <c r="N22" s="5"/>
    </row>
    <row r="23" spans="1:14" customHeight="1" ht="40">
      <c r="A23" s="9" t="s">
        <v>1110</v>
      </c>
      <c r="B23" s="5" t="s">
        <v>1064</v>
      </c>
      <c r="C23" s="5" t="s">
        <v>1111</v>
      </c>
      <c r="D23" s="7" t="s">
        <v>309</v>
      </c>
      <c r="E23" s="5"/>
      <c r="F23" s="5"/>
      <c r="G23" s="7">
        <v>2</v>
      </c>
      <c r="H23" s="5" t="s">
        <v>1114</v>
      </c>
      <c r="I23" s="5" t="s">
        <v>1115</v>
      </c>
      <c r="J23" s="5"/>
      <c r="K23" s="7" t="s">
        <v>7</v>
      </c>
      <c r="L23" s="7"/>
      <c r="M23" s="5"/>
      <c r="N23" s="5"/>
    </row>
    <row r="24" spans="1:14" customHeight="1" ht="40">
      <c r="A24" s="9" t="s">
        <v>1110</v>
      </c>
      <c r="B24" s="5" t="s">
        <v>1064</v>
      </c>
      <c r="C24" s="5" t="s">
        <v>1111</v>
      </c>
      <c r="D24" s="7" t="s">
        <v>309</v>
      </c>
      <c r="E24" s="5"/>
      <c r="F24" s="5"/>
      <c r="G24" s="7">
        <v>3</v>
      </c>
      <c r="H24" s="5" t="s">
        <v>1003</v>
      </c>
      <c r="I24" s="5" t="s">
        <v>1116</v>
      </c>
      <c r="J24" s="5"/>
      <c r="K24" s="7" t="s">
        <v>7</v>
      </c>
      <c r="L24" s="7"/>
      <c r="M24" s="5"/>
      <c r="N24" s="5"/>
    </row>
    <row r="25" spans="1:14" customHeight="1" ht="30">
      <c r="A25" s="9" t="s">
        <v>1110</v>
      </c>
      <c r="B25" s="5" t="s">
        <v>1064</v>
      </c>
      <c r="C25" s="5" t="s">
        <v>1111</v>
      </c>
      <c r="D25" s="7" t="s">
        <v>309</v>
      </c>
      <c r="E25" s="5"/>
      <c r="F25" s="5"/>
      <c r="G25" s="7">
        <v>4</v>
      </c>
      <c r="H25" s="5" t="s">
        <v>1117</v>
      </c>
      <c r="I25" s="5" t="s">
        <v>1118</v>
      </c>
      <c r="J25" s="5"/>
      <c r="K25" s="7" t="s">
        <v>7</v>
      </c>
      <c r="L25" s="7"/>
      <c r="M25" s="5"/>
      <c r="N25" s="5"/>
    </row>
    <row r="26" spans="1:14" customHeight="1" ht="40">
      <c r="A26" s="8" t="s">
        <v>1119</v>
      </c>
      <c r="B26" s="4" t="s">
        <v>1064</v>
      </c>
      <c r="C26" s="4" t="s">
        <v>1120</v>
      </c>
      <c r="D26" s="6" t="s">
        <v>322</v>
      </c>
      <c r="E26" s="4" t="s">
        <v>1121</v>
      </c>
      <c r="F26" s="4" t="s">
        <v>1012</v>
      </c>
      <c r="G26" s="6">
        <v>1</v>
      </c>
      <c r="H26" s="4" t="s">
        <v>1122</v>
      </c>
      <c r="I26" s="4" t="s">
        <v>1123</v>
      </c>
      <c r="J26" s="4"/>
      <c r="K26" s="6" t="s">
        <v>7</v>
      </c>
      <c r="L26" s="6"/>
      <c r="M26" s="4"/>
      <c r="N26" s="4"/>
    </row>
    <row r="27" spans="1:14" customHeight="1" ht="40">
      <c r="A27" s="8" t="s">
        <v>1119</v>
      </c>
      <c r="B27" s="4" t="s">
        <v>1064</v>
      </c>
      <c r="C27" s="4" t="s">
        <v>1120</v>
      </c>
      <c r="D27" s="6" t="s">
        <v>322</v>
      </c>
      <c r="E27" s="4"/>
      <c r="F27" s="4"/>
      <c r="G27" s="6">
        <v>2</v>
      </c>
      <c r="H27" s="4" t="s">
        <v>1124</v>
      </c>
      <c r="I27" s="4" t="s">
        <v>1125</v>
      </c>
      <c r="J27" s="4"/>
      <c r="K27" s="6" t="s">
        <v>7</v>
      </c>
      <c r="L27" s="6"/>
      <c r="M27" s="4"/>
      <c r="N27" s="4"/>
    </row>
    <row r="28" spans="1:14" customHeight="1" ht="40">
      <c r="A28" s="8" t="s">
        <v>1119</v>
      </c>
      <c r="B28" s="4" t="s">
        <v>1064</v>
      </c>
      <c r="C28" s="4" t="s">
        <v>1120</v>
      </c>
      <c r="D28" s="6" t="s">
        <v>322</v>
      </c>
      <c r="E28" s="4"/>
      <c r="F28" s="4"/>
      <c r="G28" s="6">
        <v>3</v>
      </c>
      <c r="H28" s="4" t="s">
        <v>1126</v>
      </c>
      <c r="I28" s="4" t="s">
        <v>1127</v>
      </c>
      <c r="J28" s="4"/>
      <c r="K28" s="6" t="s">
        <v>7</v>
      </c>
      <c r="L28" s="6"/>
      <c r="M28" s="4"/>
      <c r="N28" s="4"/>
    </row>
    <row r="29" spans="1:14" customHeight="1" ht="30">
      <c r="A29" s="8" t="s">
        <v>1119</v>
      </c>
      <c r="B29" s="4" t="s">
        <v>1064</v>
      </c>
      <c r="C29" s="4" t="s">
        <v>1120</v>
      </c>
      <c r="D29" s="6" t="s">
        <v>322</v>
      </c>
      <c r="E29" s="4"/>
      <c r="F29" s="4"/>
      <c r="G29" s="6">
        <v>4</v>
      </c>
      <c r="H29" s="4" t="s">
        <v>1128</v>
      </c>
      <c r="I29" s="4" t="s">
        <v>1129</v>
      </c>
      <c r="J29" s="4"/>
      <c r="K29" s="6" t="s">
        <v>7</v>
      </c>
      <c r="L29" s="6"/>
      <c r="M29" s="4"/>
      <c r="N29" s="4"/>
    </row>
    <row r="30" spans="1:14" customHeight="1" ht="40">
      <c r="A30" s="9" t="s">
        <v>1130</v>
      </c>
      <c r="B30" s="5" t="s">
        <v>1064</v>
      </c>
      <c r="C30" s="5" t="s">
        <v>1131</v>
      </c>
      <c r="D30" s="7" t="s">
        <v>441</v>
      </c>
      <c r="E30" s="5" t="s">
        <v>1132</v>
      </c>
      <c r="F30" s="5" t="s">
        <v>1133</v>
      </c>
      <c r="G30" s="7">
        <v>1</v>
      </c>
      <c r="H30" s="5" t="s">
        <v>1134</v>
      </c>
      <c r="I30" s="5" t="s">
        <v>1135</v>
      </c>
      <c r="J30" s="5"/>
      <c r="K30" s="7" t="s">
        <v>7</v>
      </c>
      <c r="L30" s="7"/>
      <c r="M30" s="5"/>
      <c r="N30" s="5"/>
    </row>
    <row r="31" spans="1:14" customHeight="1" ht="40">
      <c r="A31" s="9" t="s">
        <v>1130</v>
      </c>
      <c r="B31" s="5" t="s">
        <v>1064</v>
      </c>
      <c r="C31" s="5" t="s">
        <v>1131</v>
      </c>
      <c r="D31" s="7" t="s">
        <v>441</v>
      </c>
      <c r="E31" s="5"/>
      <c r="F31" s="5"/>
      <c r="G31" s="7">
        <v>2</v>
      </c>
      <c r="H31" s="5" t="s">
        <v>1136</v>
      </c>
      <c r="I31" s="5" t="s">
        <v>1137</v>
      </c>
      <c r="J31" s="5"/>
      <c r="K31" s="7" t="s">
        <v>7</v>
      </c>
      <c r="L31" s="7"/>
      <c r="M31" s="5"/>
      <c r="N31" s="5"/>
    </row>
    <row r="32" spans="1:14" customHeight="1" ht="40">
      <c r="A32" s="9" t="s">
        <v>1130</v>
      </c>
      <c r="B32" s="5" t="s">
        <v>1064</v>
      </c>
      <c r="C32" s="5" t="s">
        <v>1131</v>
      </c>
      <c r="D32" s="7" t="s">
        <v>441</v>
      </c>
      <c r="E32" s="5"/>
      <c r="F32" s="5"/>
      <c r="G32" s="7">
        <v>3</v>
      </c>
      <c r="H32" s="5" t="s">
        <v>1138</v>
      </c>
      <c r="I32" s="5" t="s">
        <v>1139</v>
      </c>
      <c r="J32" s="5"/>
      <c r="K32" s="7" t="s">
        <v>7</v>
      </c>
      <c r="L32" s="7"/>
      <c r="M32" s="5"/>
      <c r="N32" s="5"/>
    </row>
    <row r="33" spans="1:14" customHeight="1" ht="30">
      <c r="A33" s="9" t="s">
        <v>1130</v>
      </c>
      <c r="B33" s="5" t="s">
        <v>1064</v>
      </c>
      <c r="C33" s="5" t="s">
        <v>1131</v>
      </c>
      <c r="D33" s="7" t="s">
        <v>441</v>
      </c>
      <c r="E33" s="5"/>
      <c r="F33" s="5"/>
      <c r="G33" s="7">
        <v>4</v>
      </c>
      <c r="H33" s="5" t="s">
        <v>1140</v>
      </c>
      <c r="I33" s="5" t="s">
        <v>1141</v>
      </c>
      <c r="J33" s="5"/>
      <c r="K33" s="7" t="s">
        <v>7</v>
      </c>
      <c r="L33" s="7"/>
      <c r="M33" s="5"/>
      <c r="N33" s="5"/>
    </row>
    <row r="34" spans="1:14" customHeight="1" ht="40">
      <c r="A34" s="8" t="s">
        <v>1142</v>
      </c>
      <c r="B34" s="4" t="s">
        <v>1064</v>
      </c>
      <c r="C34" s="4" t="s">
        <v>1143</v>
      </c>
      <c r="D34" s="6" t="s">
        <v>322</v>
      </c>
      <c r="E34" s="4" t="s">
        <v>1144</v>
      </c>
      <c r="F34" s="4" t="s">
        <v>1145</v>
      </c>
      <c r="G34" s="6">
        <v>1</v>
      </c>
      <c r="H34" s="4" t="s">
        <v>1146</v>
      </c>
      <c r="I34" s="4" t="s">
        <v>1147</v>
      </c>
      <c r="J34" s="4"/>
      <c r="K34" s="6" t="s">
        <v>7</v>
      </c>
      <c r="L34" s="6"/>
      <c r="M34" s="4"/>
      <c r="N34" s="4"/>
    </row>
    <row r="35" spans="1:14" customHeight="1" ht="53">
      <c r="A35" s="8" t="s">
        <v>1142</v>
      </c>
      <c r="B35" s="4" t="s">
        <v>1064</v>
      </c>
      <c r="C35" s="4" t="s">
        <v>1143</v>
      </c>
      <c r="D35" s="6" t="s">
        <v>322</v>
      </c>
      <c r="E35" s="4"/>
      <c r="F35" s="4"/>
      <c r="G35" s="6">
        <v>2</v>
      </c>
      <c r="H35" s="4" t="s">
        <v>1148</v>
      </c>
      <c r="I35" s="4" t="s">
        <v>1149</v>
      </c>
      <c r="J35" s="4"/>
      <c r="K35" s="6" t="s">
        <v>7</v>
      </c>
      <c r="L35" s="6"/>
      <c r="M35" s="4"/>
      <c r="N35" s="4"/>
    </row>
    <row r="36" spans="1:14" customHeight="1" ht="30">
      <c r="A36" s="8" t="s">
        <v>1142</v>
      </c>
      <c r="B36" s="4" t="s">
        <v>1064</v>
      </c>
      <c r="C36" s="4" t="s">
        <v>1143</v>
      </c>
      <c r="D36" s="6" t="s">
        <v>322</v>
      </c>
      <c r="E36" s="4"/>
      <c r="F36" s="4"/>
      <c r="G36" s="6">
        <v>3</v>
      </c>
      <c r="H36" s="4" t="s">
        <v>1150</v>
      </c>
      <c r="I36" s="4" t="s">
        <v>1151</v>
      </c>
      <c r="J36" s="4"/>
      <c r="K36" s="6" t="s">
        <v>7</v>
      </c>
      <c r="L36" s="6"/>
      <c r="M36" s="4"/>
      <c r="N36" s="4"/>
    </row>
    <row r="37" spans="1:14" customHeight="1" ht="40">
      <c r="A37" s="8" t="s">
        <v>1142</v>
      </c>
      <c r="B37" s="4" t="s">
        <v>1064</v>
      </c>
      <c r="C37" s="4" t="s">
        <v>1143</v>
      </c>
      <c r="D37" s="6" t="s">
        <v>322</v>
      </c>
      <c r="E37" s="4"/>
      <c r="F37" s="4"/>
      <c r="G37" s="6">
        <v>4</v>
      </c>
      <c r="H37" s="4" t="s">
        <v>1152</v>
      </c>
      <c r="I37" s="4" t="s">
        <v>1153</v>
      </c>
      <c r="J37" s="4"/>
      <c r="K37" s="6" t="s">
        <v>7</v>
      </c>
      <c r="L37" s="6"/>
      <c r="M37" s="4"/>
      <c r="N37" s="4"/>
    </row>
    <row r="38" spans="1:14" customHeight="1" ht="40">
      <c r="A38" s="8" t="s">
        <v>1142</v>
      </c>
      <c r="B38" s="4" t="s">
        <v>1064</v>
      </c>
      <c r="C38" s="4" t="s">
        <v>1143</v>
      </c>
      <c r="D38" s="6" t="s">
        <v>322</v>
      </c>
      <c r="E38" s="4"/>
      <c r="F38" s="4"/>
      <c r="G38" s="6">
        <v>5</v>
      </c>
      <c r="H38" s="4" t="s">
        <v>1154</v>
      </c>
      <c r="I38" s="4" t="s">
        <v>1155</v>
      </c>
      <c r="J38" s="4"/>
      <c r="K38" s="6" t="s">
        <v>7</v>
      </c>
      <c r="L38" s="6"/>
      <c r="M38" s="4"/>
      <c r="N38" s="4"/>
    </row>
    <row r="39" spans="1:14" customHeight="1" ht="30">
      <c r="A39" s="9" t="s">
        <v>1156</v>
      </c>
      <c r="B39" s="5" t="s">
        <v>1064</v>
      </c>
      <c r="C39" s="5" t="s">
        <v>1157</v>
      </c>
      <c r="D39" s="7" t="s">
        <v>309</v>
      </c>
      <c r="E39" s="5" t="s">
        <v>1158</v>
      </c>
      <c r="F39" s="5" t="s">
        <v>1159</v>
      </c>
      <c r="G39" s="7">
        <v>1</v>
      </c>
      <c r="H39" s="5" t="s">
        <v>999</v>
      </c>
      <c r="I39" s="5" t="s">
        <v>1082</v>
      </c>
      <c r="J39" s="5"/>
      <c r="K39" s="7" t="s">
        <v>7</v>
      </c>
      <c r="L39" s="7"/>
      <c r="M39" s="5"/>
      <c r="N39" s="5"/>
    </row>
    <row r="40" spans="1:14" customHeight="1" ht="53">
      <c r="A40" s="9" t="s">
        <v>1156</v>
      </c>
      <c r="B40" s="5" t="s">
        <v>1064</v>
      </c>
      <c r="C40" s="5" t="s">
        <v>1157</v>
      </c>
      <c r="D40" s="7" t="s">
        <v>309</v>
      </c>
      <c r="E40" s="5"/>
      <c r="F40" s="5"/>
      <c r="G40" s="7">
        <v>2</v>
      </c>
      <c r="H40" s="5" t="s">
        <v>1160</v>
      </c>
      <c r="I40" s="5" t="s">
        <v>1161</v>
      </c>
      <c r="J40" s="5"/>
      <c r="K40" s="7" t="s">
        <v>7</v>
      </c>
      <c r="L40" s="7"/>
      <c r="M40" s="5"/>
      <c r="N40" s="5"/>
    </row>
    <row r="41" spans="1:14" customHeight="1" ht="40">
      <c r="A41" s="9" t="s">
        <v>1156</v>
      </c>
      <c r="B41" s="5" t="s">
        <v>1064</v>
      </c>
      <c r="C41" s="5" t="s">
        <v>1157</v>
      </c>
      <c r="D41" s="7" t="s">
        <v>309</v>
      </c>
      <c r="E41" s="5"/>
      <c r="F41" s="5"/>
      <c r="G41" s="7">
        <v>3</v>
      </c>
      <c r="H41" s="5" t="s">
        <v>1162</v>
      </c>
      <c r="I41" s="5" t="s">
        <v>1163</v>
      </c>
      <c r="J41" s="5"/>
      <c r="K41" s="7" t="s">
        <v>7</v>
      </c>
      <c r="L41" s="7"/>
      <c r="M41" s="5"/>
      <c r="N41" s="5"/>
    </row>
    <row r="42" spans="1:14" customHeight="1" ht="30">
      <c r="A42" s="9" t="s">
        <v>1156</v>
      </c>
      <c r="B42" s="5" t="s">
        <v>1064</v>
      </c>
      <c r="C42" s="5" t="s">
        <v>1157</v>
      </c>
      <c r="D42" s="7" t="s">
        <v>309</v>
      </c>
      <c r="E42" s="5"/>
      <c r="F42" s="5"/>
      <c r="G42" s="7">
        <v>4</v>
      </c>
      <c r="H42" s="5" t="s">
        <v>1164</v>
      </c>
      <c r="I42" s="5" t="s">
        <v>1165</v>
      </c>
      <c r="J42" s="5"/>
      <c r="K42" s="7" t="s">
        <v>7</v>
      </c>
      <c r="L42" s="7"/>
      <c r="M42" s="5"/>
      <c r="N42" s="5"/>
    </row>
    <row r="43" spans="1:14" customHeight="1" ht="30">
      <c r="A43" s="9" t="s">
        <v>1156</v>
      </c>
      <c r="B43" s="5" t="s">
        <v>1064</v>
      </c>
      <c r="C43" s="5" t="s">
        <v>1157</v>
      </c>
      <c r="D43" s="7" t="s">
        <v>309</v>
      </c>
      <c r="E43" s="5"/>
      <c r="F43" s="5"/>
      <c r="G43" s="7">
        <v>5</v>
      </c>
      <c r="H43" s="5" t="s">
        <v>1166</v>
      </c>
      <c r="I43" s="5" t="s">
        <v>1167</v>
      </c>
      <c r="J43" s="5"/>
      <c r="K43" s="7" t="s">
        <v>7</v>
      </c>
      <c r="L43" s="7"/>
      <c r="M43" s="5"/>
      <c r="N43" s="5"/>
    </row>
    <row r="44" spans="1:14" customHeight="1" ht="53">
      <c r="A44" s="9" t="s">
        <v>1156</v>
      </c>
      <c r="B44" s="5" t="s">
        <v>1064</v>
      </c>
      <c r="C44" s="5" t="s">
        <v>1157</v>
      </c>
      <c r="D44" s="7" t="s">
        <v>309</v>
      </c>
      <c r="E44" s="5"/>
      <c r="F44" s="5"/>
      <c r="G44" s="7">
        <v>6</v>
      </c>
      <c r="H44" s="5" t="s">
        <v>1003</v>
      </c>
      <c r="I44" s="5" t="s">
        <v>1168</v>
      </c>
      <c r="J44" s="5"/>
      <c r="K44" s="7" t="s">
        <v>7</v>
      </c>
      <c r="L44" s="7"/>
      <c r="M44" s="5"/>
      <c r="N44" s="5"/>
    </row>
    <row r="45" spans="1:14" customHeight="1" ht="30">
      <c r="A45" s="9" t="s">
        <v>1156</v>
      </c>
      <c r="B45" s="5" t="s">
        <v>1064</v>
      </c>
      <c r="C45" s="5" t="s">
        <v>1157</v>
      </c>
      <c r="D45" s="7" t="s">
        <v>309</v>
      </c>
      <c r="E45" s="5"/>
      <c r="F45" s="5"/>
      <c r="G45" s="7">
        <v>7</v>
      </c>
      <c r="H45" s="5" t="s">
        <v>1169</v>
      </c>
      <c r="I45" s="5" t="s">
        <v>1170</v>
      </c>
      <c r="J45" s="5"/>
      <c r="K45" s="7" t="s">
        <v>7</v>
      </c>
      <c r="L45" s="7"/>
      <c r="M45" s="5"/>
      <c r="N45" s="5"/>
    </row>
    <row r="46" spans="1:14" customHeight="1" ht="30">
      <c r="A46" s="9" t="s">
        <v>1156</v>
      </c>
      <c r="B46" s="5" t="s">
        <v>1064</v>
      </c>
      <c r="C46" s="5" t="s">
        <v>1157</v>
      </c>
      <c r="D46" s="7" t="s">
        <v>309</v>
      </c>
      <c r="E46" s="5"/>
      <c r="F46" s="5"/>
      <c r="G46" s="7">
        <v>8</v>
      </c>
      <c r="H46" s="5" t="s">
        <v>1171</v>
      </c>
      <c r="I46" s="5" t="s">
        <v>1172</v>
      </c>
      <c r="J46" s="5"/>
      <c r="K46" s="7" t="s">
        <v>7</v>
      </c>
      <c r="L46" s="7"/>
      <c r="M46" s="5"/>
      <c r="N46" s="5"/>
    </row>
  </sheetData>
  <autoFilter ref="A3:N46"/>
  <mergeCells>
    <mergeCell ref="A1:N1"/>
    <mergeCell ref="A2:N2"/>
  </mergeCells>
  <conditionalFormatting sqref="K4:K46">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6">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6">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6">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6">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2"/>
  <sheetViews>
    <sheetView tabSelected="0" workbookViewId="0" showGridLines="true" showRowColHeaders="1">
      <pane xSplit="2" ySplit="3" topLeftCell="C4" activePane="bottomRight" state="frozen"/>
      <selection pane="topRight"/>
      <selection pane="bottomLeft"/>
      <selection pane="bottomRight" activeCell="L4" sqref="L4:L42"/>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1173</v>
      </c>
    </row>
    <row r="2" spans="1:14" customHeight="1" ht="30">
      <c r="A2" s="2" t="s">
        <v>1174</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1175</v>
      </c>
      <c r="B4" s="4" t="s">
        <v>1173</v>
      </c>
      <c r="C4" s="4" t="s">
        <v>1176</v>
      </c>
      <c r="D4" s="6" t="s">
        <v>309</v>
      </c>
      <c r="E4" s="4" t="s">
        <v>1177</v>
      </c>
      <c r="F4" s="4" t="s">
        <v>1178</v>
      </c>
      <c r="G4" s="6">
        <v>1</v>
      </c>
      <c r="H4" s="4" t="s">
        <v>1179</v>
      </c>
      <c r="I4" s="4" t="s">
        <v>1180</v>
      </c>
      <c r="J4" s="4"/>
      <c r="K4" s="6" t="s">
        <v>7</v>
      </c>
      <c r="L4" s="6"/>
      <c r="M4" s="4"/>
      <c r="N4" s="4"/>
    </row>
    <row r="5" spans="1:14" customHeight="1" ht="30">
      <c r="A5" s="8" t="s">
        <v>1175</v>
      </c>
      <c r="B5" s="4" t="s">
        <v>1173</v>
      </c>
      <c r="C5" s="4" t="s">
        <v>1176</v>
      </c>
      <c r="D5" s="6" t="s">
        <v>309</v>
      </c>
      <c r="E5" s="4"/>
      <c r="F5" s="4"/>
      <c r="G5" s="6">
        <v>2</v>
      </c>
      <c r="H5" s="4" t="s">
        <v>1181</v>
      </c>
      <c r="I5" s="4" t="s">
        <v>959</v>
      </c>
      <c r="J5" s="4"/>
      <c r="K5" s="6" t="s">
        <v>7</v>
      </c>
      <c r="L5" s="6"/>
      <c r="M5" s="4"/>
      <c r="N5" s="4"/>
    </row>
    <row r="6" spans="1:14" customHeight="1" ht="40">
      <c r="A6" s="8" t="s">
        <v>1175</v>
      </c>
      <c r="B6" s="4" t="s">
        <v>1173</v>
      </c>
      <c r="C6" s="4" t="s">
        <v>1176</v>
      </c>
      <c r="D6" s="6" t="s">
        <v>309</v>
      </c>
      <c r="E6" s="4"/>
      <c r="F6" s="4"/>
      <c r="G6" s="6">
        <v>3</v>
      </c>
      <c r="H6" s="4" t="s">
        <v>1182</v>
      </c>
      <c r="I6" s="4" t="s">
        <v>1183</v>
      </c>
      <c r="J6" s="4"/>
      <c r="K6" s="6" t="s">
        <v>7</v>
      </c>
      <c r="L6" s="6"/>
      <c r="M6" s="4"/>
      <c r="N6" s="4"/>
    </row>
    <row r="7" spans="1:14" customHeight="1" ht="53">
      <c r="A7" s="8" t="s">
        <v>1175</v>
      </c>
      <c r="B7" s="4" t="s">
        <v>1173</v>
      </c>
      <c r="C7" s="4" t="s">
        <v>1176</v>
      </c>
      <c r="D7" s="6" t="s">
        <v>309</v>
      </c>
      <c r="E7" s="4"/>
      <c r="F7" s="4"/>
      <c r="G7" s="6">
        <v>4</v>
      </c>
      <c r="H7" s="4" t="s">
        <v>1184</v>
      </c>
      <c r="I7" s="4" t="s">
        <v>1185</v>
      </c>
      <c r="J7" s="4"/>
      <c r="K7" s="6" t="s">
        <v>7</v>
      </c>
      <c r="L7" s="6"/>
      <c r="M7" s="4"/>
      <c r="N7" s="4"/>
    </row>
    <row r="8" spans="1:14" customHeight="1" ht="30">
      <c r="A8" s="9" t="s">
        <v>1186</v>
      </c>
      <c r="B8" s="5" t="s">
        <v>1173</v>
      </c>
      <c r="C8" s="5" t="s">
        <v>1187</v>
      </c>
      <c r="D8" s="7" t="s">
        <v>322</v>
      </c>
      <c r="E8" s="5" t="s">
        <v>1188</v>
      </c>
      <c r="F8" s="5" t="s">
        <v>1189</v>
      </c>
      <c r="G8" s="7">
        <v>1</v>
      </c>
      <c r="H8" s="5" t="s">
        <v>1190</v>
      </c>
      <c r="I8" s="5" t="s">
        <v>1191</v>
      </c>
      <c r="J8" s="5"/>
      <c r="K8" s="7" t="s">
        <v>7</v>
      </c>
      <c r="L8" s="7"/>
      <c r="M8" s="5"/>
      <c r="N8" s="5"/>
    </row>
    <row r="9" spans="1:14" customHeight="1" ht="30">
      <c r="A9" s="9" t="s">
        <v>1186</v>
      </c>
      <c r="B9" s="5" t="s">
        <v>1173</v>
      </c>
      <c r="C9" s="5" t="s">
        <v>1187</v>
      </c>
      <c r="D9" s="7" t="s">
        <v>322</v>
      </c>
      <c r="E9" s="5"/>
      <c r="F9" s="5"/>
      <c r="G9" s="7">
        <v>2</v>
      </c>
      <c r="H9" s="5" t="s">
        <v>1192</v>
      </c>
      <c r="I9" s="5" t="s">
        <v>1193</v>
      </c>
      <c r="J9" s="5"/>
      <c r="K9" s="7" t="s">
        <v>7</v>
      </c>
      <c r="L9" s="7"/>
      <c r="M9" s="5"/>
      <c r="N9" s="5"/>
    </row>
    <row r="10" spans="1:14" customHeight="1" ht="40">
      <c r="A10" s="9" t="s">
        <v>1186</v>
      </c>
      <c r="B10" s="5" t="s">
        <v>1173</v>
      </c>
      <c r="C10" s="5" t="s">
        <v>1187</v>
      </c>
      <c r="D10" s="7" t="s">
        <v>322</v>
      </c>
      <c r="E10" s="5"/>
      <c r="F10" s="5"/>
      <c r="G10" s="7">
        <v>3</v>
      </c>
      <c r="H10" s="5" t="s">
        <v>1194</v>
      </c>
      <c r="I10" s="5" t="s">
        <v>1195</v>
      </c>
      <c r="J10" s="5"/>
      <c r="K10" s="7" t="s">
        <v>7</v>
      </c>
      <c r="L10" s="7"/>
      <c r="M10" s="5"/>
      <c r="N10" s="5"/>
    </row>
    <row r="11" spans="1:14" customHeight="1" ht="40">
      <c r="A11" s="9" t="s">
        <v>1186</v>
      </c>
      <c r="B11" s="5" t="s">
        <v>1173</v>
      </c>
      <c r="C11" s="5" t="s">
        <v>1187</v>
      </c>
      <c r="D11" s="7" t="s">
        <v>322</v>
      </c>
      <c r="E11" s="5"/>
      <c r="F11" s="5"/>
      <c r="G11" s="7">
        <v>4</v>
      </c>
      <c r="H11" s="5" t="s">
        <v>1196</v>
      </c>
      <c r="I11" s="5" t="s">
        <v>1197</v>
      </c>
      <c r="J11" s="5"/>
      <c r="K11" s="7" t="s">
        <v>7</v>
      </c>
      <c r="L11" s="7"/>
      <c r="M11" s="5"/>
      <c r="N11" s="5"/>
    </row>
    <row r="12" spans="1:14" customHeight="1" ht="53">
      <c r="A12" s="9" t="s">
        <v>1186</v>
      </c>
      <c r="B12" s="5" t="s">
        <v>1173</v>
      </c>
      <c r="C12" s="5" t="s">
        <v>1187</v>
      </c>
      <c r="D12" s="7" t="s">
        <v>322</v>
      </c>
      <c r="E12" s="5"/>
      <c r="F12" s="5"/>
      <c r="G12" s="7">
        <v>5</v>
      </c>
      <c r="H12" s="5" t="s">
        <v>1198</v>
      </c>
      <c r="I12" s="5" t="s">
        <v>1199</v>
      </c>
      <c r="J12" s="5"/>
      <c r="K12" s="7" t="s">
        <v>7</v>
      </c>
      <c r="L12" s="7"/>
      <c r="M12" s="5"/>
      <c r="N12" s="5"/>
    </row>
    <row r="13" spans="1:14" customHeight="1" ht="30">
      <c r="A13" s="9" t="s">
        <v>1186</v>
      </c>
      <c r="B13" s="5" t="s">
        <v>1173</v>
      </c>
      <c r="C13" s="5" t="s">
        <v>1187</v>
      </c>
      <c r="D13" s="7" t="s">
        <v>322</v>
      </c>
      <c r="E13" s="5"/>
      <c r="F13" s="5"/>
      <c r="G13" s="7">
        <v>6</v>
      </c>
      <c r="H13" s="5" t="s">
        <v>1106</v>
      </c>
      <c r="I13" s="5" t="s">
        <v>1200</v>
      </c>
      <c r="J13" s="5"/>
      <c r="K13" s="7" t="s">
        <v>7</v>
      </c>
      <c r="L13" s="7"/>
      <c r="M13" s="5"/>
      <c r="N13" s="5"/>
    </row>
    <row r="14" spans="1:14" customHeight="1" ht="30">
      <c r="A14" s="9" t="s">
        <v>1186</v>
      </c>
      <c r="B14" s="5" t="s">
        <v>1173</v>
      </c>
      <c r="C14" s="5" t="s">
        <v>1187</v>
      </c>
      <c r="D14" s="7" t="s">
        <v>322</v>
      </c>
      <c r="E14" s="5"/>
      <c r="F14" s="5"/>
      <c r="G14" s="7">
        <v>7</v>
      </c>
      <c r="H14" s="5" t="s">
        <v>982</v>
      </c>
      <c r="I14" s="5" t="s">
        <v>1201</v>
      </c>
      <c r="J14" s="5"/>
      <c r="K14" s="7" t="s">
        <v>7</v>
      </c>
      <c r="L14" s="7"/>
      <c r="M14" s="5"/>
      <c r="N14" s="5"/>
    </row>
    <row r="15" spans="1:14" customHeight="1" ht="40">
      <c r="A15" s="9" t="s">
        <v>1186</v>
      </c>
      <c r="B15" s="5" t="s">
        <v>1173</v>
      </c>
      <c r="C15" s="5" t="s">
        <v>1187</v>
      </c>
      <c r="D15" s="7" t="s">
        <v>322</v>
      </c>
      <c r="E15" s="5"/>
      <c r="F15" s="5"/>
      <c r="G15" s="7">
        <v>8</v>
      </c>
      <c r="H15" s="5" t="s">
        <v>1202</v>
      </c>
      <c r="I15" s="5" t="s">
        <v>1203</v>
      </c>
      <c r="J15" s="5"/>
      <c r="K15" s="7" t="s">
        <v>7</v>
      </c>
      <c r="L15" s="7"/>
      <c r="M15" s="5"/>
      <c r="N15" s="5"/>
    </row>
    <row r="16" spans="1:14" customHeight="1" ht="30">
      <c r="A16" s="8" t="s">
        <v>1204</v>
      </c>
      <c r="B16" s="4" t="s">
        <v>1173</v>
      </c>
      <c r="C16" s="4" t="s">
        <v>1205</v>
      </c>
      <c r="D16" s="6" t="s">
        <v>309</v>
      </c>
      <c r="E16" s="4" t="s">
        <v>1206</v>
      </c>
      <c r="F16" s="4" t="s">
        <v>1207</v>
      </c>
      <c r="G16" s="6">
        <v>1</v>
      </c>
      <c r="H16" s="4" t="s">
        <v>1208</v>
      </c>
      <c r="I16" s="4" t="s">
        <v>1209</v>
      </c>
      <c r="J16" s="4"/>
      <c r="K16" s="6" t="s">
        <v>7</v>
      </c>
      <c r="L16" s="6"/>
      <c r="M16" s="4"/>
      <c r="N16" s="4"/>
    </row>
    <row r="17" spans="1:14" customHeight="1" ht="40">
      <c r="A17" s="8" t="s">
        <v>1204</v>
      </c>
      <c r="B17" s="4" t="s">
        <v>1173</v>
      </c>
      <c r="C17" s="4" t="s">
        <v>1205</v>
      </c>
      <c r="D17" s="6" t="s">
        <v>309</v>
      </c>
      <c r="E17" s="4"/>
      <c r="F17" s="4"/>
      <c r="G17" s="6">
        <v>2</v>
      </c>
      <c r="H17" s="4" t="s">
        <v>1196</v>
      </c>
      <c r="I17" s="4" t="s">
        <v>1210</v>
      </c>
      <c r="J17" s="4"/>
      <c r="K17" s="6" t="s">
        <v>7</v>
      </c>
      <c r="L17" s="6"/>
      <c r="M17" s="4"/>
      <c r="N17" s="4"/>
    </row>
    <row r="18" spans="1:14" customHeight="1" ht="30">
      <c r="A18" s="8" t="s">
        <v>1204</v>
      </c>
      <c r="B18" s="4" t="s">
        <v>1173</v>
      </c>
      <c r="C18" s="4" t="s">
        <v>1205</v>
      </c>
      <c r="D18" s="6" t="s">
        <v>309</v>
      </c>
      <c r="E18" s="4"/>
      <c r="F18" s="4"/>
      <c r="G18" s="6">
        <v>3</v>
      </c>
      <c r="H18" s="4" t="s">
        <v>1211</v>
      </c>
      <c r="I18" s="4" t="s">
        <v>1212</v>
      </c>
      <c r="J18" s="4"/>
      <c r="K18" s="6" t="s">
        <v>7</v>
      </c>
      <c r="L18" s="6"/>
      <c r="M18" s="4"/>
      <c r="N18" s="4"/>
    </row>
    <row r="19" spans="1:14" customHeight="1" ht="53">
      <c r="A19" s="8" t="s">
        <v>1204</v>
      </c>
      <c r="B19" s="4" t="s">
        <v>1173</v>
      </c>
      <c r="C19" s="4" t="s">
        <v>1205</v>
      </c>
      <c r="D19" s="6" t="s">
        <v>309</v>
      </c>
      <c r="E19" s="4"/>
      <c r="F19" s="4"/>
      <c r="G19" s="6">
        <v>4</v>
      </c>
      <c r="H19" s="4" t="s">
        <v>1003</v>
      </c>
      <c r="I19" s="4" t="s">
        <v>1213</v>
      </c>
      <c r="J19" s="4"/>
      <c r="K19" s="6" t="s">
        <v>7</v>
      </c>
      <c r="L19" s="6"/>
      <c r="M19" s="4"/>
      <c r="N19" s="4"/>
    </row>
    <row r="20" spans="1:14" customHeight="1" ht="40">
      <c r="A20" s="9" t="s">
        <v>1214</v>
      </c>
      <c r="B20" s="5" t="s">
        <v>1173</v>
      </c>
      <c r="C20" s="5" t="s">
        <v>1215</v>
      </c>
      <c r="D20" s="7" t="s">
        <v>322</v>
      </c>
      <c r="E20" s="5" t="s">
        <v>1216</v>
      </c>
      <c r="F20" s="5" t="s">
        <v>1217</v>
      </c>
      <c r="G20" s="7">
        <v>1</v>
      </c>
      <c r="H20" s="5" t="s">
        <v>1218</v>
      </c>
      <c r="I20" s="5" t="s">
        <v>1219</v>
      </c>
      <c r="J20" s="5"/>
      <c r="K20" s="7" t="s">
        <v>7</v>
      </c>
      <c r="L20" s="7"/>
      <c r="M20" s="5"/>
      <c r="N20" s="5"/>
    </row>
    <row r="21" spans="1:14" customHeight="1" ht="40">
      <c r="A21" s="9" t="s">
        <v>1214</v>
      </c>
      <c r="B21" s="5" t="s">
        <v>1173</v>
      </c>
      <c r="C21" s="5" t="s">
        <v>1215</v>
      </c>
      <c r="D21" s="7" t="s">
        <v>322</v>
      </c>
      <c r="E21" s="5"/>
      <c r="F21" s="5"/>
      <c r="G21" s="7">
        <v>2</v>
      </c>
      <c r="H21" s="5" t="s">
        <v>1192</v>
      </c>
      <c r="I21" s="5" t="s">
        <v>1220</v>
      </c>
      <c r="J21" s="5"/>
      <c r="K21" s="7" t="s">
        <v>7</v>
      </c>
      <c r="L21" s="7"/>
      <c r="M21" s="5"/>
      <c r="N21" s="5"/>
    </row>
    <row r="22" spans="1:14" customHeight="1" ht="40">
      <c r="A22" s="9" t="s">
        <v>1214</v>
      </c>
      <c r="B22" s="5" t="s">
        <v>1173</v>
      </c>
      <c r="C22" s="5" t="s">
        <v>1215</v>
      </c>
      <c r="D22" s="7" t="s">
        <v>322</v>
      </c>
      <c r="E22" s="5"/>
      <c r="F22" s="5"/>
      <c r="G22" s="7">
        <v>3</v>
      </c>
      <c r="H22" s="5" t="s">
        <v>1221</v>
      </c>
      <c r="I22" s="5" t="s">
        <v>1222</v>
      </c>
      <c r="J22" s="5"/>
      <c r="K22" s="7" t="s">
        <v>7</v>
      </c>
      <c r="L22" s="7"/>
      <c r="M22" s="5"/>
      <c r="N22" s="5"/>
    </row>
    <row r="23" spans="1:14" customHeight="1" ht="66">
      <c r="A23" s="9" t="s">
        <v>1214</v>
      </c>
      <c r="B23" s="5" t="s">
        <v>1173</v>
      </c>
      <c r="C23" s="5" t="s">
        <v>1215</v>
      </c>
      <c r="D23" s="7" t="s">
        <v>322</v>
      </c>
      <c r="E23" s="5"/>
      <c r="F23" s="5"/>
      <c r="G23" s="7">
        <v>4</v>
      </c>
      <c r="H23" s="5" t="s">
        <v>1223</v>
      </c>
      <c r="I23" s="5" t="s">
        <v>1224</v>
      </c>
      <c r="J23" s="5"/>
      <c r="K23" s="7" t="s">
        <v>7</v>
      </c>
      <c r="L23" s="7"/>
      <c r="M23" s="5"/>
      <c r="N23" s="5"/>
    </row>
    <row r="24" spans="1:14" customHeight="1" ht="53">
      <c r="A24" s="9" t="s">
        <v>1214</v>
      </c>
      <c r="B24" s="5" t="s">
        <v>1173</v>
      </c>
      <c r="C24" s="5" t="s">
        <v>1215</v>
      </c>
      <c r="D24" s="7" t="s">
        <v>322</v>
      </c>
      <c r="E24" s="5"/>
      <c r="F24" s="5"/>
      <c r="G24" s="7">
        <v>5</v>
      </c>
      <c r="H24" s="5" t="s">
        <v>1225</v>
      </c>
      <c r="I24" s="5" t="s">
        <v>1226</v>
      </c>
      <c r="J24" s="5"/>
      <c r="K24" s="7" t="s">
        <v>7</v>
      </c>
      <c r="L24" s="7"/>
      <c r="M24" s="5"/>
      <c r="N24" s="5"/>
    </row>
    <row r="25" spans="1:14" customHeight="1" ht="40">
      <c r="A25" s="9" t="s">
        <v>1214</v>
      </c>
      <c r="B25" s="5" t="s">
        <v>1173</v>
      </c>
      <c r="C25" s="5" t="s">
        <v>1215</v>
      </c>
      <c r="D25" s="7" t="s">
        <v>322</v>
      </c>
      <c r="E25" s="5"/>
      <c r="F25" s="5"/>
      <c r="G25" s="7">
        <v>6</v>
      </c>
      <c r="H25" s="5" t="s">
        <v>1227</v>
      </c>
      <c r="I25" s="5" t="s">
        <v>1228</v>
      </c>
      <c r="J25" s="5"/>
      <c r="K25" s="7" t="s">
        <v>7</v>
      </c>
      <c r="L25" s="7"/>
      <c r="M25" s="5"/>
      <c r="N25" s="5"/>
    </row>
    <row r="26" spans="1:14" customHeight="1" ht="40">
      <c r="A26" s="9" t="s">
        <v>1214</v>
      </c>
      <c r="B26" s="5" t="s">
        <v>1173</v>
      </c>
      <c r="C26" s="5" t="s">
        <v>1215</v>
      </c>
      <c r="D26" s="7" t="s">
        <v>322</v>
      </c>
      <c r="E26" s="5"/>
      <c r="F26" s="5"/>
      <c r="G26" s="7">
        <v>7</v>
      </c>
      <c r="H26" s="5" t="s">
        <v>1229</v>
      </c>
      <c r="I26" s="5" t="s">
        <v>1230</v>
      </c>
      <c r="J26" s="5"/>
      <c r="K26" s="7" t="s">
        <v>7</v>
      </c>
      <c r="L26" s="7"/>
      <c r="M26" s="5"/>
      <c r="N26" s="5"/>
    </row>
    <row r="27" spans="1:14" customHeight="1" ht="40">
      <c r="A27" s="9" t="s">
        <v>1214</v>
      </c>
      <c r="B27" s="5" t="s">
        <v>1173</v>
      </c>
      <c r="C27" s="5" t="s">
        <v>1215</v>
      </c>
      <c r="D27" s="7" t="s">
        <v>322</v>
      </c>
      <c r="E27" s="5"/>
      <c r="F27" s="5"/>
      <c r="G27" s="7">
        <v>8</v>
      </c>
      <c r="H27" s="5" t="s">
        <v>1231</v>
      </c>
      <c r="I27" s="5" t="s">
        <v>1232</v>
      </c>
      <c r="J27" s="5"/>
      <c r="K27" s="7" t="s">
        <v>7</v>
      </c>
      <c r="L27" s="7"/>
      <c r="M27" s="5"/>
      <c r="N27" s="5"/>
    </row>
    <row r="28" spans="1:14" customHeight="1" ht="30">
      <c r="A28" s="8" t="s">
        <v>1233</v>
      </c>
      <c r="B28" s="4" t="s">
        <v>1173</v>
      </c>
      <c r="C28" s="4" t="s">
        <v>1234</v>
      </c>
      <c r="D28" s="6" t="s">
        <v>309</v>
      </c>
      <c r="E28" s="4" t="s">
        <v>1235</v>
      </c>
      <c r="F28" s="4" t="s">
        <v>1236</v>
      </c>
      <c r="G28" s="6">
        <v>1</v>
      </c>
      <c r="H28" s="4" t="s">
        <v>1237</v>
      </c>
      <c r="I28" s="4" t="s">
        <v>1238</v>
      </c>
      <c r="J28" s="4"/>
      <c r="K28" s="6" t="s">
        <v>7</v>
      </c>
      <c r="L28" s="6"/>
      <c r="M28" s="4"/>
      <c r="N28" s="4"/>
    </row>
    <row r="29" spans="1:14" customHeight="1" ht="40">
      <c r="A29" s="8" t="s">
        <v>1233</v>
      </c>
      <c r="B29" s="4" t="s">
        <v>1173</v>
      </c>
      <c r="C29" s="4" t="s">
        <v>1234</v>
      </c>
      <c r="D29" s="6" t="s">
        <v>309</v>
      </c>
      <c r="E29" s="4"/>
      <c r="F29" s="4"/>
      <c r="G29" s="6">
        <v>2</v>
      </c>
      <c r="H29" s="4" t="s">
        <v>1239</v>
      </c>
      <c r="I29" s="4" t="s">
        <v>1240</v>
      </c>
      <c r="J29" s="4"/>
      <c r="K29" s="6" t="s">
        <v>7</v>
      </c>
      <c r="L29" s="6"/>
      <c r="M29" s="4"/>
      <c r="N29" s="4"/>
    </row>
    <row r="30" spans="1:14" customHeight="1" ht="30">
      <c r="A30" s="8" t="s">
        <v>1233</v>
      </c>
      <c r="B30" s="4" t="s">
        <v>1173</v>
      </c>
      <c r="C30" s="4" t="s">
        <v>1234</v>
      </c>
      <c r="D30" s="6" t="s">
        <v>309</v>
      </c>
      <c r="E30" s="4"/>
      <c r="F30" s="4"/>
      <c r="G30" s="6">
        <v>3</v>
      </c>
      <c r="H30" s="4" t="s">
        <v>1241</v>
      </c>
      <c r="I30" s="4" t="s">
        <v>1242</v>
      </c>
      <c r="J30" s="4"/>
      <c r="K30" s="6" t="s">
        <v>7</v>
      </c>
      <c r="L30" s="6"/>
      <c r="M30" s="4"/>
      <c r="N30" s="4"/>
    </row>
    <row r="31" spans="1:14" customHeight="1" ht="30">
      <c r="A31" s="8" t="s">
        <v>1233</v>
      </c>
      <c r="B31" s="4" t="s">
        <v>1173</v>
      </c>
      <c r="C31" s="4" t="s">
        <v>1234</v>
      </c>
      <c r="D31" s="6" t="s">
        <v>309</v>
      </c>
      <c r="E31" s="4"/>
      <c r="F31" s="4"/>
      <c r="G31" s="6">
        <v>4</v>
      </c>
      <c r="H31" s="4" t="s">
        <v>1243</v>
      </c>
      <c r="I31" s="4" t="s">
        <v>1244</v>
      </c>
      <c r="J31" s="4"/>
      <c r="K31" s="6" t="s">
        <v>7</v>
      </c>
      <c r="L31" s="6"/>
      <c r="M31" s="4"/>
      <c r="N31" s="4"/>
    </row>
    <row r="32" spans="1:14" customHeight="1" ht="53">
      <c r="A32" s="8" t="s">
        <v>1233</v>
      </c>
      <c r="B32" s="4" t="s">
        <v>1173</v>
      </c>
      <c r="C32" s="4" t="s">
        <v>1234</v>
      </c>
      <c r="D32" s="6" t="s">
        <v>309</v>
      </c>
      <c r="E32" s="4"/>
      <c r="F32" s="4"/>
      <c r="G32" s="6">
        <v>5</v>
      </c>
      <c r="H32" s="4" t="s">
        <v>991</v>
      </c>
      <c r="I32" s="4" t="s">
        <v>1245</v>
      </c>
      <c r="J32" s="4"/>
      <c r="K32" s="6" t="s">
        <v>7</v>
      </c>
      <c r="L32" s="6"/>
      <c r="M32" s="4"/>
      <c r="N32" s="4"/>
    </row>
    <row r="33" spans="1:14" customHeight="1" ht="30">
      <c r="A33" s="8" t="s">
        <v>1233</v>
      </c>
      <c r="B33" s="4" t="s">
        <v>1173</v>
      </c>
      <c r="C33" s="4" t="s">
        <v>1234</v>
      </c>
      <c r="D33" s="6" t="s">
        <v>309</v>
      </c>
      <c r="E33" s="4"/>
      <c r="F33" s="4"/>
      <c r="G33" s="6">
        <v>6</v>
      </c>
      <c r="H33" s="4" t="s">
        <v>1246</v>
      </c>
      <c r="I33" s="4" t="s">
        <v>350</v>
      </c>
      <c r="J33" s="4"/>
      <c r="K33" s="6" t="s">
        <v>7</v>
      </c>
      <c r="L33" s="6"/>
      <c r="M33" s="4"/>
      <c r="N33" s="4"/>
    </row>
    <row r="34" spans="1:14" customHeight="1" ht="40">
      <c r="A34" s="9" t="s">
        <v>1247</v>
      </c>
      <c r="B34" s="5" t="s">
        <v>1173</v>
      </c>
      <c r="C34" s="5" t="s">
        <v>1248</v>
      </c>
      <c r="D34" s="7" t="s">
        <v>309</v>
      </c>
      <c r="E34" s="5" t="s">
        <v>1249</v>
      </c>
      <c r="F34" s="5" t="s">
        <v>1250</v>
      </c>
      <c r="G34" s="7">
        <v>1</v>
      </c>
      <c r="H34" s="5" t="s">
        <v>1251</v>
      </c>
      <c r="I34" s="5" t="s">
        <v>1252</v>
      </c>
      <c r="J34" s="5"/>
      <c r="K34" s="7" t="s">
        <v>7</v>
      </c>
      <c r="L34" s="7"/>
      <c r="M34" s="5"/>
      <c r="N34" s="5"/>
    </row>
    <row r="35" spans="1:14" customHeight="1" ht="40">
      <c r="A35" s="9" t="s">
        <v>1247</v>
      </c>
      <c r="B35" s="5" t="s">
        <v>1173</v>
      </c>
      <c r="C35" s="5" t="s">
        <v>1248</v>
      </c>
      <c r="D35" s="7" t="s">
        <v>309</v>
      </c>
      <c r="E35" s="5"/>
      <c r="F35" s="5"/>
      <c r="G35" s="7">
        <v>2</v>
      </c>
      <c r="H35" s="5" t="s">
        <v>1253</v>
      </c>
      <c r="I35" s="5" t="s">
        <v>1254</v>
      </c>
      <c r="J35" s="5"/>
      <c r="K35" s="7" t="s">
        <v>7</v>
      </c>
      <c r="L35" s="7"/>
      <c r="M35" s="5"/>
      <c r="N35" s="5"/>
    </row>
    <row r="36" spans="1:14" customHeight="1" ht="40">
      <c r="A36" s="9" t="s">
        <v>1247</v>
      </c>
      <c r="B36" s="5" t="s">
        <v>1173</v>
      </c>
      <c r="C36" s="5" t="s">
        <v>1248</v>
      </c>
      <c r="D36" s="7" t="s">
        <v>309</v>
      </c>
      <c r="E36" s="5"/>
      <c r="F36" s="5"/>
      <c r="G36" s="7">
        <v>3</v>
      </c>
      <c r="H36" s="5" t="s">
        <v>1255</v>
      </c>
      <c r="I36" s="5" t="s">
        <v>1256</v>
      </c>
      <c r="J36" s="5"/>
      <c r="K36" s="7" t="s">
        <v>7</v>
      </c>
      <c r="L36" s="7"/>
      <c r="M36" s="5"/>
      <c r="N36" s="5"/>
    </row>
    <row r="37" spans="1:14" customHeight="1" ht="53">
      <c r="A37" s="9" t="s">
        <v>1247</v>
      </c>
      <c r="B37" s="5" t="s">
        <v>1173</v>
      </c>
      <c r="C37" s="5" t="s">
        <v>1248</v>
      </c>
      <c r="D37" s="7" t="s">
        <v>309</v>
      </c>
      <c r="E37" s="5"/>
      <c r="F37" s="5"/>
      <c r="G37" s="7">
        <v>4</v>
      </c>
      <c r="H37" s="5" t="s">
        <v>1257</v>
      </c>
      <c r="I37" s="5" t="s">
        <v>1258</v>
      </c>
      <c r="J37" s="5"/>
      <c r="K37" s="7" t="s">
        <v>7</v>
      </c>
      <c r="L37" s="7"/>
      <c r="M37" s="5"/>
      <c r="N37" s="5"/>
    </row>
    <row r="38" spans="1:14" customHeight="1" ht="30">
      <c r="A38" s="8" t="s">
        <v>1259</v>
      </c>
      <c r="B38" s="4" t="s">
        <v>1173</v>
      </c>
      <c r="C38" s="4" t="s">
        <v>1260</v>
      </c>
      <c r="D38" s="6" t="s">
        <v>309</v>
      </c>
      <c r="E38" s="4" t="s">
        <v>1261</v>
      </c>
      <c r="F38" s="4" t="s">
        <v>1262</v>
      </c>
      <c r="G38" s="6">
        <v>1</v>
      </c>
      <c r="H38" s="4" t="s">
        <v>1263</v>
      </c>
      <c r="I38" s="4" t="s">
        <v>1264</v>
      </c>
      <c r="J38" s="4"/>
      <c r="K38" s="6" t="s">
        <v>7</v>
      </c>
      <c r="L38" s="6"/>
      <c r="M38" s="4"/>
      <c r="N38" s="4"/>
    </row>
    <row r="39" spans="1:14" customHeight="1" ht="40">
      <c r="A39" s="8" t="s">
        <v>1259</v>
      </c>
      <c r="B39" s="4" t="s">
        <v>1173</v>
      </c>
      <c r="C39" s="4" t="s">
        <v>1260</v>
      </c>
      <c r="D39" s="6" t="s">
        <v>309</v>
      </c>
      <c r="E39" s="4"/>
      <c r="F39" s="4"/>
      <c r="G39" s="6">
        <v>2</v>
      </c>
      <c r="H39" s="4" t="s">
        <v>1265</v>
      </c>
      <c r="I39" s="4" t="s">
        <v>1266</v>
      </c>
      <c r="J39" s="4"/>
      <c r="K39" s="6" t="s">
        <v>7</v>
      </c>
      <c r="L39" s="6"/>
      <c r="M39" s="4"/>
      <c r="N39" s="4"/>
    </row>
    <row r="40" spans="1:14" customHeight="1" ht="40">
      <c r="A40" s="8" t="s">
        <v>1259</v>
      </c>
      <c r="B40" s="4" t="s">
        <v>1173</v>
      </c>
      <c r="C40" s="4" t="s">
        <v>1260</v>
      </c>
      <c r="D40" s="6" t="s">
        <v>309</v>
      </c>
      <c r="E40" s="4"/>
      <c r="F40" s="4"/>
      <c r="G40" s="6">
        <v>3</v>
      </c>
      <c r="H40" s="4" t="s">
        <v>1267</v>
      </c>
      <c r="I40" s="4" t="s">
        <v>1268</v>
      </c>
      <c r="J40" s="4"/>
      <c r="K40" s="6" t="s">
        <v>7</v>
      </c>
      <c r="L40" s="6"/>
      <c r="M40" s="4"/>
      <c r="N40" s="4"/>
    </row>
    <row r="41" spans="1:14" customHeight="1" ht="40">
      <c r="A41" s="8" t="s">
        <v>1259</v>
      </c>
      <c r="B41" s="4" t="s">
        <v>1173</v>
      </c>
      <c r="C41" s="4" t="s">
        <v>1260</v>
      </c>
      <c r="D41" s="6" t="s">
        <v>309</v>
      </c>
      <c r="E41" s="4"/>
      <c r="F41" s="4"/>
      <c r="G41" s="6">
        <v>4</v>
      </c>
      <c r="H41" s="4" t="s">
        <v>1269</v>
      </c>
      <c r="I41" s="4" t="s">
        <v>1270</v>
      </c>
      <c r="J41" s="4"/>
      <c r="K41" s="6" t="s">
        <v>7</v>
      </c>
      <c r="L41" s="6"/>
      <c r="M41" s="4"/>
      <c r="N41" s="4"/>
    </row>
    <row r="42" spans="1:14" customHeight="1" ht="66">
      <c r="A42" s="8" t="s">
        <v>1259</v>
      </c>
      <c r="B42" s="4" t="s">
        <v>1173</v>
      </c>
      <c r="C42" s="4" t="s">
        <v>1260</v>
      </c>
      <c r="D42" s="6" t="s">
        <v>309</v>
      </c>
      <c r="E42" s="4"/>
      <c r="F42" s="4"/>
      <c r="G42" s="6">
        <v>5</v>
      </c>
      <c r="H42" s="4" t="s">
        <v>1271</v>
      </c>
      <c r="I42" s="4" t="s">
        <v>1272</v>
      </c>
      <c r="J42" s="4"/>
      <c r="K42" s="6" t="s">
        <v>7</v>
      </c>
      <c r="L42" s="6"/>
      <c r="M42" s="4"/>
      <c r="N42" s="4"/>
    </row>
  </sheetData>
  <autoFilter ref="A3:N42"/>
  <mergeCells>
    <mergeCell ref="A1:N1"/>
    <mergeCell ref="A2:N2"/>
  </mergeCells>
  <conditionalFormatting sqref="K4:K42">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2">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2">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2">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2">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77"/>
  <sheetViews>
    <sheetView tabSelected="0" workbookViewId="0" showGridLines="true" showRowColHeaders="1">
      <pane xSplit="2" ySplit="3" topLeftCell="C4" activePane="bottomRight" state="frozen"/>
      <selection pane="topRight"/>
      <selection pane="bottomLeft"/>
      <selection pane="bottomRight" activeCell="L4" sqref="L4:L77"/>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1273</v>
      </c>
    </row>
    <row r="2" spans="1:14" customHeight="1" ht="30">
      <c r="A2" s="2" t="s">
        <v>1274</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1275</v>
      </c>
      <c r="B4" s="4" t="s">
        <v>1273</v>
      </c>
      <c r="C4" s="4" t="s">
        <v>1276</v>
      </c>
      <c r="D4" s="6" t="s">
        <v>322</v>
      </c>
      <c r="E4" s="4" t="s">
        <v>1277</v>
      </c>
      <c r="F4" s="4" t="s">
        <v>1278</v>
      </c>
      <c r="G4" s="6">
        <v>1</v>
      </c>
      <c r="H4" s="4" t="s">
        <v>1279</v>
      </c>
      <c r="I4" s="4" t="s">
        <v>1280</v>
      </c>
      <c r="J4" s="4"/>
      <c r="K4" s="6" t="s">
        <v>7</v>
      </c>
      <c r="L4" s="6"/>
      <c r="M4" s="4"/>
      <c r="N4" s="4"/>
    </row>
    <row r="5" spans="1:14" customHeight="1" ht="40">
      <c r="A5" s="8" t="s">
        <v>1275</v>
      </c>
      <c r="B5" s="4" t="s">
        <v>1273</v>
      </c>
      <c r="C5" s="4" t="s">
        <v>1276</v>
      </c>
      <c r="D5" s="6" t="s">
        <v>322</v>
      </c>
      <c r="E5" s="4"/>
      <c r="F5" s="4"/>
      <c r="G5" s="6">
        <v>2</v>
      </c>
      <c r="H5" s="4" t="s">
        <v>1281</v>
      </c>
      <c r="I5" s="4" t="s">
        <v>1282</v>
      </c>
      <c r="J5" s="4"/>
      <c r="K5" s="6" t="s">
        <v>7</v>
      </c>
      <c r="L5" s="6"/>
      <c r="M5" s="4"/>
      <c r="N5" s="4"/>
    </row>
    <row r="6" spans="1:14" customHeight="1" ht="30">
      <c r="A6" s="8" t="s">
        <v>1275</v>
      </c>
      <c r="B6" s="4" t="s">
        <v>1273</v>
      </c>
      <c r="C6" s="4" t="s">
        <v>1276</v>
      </c>
      <c r="D6" s="6" t="s">
        <v>322</v>
      </c>
      <c r="E6" s="4"/>
      <c r="F6" s="4"/>
      <c r="G6" s="6">
        <v>3</v>
      </c>
      <c r="H6" s="4" t="s">
        <v>1283</v>
      </c>
      <c r="I6" s="4" t="s">
        <v>1284</v>
      </c>
      <c r="J6" s="4"/>
      <c r="K6" s="6" t="s">
        <v>7</v>
      </c>
      <c r="L6" s="6"/>
      <c r="M6" s="4"/>
      <c r="N6" s="4"/>
    </row>
    <row r="7" spans="1:14" customHeight="1" ht="53">
      <c r="A7" s="8" t="s">
        <v>1275</v>
      </c>
      <c r="B7" s="4" t="s">
        <v>1273</v>
      </c>
      <c r="C7" s="4" t="s">
        <v>1276</v>
      </c>
      <c r="D7" s="6" t="s">
        <v>322</v>
      </c>
      <c r="E7" s="4"/>
      <c r="F7" s="4"/>
      <c r="G7" s="6">
        <v>4</v>
      </c>
      <c r="H7" s="4" t="s">
        <v>1285</v>
      </c>
      <c r="I7" s="4" t="s">
        <v>1286</v>
      </c>
      <c r="J7" s="4"/>
      <c r="K7" s="6" t="s">
        <v>7</v>
      </c>
      <c r="L7" s="6"/>
      <c r="M7" s="4"/>
      <c r="N7" s="4"/>
    </row>
    <row r="8" spans="1:14" customHeight="1" ht="30">
      <c r="A8" s="8" t="s">
        <v>1275</v>
      </c>
      <c r="B8" s="4" t="s">
        <v>1273</v>
      </c>
      <c r="C8" s="4" t="s">
        <v>1276</v>
      </c>
      <c r="D8" s="6" t="s">
        <v>322</v>
      </c>
      <c r="E8" s="4"/>
      <c r="F8" s="4"/>
      <c r="G8" s="6">
        <v>5</v>
      </c>
      <c r="H8" s="4" t="s">
        <v>1287</v>
      </c>
      <c r="I8" s="4" t="s">
        <v>1288</v>
      </c>
      <c r="J8" s="4"/>
      <c r="K8" s="6" t="s">
        <v>7</v>
      </c>
      <c r="L8" s="6"/>
      <c r="M8" s="4"/>
      <c r="N8" s="4"/>
    </row>
    <row r="9" spans="1:14" customHeight="1" ht="40">
      <c r="A9" s="8" t="s">
        <v>1275</v>
      </c>
      <c r="B9" s="4" t="s">
        <v>1273</v>
      </c>
      <c r="C9" s="4" t="s">
        <v>1276</v>
      </c>
      <c r="D9" s="6" t="s">
        <v>322</v>
      </c>
      <c r="E9" s="4"/>
      <c r="F9" s="4"/>
      <c r="G9" s="6">
        <v>6</v>
      </c>
      <c r="H9" s="4" t="s">
        <v>1289</v>
      </c>
      <c r="I9" s="4" t="s">
        <v>1290</v>
      </c>
      <c r="J9" s="4"/>
      <c r="K9" s="6" t="s">
        <v>7</v>
      </c>
      <c r="L9" s="6"/>
      <c r="M9" s="4"/>
      <c r="N9" s="4"/>
    </row>
    <row r="10" spans="1:14" customHeight="1" ht="40">
      <c r="A10" s="9" t="s">
        <v>1291</v>
      </c>
      <c r="B10" s="5" t="s">
        <v>1273</v>
      </c>
      <c r="C10" s="5" t="s">
        <v>1292</v>
      </c>
      <c r="D10" s="7" t="s">
        <v>322</v>
      </c>
      <c r="E10" s="5" t="s">
        <v>1293</v>
      </c>
      <c r="F10" s="5" t="s">
        <v>1294</v>
      </c>
      <c r="G10" s="7">
        <v>1</v>
      </c>
      <c r="H10" s="5" t="s">
        <v>1295</v>
      </c>
      <c r="I10" s="5" t="s">
        <v>1296</v>
      </c>
      <c r="J10" s="5"/>
      <c r="K10" s="7" t="s">
        <v>7</v>
      </c>
      <c r="L10" s="7"/>
      <c r="M10" s="5"/>
      <c r="N10" s="5"/>
    </row>
    <row r="11" spans="1:14" customHeight="1" ht="30">
      <c r="A11" s="9" t="s">
        <v>1291</v>
      </c>
      <c r="B11" s="5" t="s">
        <v>1273</v>
      </c>
      <c r="C11" s="5" t="s">
        <v>1292</v>
      </c>
      <c r="D11" s="7" t="s">
        <v>322</v>
      </c>
      <c r="E11" s="5"/>
      <c r="F11" s="5"/>
      <c r="G11" s="7">
        <v>2</v>
      </c>
      <c r="H11" s="5" t="s">
        <v>1297</v>
      </c>
      <c r="I11" s="5" t="s">
        <v>1298</v>
      </c>
      <c r="J11" s="5"/>
      <c r="K11" s="7" t="s">
        <v>7</v>
      </c>
      <c r="L11" s="7"/>
      <c r="M11" s="5"/>
      <c r="N11" s="5"/>
    </row>
    <row r="12" spans="1:14" customHeight="1" ht="30">
      <c r="A12" s="9" t="s">
        <v>1291</v>
      </c>
      <c r="B12" s="5" t="s">
        <v>1273</v>
      </c>
      <c r="C12" s="5" t="s">
        <v>1292</v>
      </c>
      <c r="D12" s="7" t="s">
        <v>322</v>
      </c>
      <c r="E12" s="5"/>
      <c r="F12" s="5"/>
      <c r="G12" s="7">
        <v>3</v>
      </c>
      <c r="H12" s="5" t="s">
        <v>1299</v>
      </c>
      <c r="I12" s="5" t="s">
        <v>1300</v>
      </c>
      <c r="J12" s="5"/>
      <c r="K12" s="7" t="s">
        <v>7</v>
      </c>
      <c r="L12" s="7"/>
      <c r="M12" s="5"/>
      <c r="N12" s="5"/>
    </row>
    <row r="13" spans="1:14" customHeight="1" ht="40">
      <c r="A13" s="9" t="s">
        <v>1291</v>
      </c>
      <c r="B13" s="5" t="s">
        <v>1273</v>
      </c>
      <c r="C13" s="5" t="s">
        <v>1292</v>
      </c>
      <c r="D13" s="7" t="s">
        <v>322</v>
      </c>
      <c r="E13" s="5"/>
      <c r="F13" s="5"/>
      <c r="G13" s="7">
        <v>4</v>
      </c>
      <c r="H13" s="5" t="s">
        <v>1301</v>
      </c>
      <c r="I13" s="5" t="s">
        <v>1302</v>
      </c>
      <c r="J13" s="5"/>
      <c r="K13" s="7" t="s">
        <v>7</v>
      </c>
      <c r="L13" s="7"/>
      <c r="M13" s="5"/>
      <c r="N13" s="5"/>
    </row>
    <row r="14" spans="1:14" customHeight="1" ht="30">
      <c r="A14" s="8" t="s">
        <v>1303</v>
      </c>
      <c r="B14" s="4" t="s">
        <v>1273</v>
      </c>
      <c r="C14" s="4" t="s">
        <v>1304</v>
      </c>
      <c r="D14" s="6" t="s">
        <v>322</v>
      </c>
      <c r="E14" s="4" t="s">
        <v>1305</v>
      </c>
      <c r="F14" s="4" t="s">
        <v>1306</v>
      </c>
      <c r="G14" s="6">
        <v>1</v>
      </c>
      <c r="H14" s="4" t="s">
        <v>1307</v>
      </c>
      <c r="I14" s="4" t="s">
        <v>1308</v>
      </c>
      <c r="J14" s="4"/>
      <c r="K14" s="6" t="s">
        <v>7</v>
      </c>
      <c r="L14" s="6"/>
      <c r="M14" s="4"/>
      <c r="N14" s="4"/>
    </row>
    <row r="15" spans="1:14" customHeight="1" ht="40">
      <c r="A15" s="8" t="s">
        <v>1303</v>
      </c>
      <c r="B15" s="4" t="s">
        <v>1273</v>
      </c>
      <c r="C15" s="4" t="s">
        <v>1304</v>
      </c>
      <c r="D15" s="6" t="s">
        <v>322</v>
      </c>
      <c r="E15" s="4"/>
      <c r="F15" s="4"/>
      <c r="G15" s="6">
        <v>2</v>
      </c>
      <c r="H15" s="4" t="s">
        <v>1309</v>
      </c>
      <c r="I15" s="4" t="s">
        <v>1310</v>
      </c>
      <c r="J15" s="4"/>
      <c r="K15" s="6" t="s">
        <v>7</v>
      </c>
      <c r="L15" s="6"/>
      <c r="M15" s="4"/>
      <c r="N15" s="4"/>
    </row>
    <row r="16" spans="1:14" customHeight="1" ht="30">
      <c r="A16" s="8" t="s">
        <v>1303</v>
      </c>
      <c r="B16" s="4" t="s">
        <v>1273</v>
      </c>
      <c r="C16" s="4" t="s">
        <v>1304</v>
      </c>
      <c r="D16" s="6" t="s">
        <v>322</v>
      </c>
      <c r="E16" s="4"/>
      <c r="F16" s="4"/>
      <c r="G16" s="6">
        <v>3</v>
      </c>
      <c r="H16" s="4" t="s">
        <v>1311</v>
      </c>
      <c r="I16" s="4" t="s">
        <v>1312</v>
      </c>
      <c r="J16" s="4"/>
      <c r="K16" s="6" t="s">
        <v>7</v>
      </c>
      <c r="L16" s="6"/>
      <c r="M16" s="4"/>
      <c r="N16" s="4"/>
    </row>
    <row r="17" spans="1:14" customHeight="1" ht="40">
      <c r="A17" s="8" t="s">
        <v>1303</v>
      </c>
      <c r="B17" s="4" t="s">
        <v>1273</v>
      </c>
      <c r="C17" s="4" t="s">
        <v>1304</v>
      </c>
      <c r="D17" s="6" t="s">
        <v>322</v>
      </c>
      <c r="E17" s="4"/>
      <c r="F17" s="4"/>
      <c r="G17" s="6">
        <v>4</v>
      </c>
      <c r="H17" s="4" t="s">
        <v>1299</v>
      </c>
      <c r="I17" s="4" t="s">
        <v>1313</v>
      </c>
      <c r="J17" s="4"/>
      <c r="K17" s="6" t="s">
        <v>7</v>
      </c>
      <c r="L17" s="6"/>
      <c r="M17" s="4"/>
      <c r="N17" s="4"/>
    </row>
    <row r="18" spans="1:14" customHeight="1" ht="30">
      <c r="A18" s="9" t="s">
        <v>1314</v>
      </c>
      <c r="B18" s="5" t="s">
        <v>1273</v>
      </c>
      <c r="C18" s="5" t="s">
        <v>1315</v>
      </c>
      <c r="D18" s="7" t="s">
        <v>322</v>
      </c>
      <c r="E18" s="5" t="s">
        <v>1305</v>
      </c>
      <c r="F18" s="5" t="s">
        <v>1316</v>
      </c>
      <c r="G18" s="7">
        <v>1</v>
      </c>
      <c r="H18" s="5" t="s">
        <v>1317</v>
      </c>
      <c r="I18" s="5" t="s">
        <v>1318</v>
      </c>
      <c r="J18" s="5"/>
      <c r="K18" s="7" t="s">
        <v>7</v>
      </c>
      <c r="L18" s="7"/>
      <c r="M18" s="5"/>
      <c r="N18" s="5"/>
    </row>
    <row r="19" spans="1:14" customHeight="1" ht="30">
      <c r="A19" s="9" t="s">
        <v>1314</v>
      </c>
      <c r="B19" s="5" t="s">
        <v>1273</v>
      </c>
      <c r="C19" s="5" t="s">
        <v>1315</v>
      </c>
      <c r="D19" s="7" t="s">
        <v>322</v>
      </c>
      <c r="E19" s="5"/>
      <c r="F19" s="5"/>
      <c r="G19" s="7">
        <v>2</v>
      </c>
      <c r="H19" s="5" t="s">
        <v>1319</v>
      </c>
      <c r="I19" s="5" t="s">
        <v>1320</v>
      </c>
      <c r="J19" s="5"/>
      <c r="K19" s="7" t="s">
        <v>7</v>
      </c>
      <c r="L19" s="7"/>
      <c r="M19" s="5"/>
      <c r="N19" s="5"/>
    </row>
    <row r="20" spans="1:14" customHeight="1" ht="40">
      <c r="A20" s="9" t="s">
        <v>1314</v>
      </c>
      <c r="B20" s="5" t="s">
        <v>1273</v>
      </c>
      <c r="C20" s="5" t="s">
        <v>1315</v>
      </c>
      <c r="D20" s="7" t="s">
        <v>322</v>
      </c>
      <c r="E20" s="5"/>
      <c r="F20" s="5"/>
      <c r="G20" s="7">
        <v>3</v>
      </c>
      <c r="H20" s="5" t="s">
        <v>1299</v>
      </c>
      <c r="I20" s="5" t="s">
        <v>1321</v>
      </c>
      <c r="J20" s="5"/>
      <c r="K20" s="7" t="s">
        <v>7</v>
      </c>
      <c r="L20" s="7"/>
      <c r="M20" s="5"/>
      <c r="N20" s="5"/>
    </row>
    <row r="21" spans="1:14" customHeight="1" ht="40">
      <c r="A21" s="9" t="s">
        <v>1314</v>
      </c>
      <c r="B21" s="5" t="s">
        <v>1273</v>
      </c>
      <c r="C21" s="5" t="s">
        <v>1315</v>
      </c>
      <c r="D21" s="7" t="s">
        <v>322</v>
      </c>
      <c r="E21" s="5"/>
      <c r="F21" s="5"/>
      <c r="G21" s="7">
        <v>4</v>
      </c>
      <c r="H21" s="5" t="s">
        <v>1322</v>
      </c>
      <c r="I21" s="5" t="s">
        <v>1323</v>
      </c>
      <c r="J21" s="5"/>
      <c r="K21" s="7" t="s">
        <v>7</v>
      </c>
      <c r="L21" s="7"/>
      <c r="M21" s="5"/>
      <c r="N21" s="5"/>
    </row>
    <row r="22" spans="1:14" customHeight="1" ht="30">
      <c r="A22" s="8" t="s">
        <v>1324</v>
      </c>
      <c r="B22" s="4" t="s">
        <v>1273</v>
      </c>
      <c r="C22" s="4" t="s">
        <v>1325</v>
      </c>
      <c r="D22" s="6" t="s">
        <v>322</v>
      </c>
      <c r="E22" s="4" t="s">
        <v>1305</v>
      </c>
      <c r="F22" s="4" t="s">
        <v>1326</v>
      </c>
      <c r="G22" s="6">
        <v>1</v>
      </c>
      <c r="H22" s="4" t="s">
        <v>1327</v>
      </c>
      <c r="I22" s="4" t="s">
        <v>1328</v>
      </c>
      <c r="J22" s="4"/>
      <c r="K22" s="6" t="s">
        <v>7</v>
      </c>
      <c r="L22" s="6"/>
      <c r="M22" s="4"/>
      <c r="N22" s="4"/>
    </row>
    <row r="23" spans="1:14" customHeight="1" ht="30">
      <c r="A23" s="8" t="s">
        <v>1324</v>
      </c>
      <c r="B23" s="4" t="s">
        <v>1273</v>
      </c>
      <c r="C23" s="4" t="s">
        <v>1325</v>
      </c>
      <c r="D23" s="6" t="s">
        <v>322</v>
      </c>
      <c r="E23" s="4"/>
      <c r="F23" s="4"/>
      <c r="G23" s="6">
        <v>2</v>
      </c>
      <c r="H23" s="4" t="s">
        <v>1329</v>
      </c>
      <c r="I23" s="4" t="s">
        <v>1330</v>
      </c>
      <c r="J23" s="4"/>
      <c r="K23" s="6" t="s">
        <v>7</v>
      </c>
      <c r="L23" s="6"/>
      <c r="M23" s="4"/>
      <c r="N23" s="4"/>
    </row>
    <row r="24" spans="1:14" customHeight="1" ht="30">
      <c r="A24" s="8" t="s">
        <v>1324</v>
      </c>
      <c r="B24" s="4" t="s">
        <v>1273</v>
      </c>
      <c r="C24" s="4" t="s">
        <v>1325</v>
      </c>
      <c r="D24" s="6" t="s">
        <v>322</v>
      </c>
      <c r="E24" s="4"/>
      <c r="F24" s="4"/>
      <c r="G24" s="6">
        <v>3</v>
      </c>
      <c r="H24" s="4" t="s">
        <v>1331</v>
      </c>
      <c r="I24" s="4" t="s">
        <v>1332</v>
      </c>
      <c r="J24" s="4"/>
      <c r="K24" s="6" t="s">
        <v>7</v>
      </c>
      <c r="L24" s="6"/>
      <c r="M24" s="4"/>
      <c r="N24" s="4"/>
    </row>
    <row r="25" spans="1:14" customHeight="1" ht="40">
      <c r="A25" s="8" t="s">
        <v>1324</v>
      </c>
      <c r="B25" s="4" t="s">
        <v>1273</v>
      </c>
      <c r="C25" s="4" t="s">
        <v>1325</v>
      </c>
      <c r="D25" s="6" t="s">
        <v>322</v>
      </c>
      <c r="E25" s="4"/>
      <c r="F25" s="4"/>
      <c r="G25" s="6">
        <v>4</v>
      </c>
      <c r="H25" s="4" t="s">
        <v>1299</v>
      </c>
      <c r="I25" s="4" t="s">
        <v>1333</v>
      </c>
      <c r="J25" s="4"/>
      <c r="K25" s="6" t="s">
        <v>7</v>
      </c>
      <c r="L25" s="6"/>
      <c r="M25" s="4"/>
      <c r="N25" s="4"/>
    </row>
    <row r="26" spans="1:14" customHeight="1" ht="30">
      <c r="A26" s="8" t="s">
        <v>1324</v>
      </c>
      <c r="B26" s="4" t="s">
        <v>1273</v>
      </c>
      <c r="C26" s="4" t="s">
        <v>1325</v>
      </c>
      <c r="D26" s="6" t="s">
        <v>322</v>
      </c>
      <c r="E26" s="4"/>
      <c r="F26" s="4"/>
      <c r="G26" s="6">
        <v>5</v>
      </c>
      <c r="H26" s="4" t="s">
        <v>1334</v>
      </c>
      <c r="I26" s="4" t="s">
        <v>1335</v>
      </c>
      <c r="J26" s="4"/>
      <c r="K26" s="6" t="s">
        <v>7</v>
      </c>
      <c r="L26" s="6"/>
      <c r="M26" s="4"/>
      <c r="N26" s="4"/>
    </row>
    <row r="27" spans="1:14" customHeight="1" ht="40">
      <c r="A27" s="9" t="s">
        <v>1336</v>
      </c>
      <c r="B27" s="5" t="s">
        <v>1273</v>
      </c>
      <c r="C27" s="5" t="s">
        <v>1337</v>
      </c>
      <c r="D27" s="7" t="s">
        <v>309</v>
      </c>
      <c r="E27" s="5" t="s">
        <v>1305</v>
      </c>
      <c r="F27" s="5" t="s">
        <v>1338</v>
      </c>
      <c r="G27" s="7">
        <v>1</v>
      </c>
      <c r="H27" s="5" t="s">
        <v>1339</v>
      </c>
      <c r="I27" s="5" t="s">
        <v>1340</v>
      </c>
      <c r="J27" s="5"/>
      <c r="K27" s="7" t="s">
        <v>7</v>
      </c>
      <c r="L27" s="7"/>
      <c r="M27" s="5"/>
      <c r="N27" s="5"/>
    </row>
    <row r="28" spans="1:14" customHeight="1" ht="30">
      <c r="A28" s="9" t="s">
        <v>1336</v>
      </c>
      <c r="B28" s="5" t="s">
        <v>1273</v>
      </c>
      <c r="C28" s="5" t="s">
        <v>1337</v>
      </c>
      <c r="D28" s="7" t="s">
        <v>309</v>
      </c>
      <c r="E28" s="5"/>
      <c r="F28" s="5"/>
      <c r="G28" s="7">
        <v>2</v>
      </c>
      <c r="H28" s="5" t="s">
        <v>1341</v>
      </c>
      <c r="I28" s="5" t="s">
        <v>1342</v>
      </c>
      <c r="J28" s="5"/>
      <c r="K28" s="7" t="s">
        <v>7</v>
      </c>
      <c r="L28" s="7"/>
      <c r="M28" s="5"/>
      <c r="N28" s="5"/>
    </row>
    <row r="29" spans="1:14" customHeight="1" ht="53">
      <c r="A29" s="9" t="s">
        <v>1336</v>
      </c>
      <c r="B29" s="5" t="s">
        <v>1273</v>
      </c>
      <c r="C29" s="5" t="s">
        <v>1337</v>
      </c>
      <c r="D29" s="7" t="s">
        <v>309</v>
      </c>
      <c r="E29" s="5"/>
      <c r="F29" s="5"/>
      <c r="G29" s="7">
        <v>3</v>
      </c>
      <c r="H29" s="5" t="s">
        <v>1343</v>
      </c>
      <c r="I29" s="5" t="s">
        <v>1344</v>
      </c>
      <c r="J29" s="5"/>
      <c r="K29" s="7" t="s">
        <v>7</v>
      </c>
      <c r="L29" s="7"/>
      <c r="M29" s="5"/>
      <c r="N29" s="5"/>
    </row>
    <row r="30" spans="1:14" customHeight="1" ht="40">
      <c r="A30" s="9" t="s">
        <v>1336</v>
      </c>
      <c r="B30" s="5" t="s">
        <v>1273</v>
      </c>
      <c r="C30" s="5" t="s">
        <v>1337</v>
      </c>
      <c r="D30" s="7" t="s">
        <v>309</v>
      </c>
      <c r="E30" s="5"/>
      <c r="F30" s="5"/>
      <c r="G30" s="7">
        <v>4</v>
      </c>
      <c r="H30" s="5" t="s">
        <v>1345</v>
      </c>
      <c r="I30" s="5" t="s">
        <v>1346</v>
      </c>
      <c r="J30" s="5"/>
      <c r="K30" s="7" t="s">
        <v>7</v>
      </c>
      <c r="L30" s="7"/>
      <c r="M30" s="5"/>
      <c r="N30" s="5"/>
    </row>
    <row r="31" spans="1:14" customHeight="1" ht="30">
      <c r="A31" s="8" t="s">
        <v>1347</v>
      </c>
      <c r="B31" s="4" t="s">
        <v>1273</v>
      </c>
      <c r="C31" s="4" t="s">
        <v>1348</v>
      </c>
      <c r="D31" s="6" t="s">
        <v>309</v>
      </c>
      <c r="E31" s="4" t="s">
        <v>1349</v>
      </c>
      <c r="F31" s="4" t="s">
        <v>1350</v>
      </c>
      <c r="G31" s="6">
        <v>1</v>
      </c>
      <c r="H31" s="4" t="s">
        <v>1351</v>
      </c>
      <c r="I31" s="4" t="s">
        <v>1352</v>
      </c>
      <c r="J31" s="4"/>
      <c r="K31" s="6" t="s">
        <v>7</v>
      </c>
      <c r="L31" s="6"/>
      <c r="M31" s="4"/>
      <c r="N31" s="4"/>
    </row>
    <row r="32" spans="1:14" customHeight="1" ht="30">
      <c r="A32" s="8" t="s">
        <v>1347</v>
      </c>
      <c r="B32" s="4" t="s">
        <v>1273</v>
      </c>
      <c r="C32" s="4" t="s">
        <v>1348</v>
      </c>
      <c r="D32" s="6" t="s">
        <v>309</v>
      </c>
      <c r="E32" s="4"/>
      <c r="F32" s="4"/>
      <c r="G32" s="6">
        <v>2</v>
      </c>
      <c r="H32" s="4" t="s">
        <v>1353</v>
      </c>
      <c r="I32" s="4" t="s">
        <v>1354</v>
      </c>
      <c r="J32" s="4"/>
      <c r="K32" s="6" t="s">
        <v>7</v>
      </c>
      <c r="L32" s="6"/>
      <c r="M32" s="4"/>
      <c r="N32" s="4"/>
    </row>
    <row r="33" spans="1:14" customHeight="1" ht="40">
      <c r="A33" s="8" t="s">
        <v>1347</v>
      </c>
      <c r="B33" s="4" t="s">
        <v>1273</v>
      </c>
      <c r="C33" s="4" t="s">
        <v>1348</v>
      </c>
      <c r="D33" s="6" t="s">
        <v>309</v>
      </c>
      <c r="E33" s="4"/>
      <c r="F33" s="4"/>
      <c r="G33" s="6">
        <v>3</v>
      </c>
      <c r="H33" s="4" t="s">
        <v>1355</v>
      </c>
      <c r="I33" s="4" t="s">
        <v>1356</v>
      </c>
      <c r="J33" s="4"/>
      <c r="K33" s="6" t="s">
        <v>7</v>
      </c>
      <c r="L33" s="6"/>
      <c r="M33" s="4"/>
      <c r="N33" s="4"/>
    </row>
    <row r="34" spans="1:14" customHeight="1" ht="30">
      <c r="A34" s="8" t="s">
        <v>1347</v>
      </c>
      <c r="B34" s="4" t="s">
        <v>1273</v>
      </c>
      <c r="C34" s="4" t="s">
        <v>1348</v>
      </c>
      <c r="D34" s="6" t="s">
        <v>309</v>
      </c>
      <c r="E34" s="4"/>
      <c r="F34" s="4"/>
      <c r="G34" s="6">
        <v>4</v>
      </c>
      <c r="H34" s="4" t="s">
        <v>1357</v>
      </c>
      <c r="I34" s="4" t="s">
        <v>1358</v>
      </c>
      <c r="J34" s="4"/>
      <c r="K34" s="6" t="s">
        <v>7</v>
      </c>
      <c r="L34" s="6"/>
      <c r="M34" s="4"/>
      <c r="N34" s="4"/>
    </row>
    <row r="35" spans="1:14" customHeight="1" ht="30">
      <c r="A35" s="8" t="s">
        <v>1347</v>
      </c>
      <c r="B35" s="4" t="s">
        <v>1273</v>
      </c>
      <c r="C35" s="4" t="s">
        <v>1348</v>
      </c>
      <c r="D35" s="6" t="s">
        <v>309</v>
      </c>
      <c r="E35" s="4"/>
      <c r="F35" s="4"/>
      <c r="G35" s="6">
        <v>5</v>
      </c>
      <c r="H35" s="4" t="s">
        <v>1359</v>
      </c>
      <c r="I35" s="4" t="s">
        <v>1360</v>
      </c>
      <c r="J35" s="4"/>
      <c r="K35" s="6" t="s">
        <v>7</v>
      </c>
      <c r="L35" s="6"/>
      <c r="M35" s="4"/>
      <c r="N35" s="4"/>
    </row>
    <row r="36" spans="1:14" customHeight="1" ht="40">
      <c r="A36" s="8" t="s">
        <v>1347</v>
      </c>
      <c r="B36" s="4" t="s">
        <v>1273</v>
      </c>
      <c r="C36" s="4" t="s">
        <v>1348</v>
      </c>
      <c r="D36" s="6" t="s">
        <v>309</v>
      </c>
      <c r="E36" s="4"/>
      <c r="F36" s="4"/>
      <c r="G36" s="6">
        <v>6</v>
      </c>
      <c r="H36" s="4" t="s">
        <v>1361</v>
      </c>
      <c r="I36" s="4" t="s">
        <v>1362</v>
      </c>
      <c r="J36" s="4"/>
      <c r="K36" s="6" t="s">
        <v>7</v>
      </c>
      <c r="L36" s="6"/>
      <c r="M36" s="4"/>
      <c r="N36" s="4"/>
    </row>
    <row r="37" spans="1:14" customHeight="1" ht="40">
      <c r="A37" s="9" t="s">
        <v>1363</v>
      </c>
      <c r="B37" s="5" t="s">
        <v>1273</v>
      </c>
      <c r="C37" s="5" t="s">
        <v>1364</v>
      </c>
      <c r="D37" s="7" t="s">
        <v>322</v>
      </c>
      <c r="E37" s="5" t="s">
        <v>1365</v>
      </c>
      <c r="F37" s="5" t="s">
        <v>1366</v>
      </c>
      <c r="G37" s="7">
        <v>1</v>
      </c>
      <c r="H37" s="5" t="s">
        <v>1367</v>
      </c>
      <c r="I37" s="5" t="s">
        <v>1368</v>
      </c>
      <c r="J37" s="5"/>
      <c r="K37" s="7" t="s">
        <v>7</v>
      </c>
      <c r="L37" s="7"/>
      <c r="M37" s="5"/>
      <c r="N37" s="5"/>
    </row>
    <row r="38" spans="1:14" customHeight="1" ht="40">
      <c r="A38" s="9" t="s">
        <v>1363</v>
      </c>
      <c r="B38" s="5" t="s">
        <v>1273</v>
      </c>
      <c r="C38" s="5" t="s">
        <v>1364</v>
      </c>
      <c r="D38" s="7" t="s">
        <v>322</v>
      </c>
      <c r="E38" s="5"/>
      <c r="F38" s="5"/>
      <c r="G38" s="7">
        <v>2</v>
      </c>
      <c r="H38" s="5" t="s">
        <v>1369</v>
      </c>
      <c r="I38" s="5" t="s">
        <v>1370</v>
      </c>
      <c r="J38" s="5"/>
      <c r="K38" s="7" t="s">
        <v>7</v>
      </c>
      <c r="L38" s="7"/>
      <c r="M38" s="5"/>
      <c r="N38" s="5"/>
    </row>
    <row r="39" spans="1:14" customHeight="1" ht="40">
      <c r="A39" s="9" t="s">
        <v>1363</v>
      </c>
      <c r="B39" s="5" t="s">
        <v>1273</v>
      </c>
      <c r="C39" s="5" t="s">
        <v>1364</v>
      </c>
      <c r="D39" s="7" t="s">
        <v>322</v>
      </c>
      <c r="E39" s="5"/>
      <c r="F39" s="5"/>
      <c r="G39" s="7">
        <v>3</v>
      </c>
      <c r="H39" s="5" t="s">
        <v>1371</v>
      </c>
      <c r="I39" s="5" t="s">
        <v>1372</v>
      </c>
      <c r="J39" s="5"/>
      <c r="K39" s="7" t="s">
        <v>7</v>
      </c>
      <c r="L39" s="7"/>
      <c r="M39" s="5"/>
      <c r="N39" s="5"/>
    </row>
    <row r="40" spans="1:14" customHeight="1" ht="40">
      <c r="A40" s="9" t="s">
        <v>1363</v>
      </c>
      <c r="B40" s="5" t="s">
        <v>1273</v>
      </c>
      <c r="C40" s="5" t="s">
        <v>1364</v>
      </c>
      <c r="D40" s="7" t="s">
        <v>322</v>
      </c>
      <c r="E40" s="5"/>
      <c r="F40" s="5"/>
      <c r="G40" s="7">
        <v>4</v>
      </c>
      <c r="H40" s="5" t="s">
        <v>1373</v>
      </c>
      <c r="I40" s="5" t="s">
        <v>1374</v>
      </c>
      <c r="J40" s="5"/>
      <c r="K40" s="7" t="s">
        <v>7</v>
      </c>
      <c r="L40" s="7"/>
      <c r="M40" s="5"/>
      <c r="N40" s="5"/>
    </row>
    <row r="41" spans="1:14" customHeight="1" ht="30">
      <c r="A41" s="9" t="s">
        <v>1363</v>
      </c>
      <c r="B41" s="5" t="s">
        <v>1273</v>
      </c>
      <c r="C41" s="5" t="s">
        <v>1364</v>
      </c>
      <c r="D41" s="7" t="s">
        <v>322</v>
      </c>
      <c r="E41" s="5"/>
      <c r="F41" s="5"/>
      <c r="G41" s="7">
        <v>5</v>
      </c>
      <c r="H41" s="5" t="s">
        <v>1375</v>
      </c>
      <c r="I41" s="5" t="s">
        <v>1376</v>
      </c>
      <c r="J41" s="5"/>
      <c r="K41" s="7" t="s">
        <v>7</v>
      </c>
      <c r="L41" s="7"/>
      <c r="M41" s="5"/>
      <c r="N41" s="5"/>
    </row>
    <row r="42" spans="1:14" customHeight="1" ht="30">
      <c r="A42" s="8" t="s">
        <v>1377</v>
      </c>
      <c r="B42" s="4" t="s">
        <v>1273</v>
      </c>
      <c r="C42" s="4" t="s">
        <v>1378</v>
      </c>
      <c r="D42" s="6" t="s">
        <v>322</v>
      </c>
      <c r="E42" s="4" t="s">
        <v>1379</v>
      </c>
      <c r="F42" s="4" t="s">
        <v>1380</v>
      </c>
      <c r="G42" s="6">
        <v>1</v>
      </c>
      <c r="H42" s="4" t="s">
        <v>1381</v>
      </c>
      <c r="I42" s="4" t="s">
        <v>1382</v>
      </c>
      <c r="J42" s="4"/>
      <c r="K42" s="6" t="s">
        <v>7</v>
      </c>
      <c r="L42" s="6"/>
      <c r="M42" s="4"/>
      <c r="N42" s="4"/>
    </row>
    <row r="43" spans="1:14" customHeight="1" ht="30">
      <c r="A43" s="8" t="s">
        <v>1377</v>
      </c>
      <c r="B43" s="4" t="s">
        <v>1273</v>
      </c>
      <c r="C43" s="4" t="s">
        <v>1378</v>
      </c>
      <c r="D43" s="6" t="s">
        <v>322</v>
      </c>
      <c r="E43" s="4"/>
      <c r="F43" s="4"/>
      <c r="G43" s="6">
        <v>2</v>
      </c>
      <c r="H43" s="4" t="s">
        <v>1383</v>
      </c>
      <c r="I43" s="4" t="s">
        <v>1384</v>
      </c>
      <c r="J43" s="4"/>
      <c r="K43" s="6" t="s">
        <v>7</v>
      </c>
      <c r="L43" s="6"/>
      <c r="M43" s="4"/>
      <c r="N43" s="4"/>
    </row>
    <row r="44" spans="1:14" customHeight="1" ht="40">
      <c r="A44" s="8" t="s">
        <v>1377</v>
      </c>
      <c r="B44" s="4" t="s">
        <v>1273</v>
      </c>
      <c r="C44" s="4" t="s">
        <v>1378</v>
      </c>
      <c r="D44" s="6" t="s">
        <v>322</v>
      </c>
      <c r="E44" s="4"/>
      <c r="F44" s="4"/>
      <c r="G44" s="6">
        <v>3</v>
      </c>
      <c r="H44" s="4" t="s">
        <v>1385</v>
      </c>
      <c r="I44" s="4" t="s">
        <v>1386</v>
      </c>
      <c r="J44" s="4"/>
      <c r="K44" s="6" t="s">
        <v>7</v>
      </c>
      <c r="L44" s="6"/>
      <c r="M44" s="4"/>
      <c r="N44" s="4"/>
    </row>
    <row r="45" spans="1:14" customHeight="1" ht="30">
      <c r="A45" s="8" t="s">
        <v>1377</v>
      </c>
      <c r="B45" s="4" t="s">
        <v>1273</v>
      </c>
      <c r="C45" s="4" t="s">
        <v>1378</v>
      </c>
      <c r="D45" s="6" t="s">
        <v>322</v>
      </c>
      <c r="E45" s="4"/>
      <c r="F45" s="4"/>
      <c r="G45" s="6">
        <v>4</v>
      </c>
      <c r="H45" s="4" t="s">
        <v>1387</v>
      </c>
      <c r="I45" s="4" t="s">
        <v>1384</v>
      </c>
      <c r="J45" s="4"/>
      <c r="K45" s="6" t="s">
        <v>7</v>
      </c>
      <c r="L45" s="6"/>
      <c r="M45" s="4"/>
      <c r="N45" s="4"/>
    </row>
    <row r="46" spans="1:14" customHeight="1" ht="30">
      <c r="A46" s="8" t="s">
        <v>1377</v>
      </c>
      <c r="B46" s="4" t="s">
        <v>1273</v>
      </c>
      <c r="C46" s="4" t="s">
        <v>1378</v>
      </c>
      <c r="D46" s="6" t="s">
        <v>322</v>
      </c>
      <c r="E46" s="4"/>
      <c r="F46" s="4"/>
      <c r="G46" s="6">
        <v>5</v>
      </c>
      <c r="H46" s="4" t="s">
        <v>1388</v>
      </c>
      <c r="I46" s="4" t="s">
        <v>1384</v>
      </c>
      <c r="J46" s="4"/>
      <c r="K46" s="6" t="s">
        <v>7</v>
      </c>
      <c r="L46" s="6"/>
      <c r="M46" s="4"/>
      <c r="N46" s="4"/>
    </row>
    <row r="47" spans="1:14" customHeight="1" ht="30">
      <c r="A47" s="8" t="s">
        <v>1377</v>
      </c>
      <c r="B47" s="4" t="s">
        <v>1273</v>
      </c>
      <c r="C47" s="4" t="s">
        <v>1378</v>
      </c>
      <c r="D47" s="6" t="s">
        <v>322</v>
      </c>
      <c r="E47" s="4"/>
      <c r="F47" s="4"/>
      <c r="G47" s="6">
        <v>6</v>
      </c>
      <c r="H47" s="4" t="s">
        <v>1389</v>
      </c>
      <c r="I47" s="4" t="s">
        <v>1390</v>
      </c>
      <c r="J47" s="4"/>
      <c r="K47" s="6" t="s">
        <v>7</v>
      </c>
      <c r="L47" s="6"/>
      <c r="M47" s="4"/>
      <c r="N47" s="4"/>
    </row>
    <row r="48" spans="1:14" customHeight="1" ht="40">
      <c r="A48" s="8" t="s">
        <v>1377</v>
      </c>
      <c r="B48" s="4" t="s">
        <v>1273</v>
      </c>
      <c r="C48" s="4" t="s">
        <v>1378</v>
      </c>
      <c r="D48" s="6" t="s">
        <v>322</v>
      </c>
      <c r="E48" s="4"/>
      <c r="F48" s="4"/>
      <c r="G48" s="6">
        <v>7</v>
      </c>
      <c r="H48" s="4" t="s">
        <v>1391</v>
      </c>
      <c r="I48" s="4" t="s">
        <v>1384</v>
      </c>
      <c r="J48" s="4"/>
      <c r="K48" s="6" t="s">
        <v>7</v>
      </c>
      <c r="L48" s="6"/>
      <c r="M48" s="4"/>
      <c r="N48" s="4"/>
    </row>
    <row r="49" spans="1:14" customHeight="1" ht="40">
      <c r="A49" s="8" t="s">
        <v>1377</v>
      </c>
      <c r="B49" s="4" t="s">
        <v>1273</v>
      </c>
      <c r="C49" s="4" t="s">
        <v>1378</v>
      </c>
      <c r="D49" s="6" t="s">
        <v>322</v>
      </c>
      <c r="E49" s="4"/>
      <c r="F49" s="4"/>
      <c r="G49" s="6">
        <v>8</v>
      </c>
      <c r="H49" s="4" t="s">
        <v>1392</v>
      </c>
      <c r="I49" s="4" t="s">
        <v>1384</v>
      </c>
      <c r="J49" s="4"/>
      <c r="K49" s="6" t="s">
        <v>7</v>
      </c>
      <c r="L49" s="6"/>
      <c r="M49" s="4"/>
      <c r="N49" s="4"/>
    </row>
    <row r="50" spans="1:14" customHeight="1" ht="40">
      <c r="A50" s="9" t="s">
        <v>1393</v>
      </c>
      <c r="B50" s="5" t="s">
        <v>1273</v>
      </c>
      <c r="C50" s="5" t="s">
        <v>1394</v>
      </c>
      <c r="D50" s="7" t="s">
        <v>322</v>
      </c>
      <c r="E50" s="5" t="s">
        <v>1305</v>
      </c>
      <c r="F50" s="5" t="s">
        <v>1395</v>
      </c>
      <c r="G50" s="7">
        <v>1</v>
      </c>
      <c r="H50" s="5" t="s">
        <v>1396</v>
      </c>
      <c r="I50" s="5" t="s">
        <v>1183</v>
      </c>
      <c r="J50" s="5"/>
      <c r="K50" s="7" t="s">
        <v>7</v>
      </c>
      <c r="L50" s="7"/>
      <c r="M50" s="5"/>
      <c r="N50" s="5"/>
    </row>
    <row r="51" spans="1:14" customHeight="1" ht="30">
      <c r="A51" s="9" t="s">
        <v>1393</v>
      </c>
      <c r="B51" s="5" t="s">
        <v>1273</v>
      </c>
      <c r="C51" s="5" t="s">
        <v>1394</v>
      </c>
      <c r="D51" s="7" t="s">
        <v>322</v>
      </c>
      <c r="E51" s="5"/>
      <c r="F51" s="5"/>
      <c r="G51" s="7">
        <v>2</v>
      </c>
      <c r="H51" s="5" t="s">
        <v>1397</v>
      </c>
      <c r="I51" s="5" t="s">
        <v>1398</v>
      </c>
      <c r="J51" s="5"/>
      <c r="K51" s="7" t="s">
        <v>7</v>
      </c>
      <c r="L51" s="7"/>
      <c r="M51" s="5"/>
      <c r="N51" s="5"/>
    </row>
    <row r="52" spans="1:14" customHeight="1" ht="30">
      <c r="A52" s="9" t="s">
        <v>1393</v>
      </c>
      <c r="B52" s="5" t="s">
        <v>1273</v>
      </c>
      <c r="C52" s="5" t="s">
        <v>1394</v>
      </c>
      <c r="D52" s="7" t="s">
        <v>322</v>
      </c>
      <c r="E52" s="5"/>
      <c r="F52" s="5"/>
      <c r="G52" s="7">
        <v>3</v>
      </c>
      <c r="H52" s="5" t="s">
        <v>1399</v>
      </c>
      <c r="I52" s="5" t="s">
        <v>1400</v>
      </c>
      <c r="J52" s="5"/>
      <c r="K52" s="7" t="s">
        <v>7</v>
      </c>
      <c r="L52" s="7"/>
      <c r="M52" s="5"/>
      <c r="N52" s="5"/>
    </row>
    <row r="53" spans="1:14" customHeight="1" ht="30">
      <c r="A53" s="9" t="s">
        <v>1393</v>
      </c>
      <c r="B53" s="5" t="s">
        <v>1273</v>
      </c>
      <c r="C53" s="5" t="s">
        <v>1394</v>
      </c>
      <c r="D53" s="7" t="s">
        <v>322</v>
      </c>
      <c r="E53" s="5"/>
      <c r="F53" s="5"/>
      <c r="G53" s="7">
        <v>4</v>
      </c>
      <c r="H53" s="5" t="s">
        <v>1401</v>
      </c>
      <c r="I53" s="5" t="s">
        <v>1402</v>
      </c>
      <c r="J53" s="5"/>
      <c r="K53" s="7" t="s">
        <v>7</v>
      </c>
      <c r="L53" s="7"/>
      <c r="M53" s="5"/>
      <c r="N53" s="5"/>
    </row>
    <row r="54" spans="1:14" customHeight="1" ht="30">
      <c r="A54" s="9" t="s">
        <v>1393</v>
      </c>
      <c r="B54" s="5" t="s">
        <v>1273</v>
      </c>
      <c r="C54" s="5" t="s">
        <v>1394</v>
      </c>
      <c r="D54" s="7" t="s">
        <v>322</v>
      </c>
      <c r="E54" s="5"/>
      <c r="F54" s="5"/>
      <c r="G54" s="7">
        <v>5</v>
      </c>
      <c r="H54" s="5" t="s">
        <v>1403</v>
      </c>
      <c r="I54" s="5" t="s">
        <v>1404</v>
      </c>
      <c r="J54" s="5"/>
      <c r="K54" s="7" t="s">
        <v>7</v>
      </c>
      <c r="L54" s="7"/>
      <c r="M54" s="5"/>
      <c r="N54" s="5"/>
    </row>
    <row r="55" spans="1:14" customHeight="1" ht="53">
      <c r="A55" s="9" t="s">
        <v>1393</v>
      </c>
      <c r="B55" s="5" t="s">
        <v>1273</v>
      </c>
      <c r="C55" s="5" t="s">
        <v>1394</v>
      </c>
      <c r="D55" s="7" t="s">
        <v>322</v>
      </c>
      <c r="E55" s="5"/>
      <c r="F55" s="5"/>
      <c r="G55" s="7">
        <v>6</v>
      </c>
      <c r="H55" s="5" t="s">
        <v>1405</v>
      </c>
      <c r="I55" s="5" t="s">
        <v>1406</v>
      </c>
      <c r="J55" s="5"/>
      <c r="K55" s="7" t="s">
        <v>7</v>
      </c>
      <c r="L55" s="7"/>
      <c r="M55" s="5"/>
      <c r="N55" s="5"/>
    </row>
    <row r="56" spans="1:14" customHeight="1" ht="40">
      <c r="A56" s="8" t="s">
        <v>1407</v>
      </c>
      <c r="B56" s="4" t="s">
        <v>1273</v>
      </c>
      <c r="C56" s="4" t="s">
        <v>1408</v>
      </c>
      <c r="D56" s="6" t="s">
        <v>309</v>
      </c>
      <c r="E56" s="4" t="s">
        <v>1409</v>
      </c>
      <c r="F56" s="4" t="s">
        <v>1410</v>
      </c>
      <c r="G56" s="6">
        <v>1</v>
      </c>
      <c r="H56" s="4" t="s">
        <v>1411</v>
      </c>
      <c r="I56" s="4" t="s">
        <v>1412</v>
      </c>
      <c r="J56" s="4"/>
      <c r="K56" s="6" t="s">
        <v>7</v>
      </c>
      <c r="L56" s="6"/>
      <c r="M56" s="4"/>
      <c r="N56" s="4"/>
    </row>
    <row r="57" spans="1:14" customHeight="1" ht="40">
      <c r="A57" s="8" t="s">
        <v>1407</v>
      </c>
      <c r="B57" s="4" t="s">
        <v>1273</v>
      </c>
      <c r="C57" s="4" t="s">
        <v>1408</v>
      </c>
      <c r="D57" s="6" t="s">
        <v>309</v>
      </c>
      <c r="E57" s="4"/>
      <c r="F57" s="4"/>
      <c r="G57" s="6">
        <v>2</v>
      </c>
      <c r="H57" s="4" t="s">
        <v>1413</v>
      </c>
      <c r="I57" s="4" t="s">
        <v>1414</v>
      </c>
      <c r="J57" s="4"/>
      <c r="K57" s="6" t="s">
        <v>7</v>
      </c>
      <c r="L57" s="6"/>
      <c r="M57" s="4"/>
      <c r="N57" s="4"/>
    </row>
    <row r="58" spans="1:14" customHeight="1" ht="30">
      <c r="A58" s="8" t="s">
        <v>1407</v>
      </c>
      <c r="B58" s="4" t="s">
        <v>1273</v>
      </c>
      <c r="C58" s="4" t="s">
        <v>1408</v>
      </c>
      <c r="D58" s="6" t="s">
        <v>309</v>
      </c>
      <c r="E58" s="4"/>
      <c r="F58" s="4"/>
      <c r="G58" s="6">
        <v>3</v>
      </c>
      <c r="H58" s="4" t="s">
        <v>1415</v>
      </c>
      <c r="I58" s="4" t="s">
        <v>1416</v>
      </c>
      <c r="J58" s="4"/>
      <c r="K58" s="6" t="s">
        <v>7</v>
      </c>
      <c r="L58" s="6"/>
      <c r="M58" s="4"/>
      <c r="N58" s="4"/>
    </row>
    <row r="59" spans="1:14" customHeight="1" ht="30">
      <c r="A59" s="8" t="s">
        <v>1407</v>
      </c>
      <c r="B59" s="4" t="s">
        <v>1273</v>
      </c>
      <c r="C59" s="4" t="s">
        <v>1408</v>
      </c>
      <c r="D59" s="6" t="s">
        <v>309</v>
      </c>
      <c r="E59" s="4"/>
      <c r="F59" s="4"/>
      <c r="G59" s="6">
        <v>4</v>
      </c>
      <c r="H59" s="4" t="s">
        <v>1417</v>
      </c>
      <c r="I59" s="4" t="s">
        <v>1418</v>
      </c>
      <c r="J59" s="4"/>
      <c r="K59" s="6" t="s">
        <v>7</v>
      </c>
      <c r="L59" s="6"/>
      <c r="M59" s="4"/>
      <c r="N59" s="4"/>
    </row>
    <row r="60" spans="1:14" customHeight="1" ht="30">
      <c r="A60" s="8" t="s">
        <v>1407</v>
      </c>
      <c r="B60" s="4" t="s">
        <v>1273</v>
      </c>
      <c r="C60" s="4" t="s">
        <v>1408</v>
      </c>
      <c r="D60" s="6" t="s">
        <v>309</v>
      </c>
      <c r="E60" s="4"/>
      <c r="F60" s="4"/>
      <c r="G60" s="6">
        <v>5</v>
      </c>
      <c r="H60" s="4" t="s">
        <v>1419</v>
      </c>
      <c r="I60" s="4" t="s">
        <v>1420</v>
      </c>
      <c r="J60" s="4"/>
      <c r="K60" s="6" t="s">
        <v>7</v>
      </c>
      <c r="L60" s="6"/>
      <c r="M60" s="4"/>
      <c r="N60" s="4"/>
    </row>
    <row r="61" spans="1:14" customHeight="1" ht="30">
      <c r="A61" s="8" t="s">
        <v>1407</v>
      </c>
      <c r="B61" s="4" t="s">
        <v>1273</v>
      </c>
      <c r="C61" s="4" t="s">
        <v>1408</v>
      </c>
      <c r="D61" s="6" t="s">
        <v>309</v>
      </c>
      <c r="E61" s="4"/>
      <c r="F61" s="4"/>
      <c r="G61" s="6">
        <v>6</v>
      </c>
      <c r="H61" s="4" t="s">
        <v>1421</v>
      </c>
      <c r="I61" s="4" t="s">
        <v>1422</v>
      </c>
      <c r="J61" s="4"/>
      <c r="K61" s="6" t="s">
        <v>7</v>
      </c>
      <c r="L61" s="6"/>
      <c r="M61" s="4"/>
      <c r="N61" s="4"/>
    </row>
    <row r="62" spans="1:14" customHeight="1" ht="30">
      <c r="A62" s="8" t="s">
        <v>1407</v>
      </c>
      <c r="B62" s="4" t="s">
        <v>1273</v>
      </c>
      <c r="C62" s="4" t="s">
        <v>1408</v>
      </c>
      <c r="D62" s="6" t="s">
        <v>309</v>
      </c>
      <c r="E62" s="4"/>
      <c r="F62" s="4"/>
      <c r="G62" s="6">
        <v>7</v>
      </c>
      <c r="H62" s="4" t="s">
        <v>1423</v>
      </c>
      <c r="I62" s="4" t="s">
        <v>1424</v>
      </c>
      <c r="J62" s="4"/>
      <c r="K62" s="6" t="s">
        <v>7</v>
      </c>
      <c r="L62" s="6"/>
      <c r="M62" s="4"/>
      <c r="N62" s="4"/>
    </row>
    <row r="63" spans="1:14" customHeight="1" ht="40">
      <c r="A63" s="8" t="s">
        <v>1407</v>
      </c>
      <c r="B63" s="4" t="s">
        <v>1273</v>
      </c>
      <c r="C63" s="4" t="s">
        <v>1408</v>
      </c>
      <c r="D63" s="6" t="s">
        <v>309</v>
      </c>
      <c r="E63" s="4"/>
      <c r="F63" s="4"/>
      <c r="G63" s="6">
        <v>8</v>
      </c>
      <c r="H63" s="4" t="s">
        <v>1425</v>
      </c>
      <c r="I63" s="4" t="s">
        <v>1426</v>
      </c>
      <c r="J63" s="4"/>
      <c r="K63" s="6" t="s">
        <v>7</v>
      </c>
      <c r="L63" s="6"/>
      <c r="M63" s="4"/>
      <c r="N63" s="4"/>
    </row>
    <row r="64" spans="1:14" customHeight="1" ht="40">
      <c r="A64" s="9" t="s">
        <v>1427</v>
      </c>
      <c r="B64" s="5" t="s">
        <v>1273</v>
      </c>
      <c r="C64" s="5" t="s">
        <v>1428</v>
      </c>
      <c r="D64" s="7" t="s">
        <v>322</v>
      </c>
      <c r="E64" s="5" t="s">
        <v>1429</v>
      </c>
      <c r="F64" s="5" t="s">
        <v>1430</v>
      </c>
      <c r="G64" s="7">
        <v>1</v>
      </c>
      <c r="H64" s="5" t="s">
        <v>1431</v>
      </c>
      <c r="I64" s="5" t="s">
        <v>1432</v>
      </c>
      <c r="J64" s="5"/>
      <c r="K64" s="7" t="s">
        <v>7</v>
      </c>
      <c r="L64" s="7"/>
      <c r="M64" s="5"/>
      <c r="N64" s="5"/>
    </row>
    <row r="65" spans="1:14" customHeight="1" ht="30">
      <c r="A65" s="9" t="s">
        <v>1427</v>
      </c>
      <c r="B65" s="5" t="s">
        <v>1273</v>
      </c>
      <c r="C65" s="5" t="s">
        <v>1428</v>
      </c>
      <c r="D65" s="7" t="s">
        <v>322</v>
      </c>
      <c r="E65" s="5"/>
      <c r="F65" s="5"/>
      <c r="G65" s="7">
        <v>2</v>
      </c>
      <c r="H65" s="5" t="s">
        <v>1433</v>
      </c>
      <c r="I65" s="5" t="s">
        <v>1434</v>
      </c>
      <c r="J65" s="5"/>
      <c r="K65" s="7" t="s">
        <v>7</v>
      </c>
      <c r="L65" s="7"/>
      <c r="M65" s="5"/>
      <c r="N65" s="5"/>
    </row>
    <row r="66" spans="1:14" customHeight="1" ht="40">
      <c r="A66" s="9" t="s">
        <v>1427</v>
      </c>
      <c r="B66" s="5" t="s">
        <v>1273</v>
      </c>
      <c r="C66" s="5" t="s">
        <v>1428</v>
      </c>
      <c r="D66" s="7" t="s">
        <v>322</v>
      </c>
      <c r="E66" s="5"/>
      <c r="F66" s="5"/>
      <c r="G66" s="7">
        <v>3</v>
      </c>
      <c r="H66" s="5" t="s">
        <v>1435</v>
      </c>
      <c r="I66" s="5" t="s">
        <v>1436</v>
      </c>
      <c r="J66" s="5"/>
      <c r="K66" s="7" t="s">
        <v>7</v>
      </c>
      <c r="L66" s="7"/>
      <c r="M66" s="5"/>
      <c r="N66" s="5"/>
    </row>
    <row r="67" spans="1:14" customHeight="1" ht="53">
      <c r="A67" s="9" t="s">
        <v>1427</v>
      </c>
      <c r="B67" s="5" t="s">
        <v>1273</v>
      </c>
      <c r="C67" s="5" t="s">
        <v>1428</v>
      </c>
      <c r="D67" s="7" t="s">
        <v>322</v>
      </c>
      <c r="E67" s="5"/>
      <c r="F67" s="5"/>
      <c r="G67" s="7">
        <v>4</v>
      </c>
      <c r="H67" s="5" t="s">
        <v>1437</v>
      </c>
      <c r="I67" s="5" t="s">
        <v>1438</v>
      </c>
      <c r="J67" s="5"/>
      <c r="K67" s="7" t="s">
        <v>7</v>
      </c>
      <c r="L67" s="7"/>
      <c r="M67" s="5"/>
      <c r="N67" s="5"/>
    </row>
    <row r="68" spans="1:14" customHeight="1" ht="30">
      <c r="A68" s="9" t="s">
        <v>1427</v>
      </c>
      <c r="B68" s="5" t="s">
        <v>1273</v>
      </c>
      <c r="C68" s="5" t="s">
        <v>1428</v>
      </c>
      <c r="D68" s="7" t="s">
        <v>322</v>
      </c>
      <c r="E68" s="5"/>
      <c r="F68" s="5"/>
      <c r="G68" s="7">
        <v>5</v>
      </c>
      <c r="H68" s="5" t="s">
        <v>1439</v>
      </c>
      <c r="I68" s="5" t="s">
        <v>1440</v>
      </c>
      <c r="J68" s="5"/>
      <c r="K68" s="7" t="s">
        <v>7</v>
      </c>
      <c r="L68" s="7"/>
      <c r="M68" s="5"/>
      <c r="N68" s="5"/>
    </row>
    <row r="69" spans="1:14" customHeight="1" ht="40">
      <c r="A69" s="8" t="s">
        <v>1441</v>
      </c>
      <c r="B69" s="4" t="s">
        <v>1273</v>
      </c>
      <c r="C69" s="4" t="s">
        <v>1442</v>
      </c>
      <c r="D69" s="6" t="s">
        <v>441</v>
      </c>
      <c r="E69" s="4" t="s">
        <v>1443</v>
      </c>
      <c r="F69" s="4" t="s">
        <v>1444</v>
      </c>
      <c r="G69" s="6">
        <v>1</v>
      </c>
      <c r="H69" s="4" t="s">
        <v>1445</v>
      </c>
      <c r="I69" s="4" t="s">
        <v>1446</v>
      </c>
      <c r="J69" s="4"/>
      <c r="K69" s="6" t="s">
        <v>7</v>
      </c>
      <c r="L69" s="6"/>
      <c r="M69" s="4"/>
      <c r="N69" s="4"/>
    </row>
    <row r="70" spans="1:14" customHeight="1" ht="40">
      <c r="A70" s="8" t="s">
        <v>1441</v>
      </c>
      <c r="B70" s="4" t="s">
        <v>1273</v>
      </c>
      <c r="C70" s="4" t="s">
        <v>1442</v>
      </c>
      <c r="D70" s="6" t="s">
        <v>441</v>
      </c>
      <c r="E70" s="4"/>
      <c r="F70" s="4"/>
      <c r="G70" s="6">
        <v>2</v>
      </c>
      <c r="H70" s="4" t="s">
        <v>1447</v>
      </c>
      <c r="I70" s="4" t="s">
        <v>1448</v>
      </c>
      <c r="J70" s="4"/>
      <c r="K70" s="6" t="s">
        <v>7</v>
      </c>
      <c r="L70" s="6"/>
      <c r="M70" s="4"/>
      <c r="N70" s="4"/>
    </row>
    <row r="71" spans="1:14" customHeight="1" ht="30">
      <c r="A71" s="8" t="s">
        <v>1441</v>
      </c>
      <c r="B71" s="4" t="s">
        <v>1273</v>
      </c>
      <c r="C71" s="4" t="s">
        <v>1442</v>
      </c>
      <c r="D71" s="6" t="s">
        <v>441</v>
      </c>
      <c r="E71" s="4"/>
      <c r="F71" s="4"/>
      <c r="G71" s="6">
        <v>3</v>
      </c>
      <c r="H71" s="4" t="s">
        <v>1449</v>
      </c>
      <c r="I71" s="4" t="s">
        <v>1450</v>
      </c>
      <c r="J71" s="4"/>
      <c r="K71" s="6" t="s">
        <v>7</v>
      </c>
      <c r="L71" s="6"/>
      <c r="M71" s="4"/>
      <c r="N71" s="4"/>
    </row>
    <row r="72" spans="1:14" customHeight="1" ht="30">
      <c r="A72" s="8" t="s">
        <v>1441</v>
      </c>
      <c r="B72" s="4" t="s">
        <v>1273</v>
      </c>
      <c r="C72" s="4" t="s">
        <v>1442</v>
      </c>
      <c r="D72" s="6" t="s">
        <v>441</v>
      </c>
      <c r="E72" s="4"/>
      <c r="F72" s="4"/>
      <c r="G72" s="6">
        <v>4</v>
      </c>
      <c r="H72" s="4" t="s">
        <v>1451</v>
      </c>
      <c r="I72" s="4" t="s">
        <v>1452</v>
      </c>
      <c r="J72" s="4"/>
      <c r="K72" s="6" t="s">
        <v>7</v>
      </c>
      <c r="L72" s="6"/>
      <c r="M72" s="4"/>
      <c r="N72" s="4"/>
    </row>
    <row r="73" spans="1:14" customHeight="1" ht="30">
      <c r="A73" s="9" t="s">
        <v>1453</v>
      </c>
      <c r="B73" s="5" t="s">
        <v>1273</v>
      </c>
      <c r="C73" s="5" t="s">
        <v>1454</v>
      </c>
      <c r="D73" s="7" t="s">
        <v>441</v>
      </c>
      <c r="E73" s="5" t="s">
        <v>1455</v>
      </c>
      <c r="F73" s="5" t="s">
        <v>1456</v>
      </c>
      <c r="G73" s="7">
        <v>1</v>
      </c>
      <c r="H73" s="5" t="s">
        <v>1457</v>
      </c>
      <c r="I73" s="5" t="s">
        <v>1458</v>
      </c>
      <c r="J73" s="5"/>
      <c r="K73" s="7" t="s">
        <v>7</v>
      </c>
      <c r="L73" s="7"/>
      <c r="M73" s="5"/>
      <c r="N73" s="5"/>
    </row>
    <row r="74" spans="1:14" customHeight="1" ht="66">
      <c r="A74" s="9" t="s">
        <v>1453</v>
      </c>
      <c r="B74" s="5" t="s">
        <v>1273</v>
      </c>
      <c r="C74" s="5" t="s">
        <v>1454</v>
      </c>
      <c r="D74" s="7" t="s">
        <v>441</v>
      </c>
      <c r="E74" s="5"/>
      <c r="F74" s="5"/>
      <c r="G74" s="7">
        <v>2</v>
      </c>
      <c r="H74" s="5" t="s">
        <v>1459</v>
      </c>
      <c r="I74" s="5" t="s">
        <v>1460</v>
      </c>
      <c r="J74" s="5"/>
      <c r="K74" s="7" t="s">
        <v>7</v>
      </c>
      <c r="L74" s="7"/>
      <c r="M74" s="5"/>
      <c r="N74" s="5"/>
    </row>
    <row r="75" spans="1:14" customHeight="1" ht="40">
      <c r="A75" s="9" t="s">
        <v>1453</v>
      </c>
      <c r="B75" s="5" t="s">
        <v>1273</v>
      </c>
      <c r="C75" s="5" t="s">
        <v>1454</v>
      </c>
      <c r="D75" s="7" t="s">
        <v>441</v>
      </c>
      <c r="E75" s="5"/>
      <c r="F75" s="5"/>
      <c r="G75" s="7">
        <v>3</v>
      </c>
      <c r="H75" s="5" t="s">
        <v>1461</v>
      </c>
      <c r="I75" s="5" t="s">
        <v>1462</v>
      </c>
      <c r="J75" s="5"/>
      <c r="K75" s="7" t="s">
        <v>7</v>
      </c>
      <c r="L75" s="7"/>
      <c r="M75" s="5"/>
      <c r="N75" s="5"/>
    </row>
    <row r="76" spans="1:14" customHeight="1" ht="30">
      <c r="A76" s="9" t="s">
        <v>1453</v>
      </c>
      <c r="B76" s="5" t="s">
        <v>1273</v>
      </c>
      <c r="C76" s="5" t="s">
        <v>1454</v>
      </c>
      <c r="D76" s="7" t="s">
        <v>441</v>
      </c>
      <c r="E76" s="5"/>
      <c r="F76" s="5"/>
      <c r="G76" s="7">
        <v>4</v>
      </c>
      <c r="H76" s="5" t="s">
        <v>1463</v>
      </c>
      <c r="I76" s="5" t="s">
        <v>1464</v>
      </c>
      <c r="J76" s="5"/>
      <c r="K76" s="7" t="s">
        <v>7</v>
      </c>
      <c r="L76" s="7"/>
      <c r="M76" s="5"/>
      <c r="N76" s="5"/>
    </row>
    <row r="77" spans="1:14" customHeight="1" ht="40">
      <c r="A77" s="9" t="s">
        <v>1453</v>
      </c>
      <c r="B77" s="5" t="s">
        <v>1273</v>
      </c>
      <c r="C77" s="5" t="s">
        <v>1454</v>
      </c>
      <c r="D77" s="7" t="s">
        <v>441</v>
      </c>
      <c r="E77" s="5"/>
      <c r="F77" s="5"/>
      <c r="G77" s="7">
        <v>5</v>
      </c>
      <c r="H77" s="5" t="s">
        <v>1465</v>
      </c>
      <c r="I77" s="5" t="s">
        <v>1466</v>
      </c>
      <c r="J77" s="5"/>
      <c r="K77" s="7" t="s">
        <v>7</v>
      </c>
      <c r="L77" s="7"/>
      <c r="M77" s="5"/>
      <c r="N77" s="5"/>
    </row>
  </sheetData>
  <autoFilter ref="A3:N77"/>
  <mergeCells>
    <mergeCell ref="A1:N1"/>
    <mergeCell ref="A2:N2"/>
  </mergeCells>
  <conditionalFormatting sqref="K4:K77">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77">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77">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77">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77">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61"/>
  <sheetViews>
    <sheetView tabSelected="0" workbookViewId="0" showGridLines="true" showRowColHeaders="1">
      <pane xSplit="2" ySplit="3" topLeftCell="C4" activePane="bottomRight" state="frozen"/>
      <selection pane="topRight"/>
      <selection pane="bottomLeft"/>
      <selection pane="bottomRight" activeCell="L4" sqref="L4:L61"/>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1467</v>
      </c>
    </row>
    <row r="2" spans="1:14" customHeight="1" ht="30">
      <c r="A2" s="2" t="s">
        <v>1468</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1469</v>
      </c>
      <c r="B4" s="4" t="s">
        <v>1467</v>
      </c>
      <c r="C4" s="4" t="s">
        <v>1470</v>
      </c>
      <c r="D4" s="6" t="s">
        <v>322</v>
      </c>
      <c r="E4" s="4" t="s">
        <v>1471</v>
      </c>
      <c r="F4" s="4" t="s">
        <v>1472</v>
      </c>
      <c r="G4" s="6">
        <v>1</v>
      </c>
      <c r="H4" s="4" t="s">
        <v>1473</v>
      </c>
      <c r="I4" s="4" t="s">
        <v>1474</v>
      </c>
      <c r="J4" s="4"/>
      <c r="K4" s="6" t="s">
        <v>7</v>
      </c>
      <c r="L4" s="6"/>
      <c r="M4" s="4"/>
      <c r="N4" s="4"/>
    </row>
    <row r="5" spans="1:14" customHeight="1" ht="53">
      <c r="A5" s="8" t="s">
        <v>1469</v>
      </c>
      <c r="B5" s="4" t="s">
        <v>1467</v>
      </c>
      <c r="C5" s="4" t="s">
        <v>1470</v>
      </c>
      <c r="D5" s="6" t="s">
        <v>322</v>
      </c>
      <c r="E5" s="4"/>
      <c r="F5" s="4"/>
      <c r="G5" s="6">
        <v>2</v>
      </c>
      <c r="H5" s="4" t="s">
        <v>1475</v>
      </c>
      <c r="I5" s="4" t="s">
        <v>1476</v>
      </c>
      <c r="J5" s="4"/>
      <c r="K5" s="6" t="s">
        <v>7</v>
      </c>
      <c r="L5" s="6"/>
      <c r="M5" s="4"/>
      <c r="N5" s="4"/>
    </row>
    <row r="6" spans="1:14" customHeight="1" ht="40">
      <c r="A6" s="8" t="s">
        <v>1469</v>
      </c>
      <c r="B6" s="4" t="s">
        <v>1467</v>
      </c>
      <c r="C6" s="4" t="s">
        <v>1470</v>
      </c>
      <c r="D6" s="6" t="s">
        <v>322</v>
      </c>
      <c r="E6" s="4"/>
      <c r="F6" s="4"/>
      <c r="G6" s="6">
        <v>3</v>
      </c>
      <c r="H6" s="4" t="s">
        <v>1477</v>
      </c>
      <c r="I6" s="4" t="s">
        <v>1478</v>
      </c>
      <c r="J6" s="4"/>
      <c r="K6" s="6" t="s">
        <v>7</v>
      </c>
      <c r="L6" s="6"/>
      <c r="M6" s="4"/>
      <c r="N6" s="4"/>
    </row>
    <row r="7" spans="1:14" customHeight="1" ht="30">
      <c r="A7" s="8" t="s">
        <v>1469</v>
      </c>
      <c r="B7" s="4" t="s">
        <v>1467</v>
      </c>
      <c r="C7" s="4" t="s">
        <v>1470</v>
      </c>
      <c r="D7" s="6" t="s">
        <v>322</v>
      </c>
      <c r="E7" s="4"/>
      <c r="F7" s="4"/>
      <c r="G7" s="6">
        <v>4</v>
      </c>
      <c r="H7" s="4" t="s">
        <v>1479</v>
      </c>
      <c r="I7" s="4" t="s">
        <v>1480</v>
      </c>
      <c r="J7" s="4"/>
      <c r="K7" s="6" t="s">
        <v>7</v>
      </c>
      <c r="L7" s="6"/>
      <c r="M7" s="4"/>
      <c r="N7" s="4"/>
    </row>
    <row r="8" spans="1:14" customHeight="1" ht="40">
      <c r="A8" s="9" t="s">
        <v>1481</v>
      </c>
      <c r="B8" s="5" t="s">
        <v>1467</v>
      </c>
      <c r="C8" s="5" t="s">
        <v>1482</v>
      </c>
      <c r="D8" s="7" t="s">
        <v>322</v>
      </c>
      <c r="E8" s="5" t="s">
        <v>1483</v>
      </c>
      <c r="F8" s="5" t="s">
        <v>1484</v>
      </c>
      <c r="G8" s="7">
        <v>1</v>
      </c>
      <c r="H8" s="5" t="s">
        <v>1485</v>
      </c>
      <c r="I8" s="5" t="s">
        <v>959</v>
      </c>
      <c r="J8" s="5"/>
      <c r="K8" s="7" t="s">
        <v>7</v>
      </c>
      <c r="L8" s="7"/>
      <c r="M8" s="5"/>
      <c r="N8" s="5"/>
    </row>
    <row r="9" spans="1:14" customHeight="1" ht="53">
      <c r="A9" s="9" t="s">
        <v>1481</v>
      </c>
      <c r="B9" s="5" t="s">
        <v>1467</v>
      </c>
      <c r="C9" s="5" t="s">
        <v>1482</v>
      </c>
      <c r="D9" s="7" t="s">
        <v>322</v>
      </c>
      <c r="E9" s="5"/>
      <c r="F9" s="5"/>
      <c r="G9" s="7">
        <v>2</v>
      </c>
      <c r="H9" s="5" t="s">
        <v>1486</v>
      </c>
      <c r="I9" s="5" t="s">
        <v>1487</v>
      </c>
      <c r="J9" s="5"/>
      <c r="K9" s="7" t="s">
        <v>7</v>
      </c>
      <c r="L9" s="7"/>
      <c r="M9" s="5"/>
      <c r="N9" s="5"/>
    </row>
    <row r="10" spans="1:14" customHeight="1" ht="30">
      <c r="A10" s="9" t="s">
        <v>1481</v>
      </c>
      <c r="B10" s="5" t="s">
        <v>1467</v>
      </c>
      <c r="C10" s="5" t="s">
        <v>1482</v>
      </c>
      <c r="D10" s="7" t="s">
        <v>322</v>
      </c>
      <c r="E10" s="5"/>
      <c r="F10" s="5"/>
      <c r="G10" s="7">
        <v>3</v>
      </c>
      <c r="H10" s="5" t="s">
        <v>1361</v>
      </c>
      <c r="I10" s="5" t="s">
        <v>1488</v>
      </c>
      <c r="J10" s="5"/>
      <c r="K10" s="7" t="s">
        <v>7</v>
      </c>
      <c r="L10" s="7"/>
      <c r="M10" s="5"/>
      <c r="N10" s="5"/>
    </row>
    <row r="11" spans="1:14" customHeight="1" ht="40">
      <c r="A11" s="9" t="s">
        <v>1481</v>
      </c>
      <c r="B11" s="5" t="s">
        <v>1467</v>
      </c>
      <c r="C11" s="5" t="s">
        <v>1482</v>
      </c>
      <c r="D11" s="7" t="s">
        <v>322</v>
      </c>
      <c r="E11" s="5"/>
      <c r="F11" s="5"/>
      <c r="G11" s="7">
        <v>4</v>
      </c>
      <c r="H11" s="5" t="s">
        <v>1106</v>
      </c>
      <c r="I11" s="5" t="s">
        <v>1489</v>
      </c>
      <c r="J11" s="5"/>
      <c r="K11" s="7" t="s">
        <v>7</v>
      </c>
      <c r="L11" s="7"/>
      <c r="M11" s="5"/>
      <c r="N11" s="5"/>
    </row>
    <row r="12" spans="1:14" customHeight="1" ht="30">
      <c r="A12" s="9" t="s">
        <v>1481</v>
      </c>
      <c r="B12" s="5" t="s">
        <v>1467</v>
      </c>
      <c r="C12" s="5" t="s">
        <v>1482</v>
      </c>
      <c r="D12" s="7" t="s">
        <v>322</v>
      </c>
      <c r="E12" s="5"/>
      <c r="F12" s="5"/>
      <c r="G12" s="7">
        <v>5</v>
      </c>
      <c r="H12" s="5" t="s">
        <v>1490</v>
      </c>
      <c r="I12" s="5" t="s">
        <v>1491</v>
      </c>
      <c r="J12" s="5"/>
      <c r="K12" s="7" t="s">
        <v>7</v>
      </c>
      <c r="L12" s="7"/>
      <c r="M12" s="5"/>
      <c r="N12" s="5"/>
    </row>
    <row r="13" spans="1:14" customHeight="1" ht="30">
      <c r="A13" s="9" t="s">
        <v>1481</v>
      </c>
      <c r="B13" s="5" t="s">
        <v>1467</v>
      </c>
      <c r="C13" s="5" t="s">
        <v>1482</v>
      </c>
      <c r="D13" s="7" t="s">
        <v>322</v>
      </c>
      <c r="E13" s="5"/>
      <c r="F13" s="5"/>
      <c r="G13" s="7">
        <v>6</v>
      </c>
      <c r="H13" s="5" t="s">
        <v>1492</v>
      </c>
      <c r="I13" s="5" t="s">
        <v>1360</v>
      </c>
      <c r="J13" s="5"/>
      <c r="K13" s="7" t="s">
        <v>7</v>
      </c>
      <c r="L13" s="7"/>
      <c r="M13" s="5"/>
      <c r="N13" s="5"/>
    </row>
    <row r="14" spans="1:14" customHeight="1" ht="30">
      <c r="A14" s="8" t="s">
        <v>1493</v>
      </c>
      <c r="B14" s="4" t="s">
        <v>1467</v>
      </c>
      <c r="C14" s="4" t="s">
        <v>1494</v>
      </c>
      <c r="D14" s="6" t="s">
        <v>322</v>
      </c>
      <c r="E14" s="4" t="s">
        <v>1495</v>
      </c>
      <c r="F14" s="4" t="s">
        <v>1496</v>
      </c>
      <c r="G14" s="6">
        <v>1</v>
      </c>
      <c r="H14" s="4" t="s">
        <v>1497</v>
      </c>
      <c r="I14" s="4" t="s">
        <v>1498</v>
      </c>
      <c r="J14" s="4"/>
      <c r="K14" s="6" t="s">
        <v>7</v>
      </c>
      <c r="L14" s="6"/>
      <c r="M14" s="4"/>
      <c r="N14" s="4"/>
    </row>
    <row r="15" spans="1:14" customHeight="1" ht="40">
      <c r="A15" s="8" t="s">
        <v>1493</v>
      </c>
      <c r="B15" s="4" t="s">
        <v>1467</v>
      </c>
      <c r="C15" s="4" t="s">
        <v>1494</v>
      </c>
      <c r="D15" s="6" t="s">
        <v>322</v>
      </c>
      <c r="E15" s="4"/>
      <c r="F15" s="4"/>
      <c r="G15" s="6">
        <v>2</v>
      </c>
      <c r="H15" s="4" t="s">
        <v>1499</v>
      </c>
      <c r="I15" s="4" t="s">
        <v>1500</v>
      </c>
      <c r="J15" s="4"/>
      <c r="K15" s="6" t="s">
        <v>7</v>
      </c>
      <c r="L15" s="6"/>
      <c r="M15" s="4"/>
      <c r="N15" s="4"/>
    </row>
    <row r="16" spans="1:14" customHeight="1" ht="30">
      <c r="A16" s="8" t="s">
        <v>1493</v>
      </c>
      <c r="B16" s="4" t="s">
        <v>1467</v>
      </c>
      <c r="C16" s="4" t="s">
        <v>1494</v>
      </c>
      <c r="D16" s="6" t="s">
        <v>322</v>
      </c>
      <c r="E16" s="4"/>
      <c r="F16" s="4"/>
      <c r="G16" s="6">
        <v>3</v>
      </c>
      <c r="H16" s="4" t="s">
        <v>1501</v>
      </c>
      <c r="I16" s="4" t="s">
        <v>1502</v>
      </c>
      <c r="J16" s="4"/>
      <c r="K16" s="6" t="s">
        <v>7</v>
      </c>
      <c r="L16" s="6"/>
      <c r="M16" s="4"/>
      <c r="N16" s="4"/>
    </row>
    <row r="17" spans="1:14" customHeight="1" ht="30">
      <c r="A17" s="8" t="s">
        <v>1493</v>
      </c>
      <c r="B17" s="4" t="s">
        <v>1467</v>
      </c>
      <c r="C17" s="4" t="s">
        <v>1494</v>
      </c>
      <c r="D17" s="6" t="s">
        <v>322</v>
      </c>
      <c r="E17" s="4"/>
      <c r="F17" s="4"/>
      <c r="G17" s="6">
        <v>4</v>
      </c>
      <c r="H17" s="4" t="s">
        <v>1503</v>
      </c>
      <c r="I17" s="4" t="s">
        <v>1504</v>
      </c>
      <c r="J17" s="4"/>
      <c r="K17" s="6" t="s">
        <v>7</v>
      </c>
      <c r="L17" s="6"/>
      <c r="M17" s="4"/>
      <c r="N17" s="4"/>
    </row>
    <row r="18" spans="1:14" customHeight="1" ht="30">
      <c r="A18" s="8" t="s">
        <v>1493</v>
      </c>
      <c r="B18" s="4" t="s">
        <v>1467</v>
      </c>
      <c r="C18" s="4" t="s">
        <v>1494</v>
      </c>
      <c r="D18" s="6" t="s">
        <v>322</v>
      </c>
      <c r="E18" s="4"/>
      <c r="F18" s="4"/>
      <c r="G18" s="6">
        <v>5</v>
      </c>
      <c r="H18" s="4" t="s">
        <v>1505</v>
      </c>
      <c r="I18" s="4" t="s">
        <v>1506</v>
      </c>
      <c r="J18" s="4"/>
      <c r="K18" s="6" t="s">
        <v>7</v>
      </c>
      <c r="L18" s="6"/>
      <c r="M18" s="4"/>
      <c r="N18" s="4"/>
    </row>
    <row r="19" spans="1:14" customHeight="1" ht="40">
      <c r="A19" s="8" t="s">
        <v>1493</v>
      </c>
      <c r="B19" s="4" t="s">
        <v>1467</v>
      </c>
      <c r="C19" s="4" t="s">
        <v>1494</v>
      </c>
      <c r="D19" s="6" t="s">
        <v>322</v>
      </c>
      <c r="E19" s="4"/>
      <c r="F19" s="4"/>
      <c r="G19" s="6">
        <v>6</v>
      </c>
      <c r="H19" s="4" t="s">
        <v>1507</v>
      </c>
      <c r="I19" s="4" t="s">
        <v>1508</v>
      </c>
      <c r="J19" s="4"/>
      <c r="K19" s="6" t="s">
        <v>7</v>
      </c>
      <c r="L19" s="6"/>
      <c r="M19" s="4"/>
      <c r="N19" s="4"/>
    </row>
    <row r="20" spans="1:14" customHeight="1" ht="30">
      <c r="A20" s="8" t="s">
        <v>1493</v>
      </c>
      <c r="B20" s="4" t="s">
        <v>1467</v>
      </c>
      <c r="C20" s="4" t="s">
        <v>1494</v>
      </c>
      <c r="D20" s="6" t="s">
        <v>322</v>
      </c>
      <c r="E20" s="4"/>
      <c r="F20" s="4"/>
      <c r="G20" s="6">
        <v>7</v>
      </c>
      <c r="H20" s="4" t="s">
        <v>1509</v>
      </c>
      <c r="I20" s="4" t="s">
        <v>1510</v>
      </c>
      <c r="J20" s="4"/>
      <c r="K20" s="6" t="s">
        <v>7</v>
      </c>
      <c r="L20" s="6"/>
      <c r="M20" s="4"/>
      <c r="N20" s="4"/>
    </row>
    <row r="21" spans="1:14" customHeight="1" ht="30">
      <c r="A21" s="9" t="s">
        <v>1511</v>
      </c>
      <c r="B21" s="5" t="s">
        <v>1467</v>
      </c>
      <c r="C21" s="5" t="s">
        <v>1512</v>
      </c>
      <c r="D21" s="7" t="s">
        <v>309</v>
      </c>
      <c r="E21" s="5" t="s">
        <v>1513</v>
      </c>
      <c r="F21" s="5" t="s">
        <v>1514</v>
      </c>
      <c r="G21" s="7">
        <v>1</v>
      </c>
      <c r="H21" s="5" t="s">
        <v>1515</v>
      </c>
      <c r="I21" s="5" t="s">
        <v>1516</v>
      </c>
      <c r="J21" s="5"/>
      <c r="K21" s="7" t="s">
        <v>7</v>
      </c>
      <c r="L21" s="7"/>
      <c r="M21" s="5"/>
      <c r="N21" s="5"/>
    </row>
    <row r="22" spans="1:14" customHeight="1" ht="40">
      <c r="A22" s="9" t="s">
        <v>1511</v>
      </c>
      <c r="B22" s="5" t="s">
        <v>1467</v>
      </c>
      <c r="C22" s="5" t="s">
        <v>1512</v>
      </c>
      <c r="D22" s="7" t="s">
        <v>309</v>
      </c>
      <c r="E22" s="5"/>
      <c r="F22" s="5"/>
      <c r="G22" s="7">
        <v>2</v>
      </c>
      <c r="H22" s="5" t="s">
        <v>1517</v>
      </c>
      <c r="I22" s="5" t="s">
        <v>1518</v>
      </c>
      <c r="J22" s="5"/>
      <c r="K22" s="7" t="s">
        <v>7</v>
      </c>
      <c r="L22" s="7"/>
      <c r="M22" s="5"/>
      <c r="N22" s="5"/>
    </row>
    <row r="23" spans="1:14" customHeight="1" ht="30">
      <c r="A23" s="9" t="s">
        <v>1511</v>
      </c>
      <c r="B23" s="5" t="s">
        <v>1467</v>
      </c>
      <c r="C23" s="5" t="s">
        <v>1512</v>
      </c>
      <c r="D23" s="7" t="s">
        <v>309</v>
      </c>
      <c r="E23" s="5"/>
      <c r="F23" s="5"/>
      <c r="G23" s="7">
        <v>3</v>
      </c>
      <c r="H23" s="5" t="s">
        <v>1519</v>
      </c>
      <c r="I23" s="5" t="s">
        <v>1520</v>
      </c>
      <c r="J23" s="5"/>
      <c r="K23" s="7" t="s">
        <v>7</v>
      </c>
      <c r="L23" s="7"/>
      <c r="M23" s="5"/>
      <c r="N23" s="5"/>
    </row>
    <row r="24" spans="1:14" customHeight="1" ht="40">
      <c r="A24" s="9" t="s">
        <v>1511</v>
      </c>
      <c r="B24" s="5" t="s">
        <v>1467</v>
      </c>
      <c r="C24" s="5" t="s">
        <v>1512</v>
      </c>
      <c r="D24" s="7" t="s">
        <v>309</v>
      </c>
      <c r="E24" s="5"/>
      <c r="F24" s="5"/>
      <c r="G24" s="7">
        <v>4</v>
      </c>
      <c r="H24" s="5" t="s">
        <v>1521</v>
      </c>
      <c r="I24" s="5" t="s">
        <v>1522</v>
      </c>
      <c r="J24" s="5"/>
      <c r="K24" s="7" t="s">
        <v>7</v>
      </c>
      <c r="L24" s="7"/>
      <c r="M24" s="5"/>
      <c r="N24" s="5"/>
    </row>
    <row r="25" spans="1:14" customHeight="1" ht="30">
      <c r="A25" s="9" t="s">
        <v>1511</v>
      </c>
      <c r="B25" s="5" t="s">
        <v>1467</v>
      </c>
      <c r="C25" s="5" t="s">
        <v>1512</v>
      </c>
      <c r="D25" s="7" t="s">
        <v>309</v>
      </c>
      <c r="E25" s="5"/>
      <c r="F25" s="5"/>
      <c r="G25" s="7">
        <v>5</v>
      </c>
      <c r="H25" s="5" t="s">
        <v>1492</v>
      </c>
      <c r="I25" s="5" t="s">
        <v>1404</v>
      </c>
      <c r="J25" s="5"/>
      <c r="K25" s="7" t="s">
        <v>7</v>
      </c>
      <c r="L25" s="7"/>
      <c r="M25" s="5"/>
      <c r="N25" s="5"/>
    </row>
    <row r="26" spans="1:14" customHeight="1" ht="30">
      <c r="A26" s="8" t="s">
        <v>1523</v>
      </c>
      <c r="B26" s="4" t="s">
        <v>1467</v>
      </c>
      <c r="C26" s="4" t="s">
        <v>1524</v>
      </c>
      <c r="D26" s="6" t="s">
        <v>441</v>
      </c>
      <c r="E26" s="4" t="s">
        <v>1525</v>
      </c>
      <c r="F26" s="4" t="s">
        <v>1526</v>
      </c>
      <c r="G26" s="6">
        <v>1</v>
      </c>
      <c r="H26" s="4" t="s">
        <v>1527</v>
      </c>
      <c r="I26" s="4" t="s">
        <v>1528</v>
      </c>
      <c r="J26" s="4"/>
      <c r="K26" s="6" t="s">
        <v>7</v>
      </c>
      <c r="L26" s="6"/>
      <c r="M26" s="4"/>
      <c r="N26" s="4"/>
    </row>
    <row r="27" spans="1:14" customHeight="1" ht="30">
      <c r="A27" s="8" t="s">
        <v>1523</v>
      </c>
      <c r="B27" s="4" t="s">
        <v>1467</v>
      </c>
      <c r="C27" s="4" t="s">
        <v>1524</v>
      </c>
      <c r="D27" s="6" t="s">
        <v>441</v>
      </c>
      <c r="E27" s="4"/>
      <c r="F27" s="4"/>
      <c r="G27" s="6">
        <v>2</v>
      </c>
      <c r="H27" s="4" t="s">
        <v>1529</v>
      </c>
      <c r="I27" s="4" t="s">
        <v>1530</v>
      </c>
      <c r="J27" s="4"/>
      <c r="K27" s="6" t="s">
        <v>7</v>
      </c>
      <c r="L27" s="6"/>
      <c r="M27" s="4"/>
      <c r="N27" s="4"/>
    </row>
    <row r="28" spans="1:14" customHeight="1" ht="53">
      <c r="A28" s="8" t="s">
        <v>1523</v>
      </c>
      <c r="B28" s="4" t="s">
        <v>1467</v>
      </c>
      <c r="C28" s="4" t="s">
        <v>1524</v>
      </c>
      <c r="D28" s="6" t="s">
        <v>441</v>
      </c>
      <c r="E28" s="4"/>
      <c r="F28" s="4"/>
      <c r="G28" s="6">
        <v>3</v>
      </c>
      <c r="H28" s="4" t="s">
        <v>1531</v>
      </c>
      <c r="I28" s="4" t="s">
        <v>1532</v>
      </c>
      <c r="J28" s="4"/>
      <c r="K28" s="6" t="s">
        <v>7</v>
      </c>
      <c r="L28" s="6"/>
      <c r="M28" s="4"/>
      <c r="N28" s="4"/>
    </row>
    <row r="29" spans="1:14" customHeight="1" ht="30">
      <c r="A29" s="8" t="s">
        <v>1523</v>
      </c>
      <c r="B29" s="4" t="s">
        <v>1467</v>
      </c>
      <c r="C29" s="4" t="s">
        <v>1524</v>
      </c>
      <c r="D29" s="6" t="s">
        <v>441</v>
      </c>
      <c r="E29" s="4"/>
      <c r="F29" s="4"/>
      <c r="G29" s="6">
        <v>4</v>
      </c>
      <c r="H29" s="4" t="s">
        <v>1533</v>
      </c>
      <c r="I29" s="4" t="s">
        <v>1534</v>
      </c>
      <c r="J29" s="4"/>
      <c r="K29" s="6" t="s">
        <v>7</v>
      </c>
      <c r="L29" s="6"/>
      <c r="M29" s="4"/>
      <c r="N29" s="4"/>
    </row>
    <row r="30" spans="1:14" customHeight="1" ht="30">
      <c r="A30" s="8" t="s">
        <v>1523</v>
      </c>
      <c r="B30" s="4" t="s">
        <v>1467</v>
      </c>
      <c r="C30" s="4" t="s">
        <v>1524</v>
      </c>
      <c r="D30" s="6" t="s">
        <v>441</v>
      </c>
      <c r="E30" s="4"/>
      <c r="F30" s="4"/>
      <c r="G30" s="6">
        <v>5</v>
      </c>
      <c r="H30" s="4" t="s">
        <v>1535</v>
      </c>
      <c r="I30" s="4" t="s">
        <v>1536</v>
      </c>
      <c r="J30" s="4"/>
      <c r="K30" s="6" t="s">
        <v>7</v>
      </c>
      <c r="L30" s="6"/>
      <c r="M30" s="4"/>
      <c r="N30" s="4"/>
    </row>
    <row r="31" spans="1:14" customHeight="1" ht="40">
      <c r="A31" s="9" t="s">
        <v>1537</v>
      </c>
      <c r="B31" s="5" t="s">
        <v>1467</v>
      </c>
      <c r="C31" s="5" t="s">
        <v>1538</v>
      </c>
      <c r="D31" s="7" t="s">
        <v>322</v>
      </c>
      <c r="E31" s="5" t="s">
        <v>1539</v>
      </c>
      <c r="F31" s="5" t="s">
        <v>1540</v>
      </c>
      <c r="G31" s="7">
        <v>1</v>
      </c>
      <c r="H31" s="5" t="s">
        <v>1541</v>
      </c>
      <c r="I31" s="5" t="s">
        <v>1542</v>
      </c>
      <c r="J31" s="5"/>
      <c r="K31" s="7" t="s">
        <v>7</v>
      </c>
      <c r="L31" s="7"/>
      <c r="M31" s="5"/>
      <c r="N31" s="5"/>
    </row>
    <row r="32" spans="1:14" customHeight="1" ht="53">
      <c r="A32" s="9" t="s">
        <v>1537</v>
      </c>
      <c r="B32" s="5" t="s">
        <v>1467</v>
      </c>
      <c r="C32" s="5" t="s">
        <v>1538</v>
      </c>
      <c r="D32" s="7" t="s">
        <v>322</v>
      </c>
      <c r="E32" s="5"/>
      <c r="F32" s="5"/>
      <c r="G32" s="7">
        <v>2</v>
      </c>
      <c r="H32" s="5" t="s">
        <v>1543</v>
      </c>
      <c r="I32" s="5" t="s">
        <v>1544</v>
      </c>
      <c r="J32" s="5"/>
      <c r="K32" s="7" t="s">
        <v>7</v>
      </c>
      <c r="L32" s="7"/>
      <c r="M32" s="5"/>
      <c r="N32" s="5"/>
    </row>
    <row r="33" spans="1:14" customHeight="1" ht="30">
      <c r="A33" s="9" t="s">
        <v>1537</v>
      </c>
      <c r="B33" s="5" t="s">
        <v>1467</v>
      </c>
      <c r="C33" s="5" t="s">
        <v>1538</v>
      </c>
      <c r="D33" s="7" t="s">
        <v>322</v>
      </c>
      <c r="E33" s="5"/>
      <c r="F33" s="5"/>
      <c r="G33" s="7">
        <v>3</v>
      </c>
      <c r="H33" s="5" t="s">
        <v>1545</v>
      </c>
      <c r="I33" s="5" t="s">
        <v>1546</v>
      </c>
      <c r="J33" s="5"/>
      <c r="K33" s="7" t="s">
        <v>7</v>
      </c>
      <c r="L33" s="7"/>
      <c r="M33" s="5"/>
      <c r="N33" s="5"/>
    </row>
    <row r="34" spans="1:14" customHeight="1" ht="30">
      <c r="A34" s="9" t="s">
        <v>1537</v>
      </c>
      <c r="B34" s="5" t="s">
        <v>1467</v>
      </c>
      <c r="C34" s="5" t="s">
        <v>1538</v>
      </c>
      <c r="D34" s="7" t="s">
        <v>322</v>
      </c>
      <c r="E34" s="5"/>
      <c r="F34" s="5"/>
      <c r="G34" s="7">
        <v>4</v>
      </c>
      <c r="H34" s="5" t="s">
        <v>1106</v>
      </c>
      <c r="I34" s="5" t="s">
        <v>1547</v>
      </c>
      <c r="J34" s="5"/>
      <c r="K34" s="7" t="s">
        <v>7</v>
      </c>
      <c r="L34" s="7"/>
      <c r="M34" s="5"/>
      <c r="N34" s="5"/>
    </row>
    <row r="35" spans="1:14" customHeight="1" ht="40">
      <c r="A35" s="9" t="s">
        <v>1537</v>
      </c>
      <c r="B35" s="5" t="s">
        <v>1467</v>
      </c>
      <c r="C35" s="5" t="s">
        <v>1538</v>
      </c>
      <c r="D35" s="7" t="s">
        <v>322</v>
      </c>
      <c r="E35" s="5"/>
      <c r="F35" s="5"/>
      <c r="G35" s="7">
        <v>5</v>
      </c>
      <c r="H35" s="5" t="s">
        <v>1548</v>
      </c>
      <c r="I35" s="5" t="s">
        <v>1549</v>
      </c>
      <c r="J35" s="5"/>
      <c r="K35" s="7" t="s">
        <v>7</v>
      </c>
      <c r="L35" s="7"/>
      <c r="M35" s="5"/>
      <c r="N35" s="5"/>
    </row>
    <row r="36" spans="1:14" customHeight="1" ht="30">
      <c r="A36" s="8" t="s">
        <v>1550</v>
      </c>
      <c r="B36" s="4" t="s">
        <v>1467</v>
      </c>
      <c r="C36" s="4" t="s">
        <v>1551</v>
      </c>
      <c r="D36" s="6" t="s">
        <v>322</v>
      </c>
      <c r="E36" s="4" t="s">
        <v>1552</v>
      </c>
      <c r="F36" s="4" t="s">
        <v>1553</v>
      </c>
      <c r="G36" s="6">
        <v>1</v>
      </c>
      <c r="H36" s="4" t="s">
        <v>1554</v>
      </c>
      <c r="I36" s="4" t="s">
        <v>1555</v>
      </c>
      <c r="J36" s="4"/>
      <c r="K36" s="6" t="s">
        <v>7</v>
      </c>
      <c r="L36" s="6"/>
      <c r="M36" s="4"/>
      <c r="N36" s="4"/>
    </row>
    <row r="37" spans="1:14" customHeight="1" ht="40">
      <c r="A37" s="8" t="s">
        <v>1550</v>
      </c>
      <c r="B37" s="4" t="s">
        <v>1467</v>
      </c>
      <c r="C37" s="4" t="s">
        <v>1551</v>
      </c>
      <c r="D37" s="6" t="s">
        <v>322</v>
      </c>
      <c r="E37" s="4"/>
      <c r="F37" s="4"/>
      <c r="G37" s="6">
        <v>2</v>
      </c>
      <c r="H37" s="4" t="s">
        <v>1556</v>
      </c>
      <c r="I37" s="4" t="s">
        <v>1557</v>
      </c>
      <c r="J37" s="4"/>
      <c r="K37" s="6" t="s">
        <v>7</v>
      </c>
      <c r="L37" s="6"/>
      <c r="M37" s="4"/>
      <c r="N37" s="4"/>
    </row>
    <row r="38" spans="1:14" customHeight="1" ht="40">
      <c r="A38" s="8" t="s">
        <v>1550</v>
      </c>
      <c r="B38" s="4" t="s">
        <v>1467</v>
      </c>
      <c r="C38" s="4" t="s">
        <v>1551</v>
      </c>
      <c r="D38" s="6" t="s">
        <v>322</v>
      </c>
      <c r="E38" s="4"/>
      <c r="F38" s="4"/>
      <c r="G38" s="6">
        <v>3</v>
      </c>
      <c r="H38" s="4" t="s">
        <v>1499</v>
      </c>
      <c r="I38" s="4" t="s">
        <v>1558</v>
      </c>
      <c r="J38" s="4"/>
      <c r="K38" s="6" t="s">
        <v>7</v>
      </c>
      <c r="L38" s="6"/>
      <c r="M38" s="4"/>
      <c r="N38" s="4"/>
    </row>
    <row r="39" spans="1:14" customHeight="1" ht="30">
      <c r="A39" s="8" t="s">
        <v>1550</v>
      </c>
      <c r="B39" s="4" t="s">
        <v>1467</v>
      </c>
      <c r="C39" s="4" t="s">
        <v>1551</v>
      </c>
      <c r="D39" s="6" t="s">
        <v>322</v>
      </c>
      <c r="E39" s="4"/>
      <c r="F39" s="4"/>
      <c r="G39" s="6">
        <v>4</v>
      </c>
      <c r="H39" s="4" t="s">
        <v>1106</v>
      </c>
      <c r="I39" s="4" t="s">
        <v>1402</v>
      </c>
      <c r="J39" s="4"/>
      <c r="K39" s="6" t="s">
        <v>7</v>
      </c>
      <c r="L39" s="6"/>
      <c r="M39" s="4"/>
      <c r="N39" s="4"/>
    </row>
    <row r="40" spans="1:14" customHeight="1" ht="40">
      <c r="A40" s="8" t="s">
        <v>1550</v>
      </c>
      <c r="B40" s="4" t="s">
        <v>1467</v>
      </c>
      <c r="C40" s="4" t="s">
        <v>1551</v>
      </c>
      <c r="D40" s="6" t="s">
        <v>322</v>
      </c>
      <c r="E40" s="4"/>
      <c r="F40" s="4"/>
      <c r="G40" s="6">
        <v>5</v>
      </c>
      <c r="H40" s="4" t="s">
        <v>1559</v>
      </c>
      <c r="I40" s="4" t="s">
        <v>1560</v>
      </c>
      <c r="J40" s="4"/>
      <c r="K40" s="6" t="s">
        <v>7</v>
      </c>
      <c r="L40" s="6"/>
      <c r="M40" s="4"/>
      <c r="N40" s="4"/>
    </row>
    <row r="41" spans="1:14" customHeight="1" ht="40">
      <c r="A41" s="9" t="s">
        <v>1561</v>
      </c>
      <c r="B41" s="5" t="s">
        <v>1467</v>
      </c>
      <c r="C41" s="5" t="s">
        <v>1562</v>
      </c>
      <c r="D41" s="7" t="s">
        <v>322</v>
      </c>
      <c r="E41" s="5" t="s">
        <v>1563</v>
      </c>
      <c r="F41" s="5" t="s">
        <v>1564</v>
      </c>
      <c r="G41" s="7">
        <v>1</v>
      </c>
      <c r="H41" s="5" t="s">
        <v>1565</v>
      </c>
      <c r="I41" s="5" t="s">
        <v>1566</v>
      </c>
      <c r="J41" s="5"/>
      <c r="K41" s="7" t="s">
        <v>7</v>
      </c>
      <c r="L41" s="7"/>
      <c r="M41" s="5"/>
      <c r="N41" s="5"/>
    </row>
    <row r="42" spans="1:14" customHeight="1" ht="40">
      <c r="A42" s="9" t="s">
        <v>1561</v>
      </c>
      <c r="B42" s="5" t="s">
        <v>1467</v>
      </c>
      <c r="C42" s="5" t="s">
        <v>1562</v>
      </c>
      <c r="D42" s="7" t="s">
        <v>322</v>
      </c>
      <c r="E42" s="5"/>
      <c r="F42" s="5"/>
      <c r="G42" s="7">
        <v>2</v>
      </c>
      <c r="H42" s="5" t="s">
        <v>1567</v>
      </c>
      <c r="I42" s="5" t="s">
        <v>1568</v>
      </c>
      <c r="J42" s="5"/>
      <c r="K42" s="7" t="s">
        <v>7</v>
      </c>
      <c r="L42" s="7"/>
      <c r="M42" s="5"/>
      <c r="N42" s="5"/>
    </row>
    <row r="43" spans="1:14" customHeight="1" ht="40">
      <c r="A43" s="9" t="s">
        <v>1561</v>
      </c>
      <c r="B43" s="5" t="s">
        <v>1467</v>
      </c>
      <c r="C43" s="5" t="s">
        <v>1562</v>
      </c>
      <c r="D43" s="7" t="s">
        <v>322</v>
      </c>
      <c r="E43" s="5"/>
      <c r="F43" s="5"/>
      <c r="G43" s="7">
        <v>3</v>
      </c>
      <c r="H43" s="5" t="s">
        <v>1569</v>
      </c>
      <c r="I43" s="5" t="s">
        <v>1570</v>
      </c>
      <c r="J43" s="5"/>
      <c r="K43" s="7" t="s">
        <v>7</v>
      </c>
      <c r="L43" s="7"/>
      <c r="M43" s="5"/>
      <c r="N43" s="5"/>
    </row>
    <row r="44" spans="1:14" customHeight="1" ht="40">
      <c r="A44" s="9" t="s">
        <v>1561</v>
      </c>
      <c r="B44" s="5" t="s">
        <v>1467</v>
      </c>
      <c r="C44" s="5" t="s">
        <v>1562</v>
      </c>
      <c r="D44" s="7" t="s">
        <v>322</v>
      </c>
      <c r="E44" s="5"/>
      <c r="F44" s="5"/>
      <c r="G44" s="7">
        <v>4</v>
      </c>
      <c r="H44" s="5" t="s">
        <v>1571</v>
      </c>
      <c r="I44" s="5" t="s">
        <v>1572</v>
      </c>
      <c r="J44" s="5"/>
      <c r="K44" s="7" t="s">
        <v>7</v>
      </c>
      <c r="L44" s="7"/>
      <c r="M44" s="5"/>
      <c r="N44" s="5"/>
    </row>
    <row r="45" spans="1:14" customHeight="1" ht="40">
      <c r="A45" s="9" t="s">
        <v>1561</v>
      </c>
      <c r="B45" s="5" t="s">
        <v>1467</v>
      </c>
      <c r="C45" s="5" t="s">
        <v>1562</v>
      </c>
      <c r="D45" s="7" t="s">
        <v>322</v>
      </c>
      <c r="E45" s="5"/>
      <c r="F45" s="5"/>
      <c r="G45" s="7">
        <v>5</v>
      </c>
      <c r="H45" s="5" t="s">
        <v>1573</v>
      </c>
      <c r="I45" s="5" t="s">
        <v>1574</v>
      </c>
      <c r="J45" s="5"/>
      <c r="K45" s="7" t="s">
        <v>7</v>
      </c>
      <c r="L45" s="7"/>
      <c r="M45" s="5"/>
      <c r="N45" s="5"/>
    </row>
    <row r="46" spans="1:14" customHeight="1" ht="53">
      <c r="A46" s="8" t="s">
        <v>1575</v>
      </c>
      <c r="B46" s="4" t="s">
        <v>1467</v>
      </c>
      <c r="C46" s="4" t="s">
        <v>1576</v>
      </c>
      <c r="D46" s="6" t="s">
        <v>309</v>
      </c>
      <c r="E46" s="4" t="s">
        <v>1577</v>
      </c>
      <c r="F46" s="4" t="s">
        <v>1578</v>
      </c>
      <c r="G46" s="6">
        <v>1</v>
      </c>
      <c r="H46" s="4" t="s">
        <v>1579</v>
      </c>
      <c r="I46" s="4" t="s">
        <v>1580</v>
      </c>
      <c r="J46" s="4"/>
      <c r="K46" s="6" t="s">
        <v>7</v>
      </c>
      <c r="L46" s="6"/>
      <c r="M46" s="4"/>
      <c r="N46" s="4"/>
    </row>
    <row r="47" spans="1:14" customHeight="1" ht="40">
      <c r="A47" s="8" t="s">
        <v>1575</v>
      </c>
      <c r="B47" s="4" t="s">
        <v>1467</v>
      </c>
      <c r="C47" s="4" t="s">
        <v>1576</v>
      </c>
      <c r="D47" s="6" t="s">
        <v>309</v>
      </c>
      <c r="E47" s="4"/>
      <c r="F47" s="4"/>
      <c r="G47" s="6">
        <v>2</v>
      </c>
      <c r="H47" s="4" t="s">
        <v>1581</v>
      </c>
      <c r="I47" s="4" t="s">
        <v>1582</v>
      </c>
      <c r="J47" s="4"/>
      <c r="K47" s="6" t="s">
        <v>7</v>
      </c>
      <c r="L47" s="6"/>
      <c r="M47" s="4"/>
      <c r="N47" s="4"/>
    </row>
    <row r="48" spans="1:14" customHeight="1" ht="30">
      <c r="A48" s="8" t="s">
        <v>1575</v>
      </c>
      <c r="B48" s="4" t="s">
        <v>1467</v>
      </c>
      <c r="C48" s="4" t="s">
        <v>1576</v>
      </c>
      <c r="D48" s="6" t="s">
        <v>309</v>
      </c>
      <c r="E48" s="4"/>
      <c r="F48" s="4"/>
      <c r="G48" s="6">
        <v>3</v>
      </c>
      <c r="H48" s="4" t="s">
        <v>1583</v>
      </c>
      <c r="I48" s="4" t="s">
        <v>1584</v>
      </c>
      <c r="J48" s="4"/>
      <c r="K48" s="6" t="s">
        <v>7</v>
      </c>
      <c r="L48" s="6"/>
      <c r="M48" s="4"/>
      <c r="N48" s="4"/>
    </row>
    <row r="49" spans="1:14" customHeight="1" ht="53">
      <c r="A49" s="8" t="s">
        <v>1575</v>
      </c>
      <c r="B49" s="4" t="s">
        <v>1467</v>
      </c>
      <c r="C49" s="4" t="s">
        <v>1576</v>
      </c>
      <c r="D49" s="6" t="s">
        <v>309</v>
      </c>
      <c r="E49" s="4"/>
      <c r="F49" s="4"/>
      <c r="G49" s="6">
        <v>4</v>
      </c>
      <c r="H49" s="4" t="s">
        <v>1585</v>
      </c>
      <c r="I49" s="4" t="s">
        <v>1586</v>
      </c>
      <c r="J49" s="4"/>
      <c r="K49" s="6" t="s">
        <v>7</v>
      </c>
      <c r="L49" s="6"/>
      <c r="M49" s="4"/>
      <c r="N49" s="4"/>
    </row>
    <row r="50" spans="1:14" customHeight="1" ht="30">
      <c r="A50" s="8" t="s">
        <v>1575</v>
      </c>
      <c r="B50" s="4" t="s">
        <v>1467</v>
      </c>
      <c r="C50" s="4" t="s">
        <v>1576</v>
      </c>
      <c r="D50" s="6" t="s">
        <v>309</v>
      </c>
      <c r="E50" s="4"/>
      <c r="F50" s="4"/>
      <c r="G50" s="6">
        <v>5</v>
      </c>
      <c r="H50" s="4" t="s">
        <v>1587</v>
      </c>
      <c r="I50" s="4" t="s">
        <v>1588</v>
      </c>
      <c r="J50" s="4"/>
      <c r="K50" s="6" t="s">
        <v>7</v>
      </c>
      <c r="L50" s="6"/>
      <c r="M50" s="4"/>
      <c r="N50" s="4"/>
    </row>
    <row r="51" spans="1:14" customHeight="1" ht="30">
      <c r="A51" s="8" t="s">
        <v>1575</v>
      </c>
      <c r="B51" s="4" t="s">
        <v>1467</v>
      </c>
      <c r="C51" s="4" t="s">
        <v>1576</v>
      </c>
      <c r="D51" s="6" t="s">
        <v>309</v>
      </c>
      <c r="E51" s="4"/>
      <c r="F51" s="4"/>
      <c r="G51" s="6">
        <v>6</v>
      </c>
      <c r="H51" s="4" t="s">
        <v>1492</v>
      </c>
      <c r="I51" s="4" t="s">
        <v>1404</v>
      </c>
      <c r="J51" s="4"/>
      <c r="K51" s="6" t="s">
        <v>7</v>
      </c>
      <c r="L51" s="6"/>
      <c r="M51" s="4"/>
      <c r="N51" s="4"/>
    </row>
    <row r="52" spans="1:14" customHeight="1" ht="53">
      <c r="A52" s="9" t="s">
        <v>1589</v>
      </c>
      <c r="B52" s="5" t="s">
        <v>1467</v>
      </c>
      <c r="C52" s="5" t="s">
        <v>1590</v>
      </c>
      <c r="D52" s="7" t="s">
        <v>309</v>
      </c>
      <c r="E52" s="5" t="s">
        <v>1591</v>
      </c>
      <c r="F52" s="5" t="s">
        <v>1592</v>
      </c>
      <c r="G52" s="7">
        <v>1</v>
      </c>
      <c r="H52" s="5" t="s">
        <v>1593</v>
      </c>
      <c r="I52" s="5" t="s">
        <v>1594</v>
      </c>
      <c r="J52" s="5"/>
      <c r="K52" s="7" t="s">
        <v>7</v>
      </c>
      <c r="L52" s="7"/>
      <c r="M52" s="5"/>
      <c r="N52" s="5"/>
    </row>
    <row r="53" spans="1:14" customHeight="1" ht="30">
      <c r="A53" s="9" t="s">
        <v>1589</v>
      </c>
      <c r="B53" s="5" t="s">
        <v>1467</v>
      </c>
      <c r="C53" s="5" t="s">
        <v>1590</v>
      </c>
      <c r="D53" s="7" t="s">
        <v>309</v>
      </c>
      <c r="E53" s="5"/>
      <c r="F53" s="5"/>
      <c r="G53" s="7">
        <v>2</v>
      </c>
      <c r="H53" s="5" t="s">
        <v>1595</v>
      </c>
      <c r="I53" s="5" t="s">
        <v>1596</v>
      </c>
      <c r="J53" s="5"/>
      <c r="K53" s="7" t="s">
        <v>7</v>
      </c>
      <c r="L53" s="7"/>
      <c r="M53" s="5"/>
      <c r="N53" s="5"/>
    </row>
    <row r="54" spans="1:14" customHeight="1" ht="40">
      <c r="A54" s="9" t="s">
        <v>1589</v>
      </c>
      <c r="B54" s="5" t="s">
        <v>1467</v>
      </c>
      <c r="C54" s="5" t="s">
        <v>1590</v>
      </c>
      <c r="D54" s="7" t="s">
        <v>309</v>
      </c>
      <c r="E54" s="5"/>
      <c r="F54" s="5"/>
      <c r="G54" s="7">
        <v>3</v>
      </c>
      <c r="H54" s="5" t="s">
        <v>1597</v>
      </c>
      <c r="I54" s="5" t="s">
        <v>1598</v>
      </c>
      <c r="J54" s="5"/>
      <c r="K54" s="7" t="s">
        <v>7</v>
      </c>
      <c r="L54" s="7"/>
      <c r="M54" s="5"/>
      <c r="N54" s="5"/>
    </row>
    <row r="55" spans="1:14" customHeight="1" ht="40">
      <c r="A55" s="9" t="s">
        <v>1589</v>
      </c>
      <c r="B55" s="5" t="s">
        <v>1467</v>
      </c>
      <c r="C55" s="5" t="s">
        <v>1590</v>
      </c>
      <c r="D55" s="7" t="s">
        <v>309</v>
      </c>
      <c r="E55" s="5"/>
      <c r="F55" s="5"/>
      <c r="G55" s="7">
        <v>4</v>
      </c>
      <c r="H55" s="5" t="s">
        <v>1211</v>
      </c>
      <c r="I55" s="5" t="s">
        <v>1599</v>
      </c>
      <c r="J55" s="5"/>
      <c r="K55" s="7" t="s">
        <v>7</v>
      </c>
      <c r="L55" s="7"/>
      <c r="M55" s="5"/>
      <c r="N55" s="5"/>
    </row>
    <row r="56" spans="1:14" customHeight="1" ht="40">
      <c r="A56" s="9" t="s">
        <v>1589</v>
      </c>
      <c r="B56" s="5" t="s">
        <v>1467</v>
      </c>
      <c r="C56" s="5" t="s">
        <v>1590</v>
      </c>
      <c r="D56" s="7" t="s">
        <v>309</v>
      </c>
      <c r="E56" s="5"/>
      <c r="F56" s="5"/>
      <c r="G56" s="7">
        <v>5</v>
      </c>
      <c r="H56" s="5" t="s">
        <v>1600</v>
      </c>
      <c r="I56" s="5" t="s">
        <v>1601</v>
      </c>
      <c r="J56" s="5"/>
      <c r="K56" s="7" t="s">
        <v>7</v>
      </c>
      <c r="L56" s="7"/>
      <c r="M56" s="5"/>
      <c r="N56" s="5"/>
    </row>
    <row r="57" spans="1:14" customHeight="1" ht="40">
      <c r="A57" s="8" t="s">
        <v>1602</v>
      </c>
      <c r="B57" s="4" t="s">
        <v>1467</v>
      </c>
      <c r="C57" s="4" t="s">
        <v>1603</v>
      </c>
      <c r="D57" s="6" t="s">
        <v>441</v>
      </c>
      <c r="E57" s="4" t="s">
        <v>1604</v>
      </c>
      <c r="F57" s="4" t="s">
        <v>1605</v>
      </c>
      <c r="G57" s="6">
        <v>1</v>
      </c>
      <c r="H57" s="4" t="s">
        <v>1606</v>
      </c>
      <c r="I57" s="4" t="s">
        <v>1607</v>
      </c>
      <c r="J57" s="4"/>
      <c r="K57" s="6" t="s">
        <v>7</v>
      </c>
      <c r="L57" s="6"/>
      <c r="M57" s="4"/>
      <c r="N57" s="4"/>
    </row>
    <row r="58" spans="1:14" customHeight="1" ht="40">
      <c r="A58" s="8" t="s">
        <v>1602</v>
      </c>
      <c r="B58" s="4" t="s">
        <v>1467</v>
      </c>
      <c r="C58" s="4" t="s">
        <v>1603</v>
      </c>
      <c r="D58" s="6" t="s">
        <v>441</v>
      </c>
      <c r="E58" s="4"/>
      <c r="F58" s="4"/>
      <c r="G58" s="6">
        <v>2</v>
      </c>
      <c r="H58" s="4" t="s">
        <v>1608</v>
      </c>
      <c r="I58" s="4" t="s">
        <v>658</v>
      </c>
      <c r="J58" s="4"/>
      <c r="K58" s="6" t="s">
        <v>7</v>
      </c>
      <c r="L58" s="6"/>
      <c r="M58" s="4"/>
      <c r="N58" s="4"/>
    </row>
    <row r="59" spans="1:14" customHeight="1" ht="53">
      <c r="A59" s="8" t="s">
        <v>1602</v>
      </c>
      <c r="B59" s="4" t="s">
        <v>1467</v>
      </c>
      <c r="C59" s="4" t="s">
        <v>1603</v>
      </c>
      <c r="D59" s="6" t="s">
        <v>441</v>
      </c>
      <c r="E59" s="4"/>
      <c r="F59" s="4"/>
      <c r="G59" s="6">
        <v>3</v>
      </c>
      <c r="H59" s="4" t="s">
        <v>1499</v>
      </c>
      <c r="I59" s="4" t="s">
        <v>1609</v>
      </c>
      <c r="J59" s="4"/>
      <c r="K59" s="6" t="s">
        <v>7</v>
      </c>
      <c r="L59" s="6"/>
      <c r="M59" s="4"/>
      <c r="N59" s="4"/>
    </row>
    <row r="60" spans="1:14" customHeight="1" ht="30">
      <c r="A60" s="8" t="s">
        <v>1602</v>
      </c>
      <c r="B60" s="4" t="s">
        <v>1467</v>
      </c>
      <c r="C60" s="4" t="s">
        <v>1603</v>
      </c>
      <c r="D60" s="6" t="s">
        <v>441</v>
      </c>
      <c r="E60" s="4"/>
      <c r="F60" s="4"/>
      <c r="G60" s="6">
        <v>4</v>
      </c>
      <c r="H60" s="4" t="s">
        <v>1610</v>
      </c>
      <c r="I60" s="4" t="s">
        <v>658</v>
      </c>
      <c r="J60" s="4"/>
      <c r="K60" s="6" t="s">
        <v>7</v>
      </c>
      <c r="L60" s="6"/>
      <c r="M60" s="4"/>
      <c r="N60" s="4"/>
    </row>
    <row r="61" spans="1:14" customHeight="1" ht="30">
      <c r="A61" s="8" t="s">
        <v>1602</v>
      </c>
      <c r="B61" s="4" t="s">
        <v>1467</v>
      </c>
      <c r="C61" s="4" t="s">
        <v>1603</v>
      </c>
      <c r="D61" s="6" t="s">
        <v>441</v>
      </c>
      <c r="E61" s="4"/>
      <c r="F61" s="4"/>
      <c r="G61" s="6">
        <v>5</v>
      </c>
      <c r="H61" s="4" t="s">
        <v>1505</v>
      </c>
      <c r="I61" s="4" t="s">
        <v>1506</v>
      </c>
      <c r="J61" s="4"/>
      <c r="K61" s="6" t="s">
        <v>7</v>
      </c>
      <c r="L61" s="6"/>
      <c r="M61" s="4"/>
      <c r="N61" s="4"/>
    </row>
  </sheetData>
  <autoFilter ref="A3:N61"/>
  <mergeCells>
    <mergeCell ref="A1:N1"/>
    <mergeCell ref="A2:N2"/>
  </mergeCells>
  <conditionalFormatting sqref="K4:K61">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61">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61">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61">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61">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9"/>
  <sheetViews>
    <sheetView tabSelected="0" workbookViewId="0" showGridLines="true" showRowColHeaders="1">
      <pane xSplit="2" ySplit="3" topLeftCell="C4" activePane="bottomRight" state="frozen"/>
      <selection pane="topRight"/>
      <selection pane="bottomLeft"/>
      <selection pane="bottomRight" activeCell="L4" sqref="L4:L49"/>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1611</v>
      </c>
    </row>
    <row r="2" spans="1:14" customHeight="1" ht="30">
      <c r="A2" s="2" t="s">
        <v>1612</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1613</v>
      </c>
      <c r="B4" s="4" t="s">
        <v>1611</v>
      </c>
      <c r="C4" s="4" t="s">
        <v>1614</v>
      </c>
      <c r="D4" s="6" t="s">
        <v>309</v>
      </c>
      <c r="E4" s="4" t="s">
        <v>1277</v>
      </c>
      <c r="F4" s="4" t="s">
        <v>1615</v>
      </c>
      <c r="G4" s="6">
        <v>1</v>
      </c>
      <c r="H4" s="4" t="s">
        <v>1616</v>
      </c>
      <c r="I4" s="4" t="s">
        <v>1617</v>
      </c>
      <c r="J4" s="4"/>
      <c r="K4" s="6" t="s">
        <v>7</v>
      </c>
      <c r="L4" s="6"/>
      <c r="M4" s="4"/>
      <c r="N4" s="4"/>
    </row>
    <row r="5" spans="1:14" customHeight="1" ht="53">
      <c r="A5" s="8" t="s">
        <v>1613</v>
      </c>
      <c r="B5" s="4" t="s">
        <v>1611</v>
      </c>
      <c r="C5" s="4" t="s">
        <v>1614</v>
      </c>
      <c r="D5" s="6" t="s">
        <v>309</v>
      </c>
      <c r="E5" s="4"/>
      <c r="F5" s="4"/>
      <c r="G5" s="6">
        <v>2</v>
      </c>
      <c r="H5" s="4" t="s">
        <v>1618</v>
      </c>
      <c r="I5" s="4" t="s">
        <v>1619</v>
      </c>
      <c r="J5" s="4"/>
      <c r="K5" s="6" t="s">
        <v>7</v>
      </c>
      <c r="L5" s="6"/>
      <c r="M5" s="4"/>
      <c r="N5" s="4"/>
    </row>
    <row r="6" spans="1:14" customHeight="1" ht="53">
      <c r="A6" s="8" t="s">
        <v>1613</v>
      </c>
      <c r="B6" s="4" t="s">
        <v>1611</v>
      </c>
      <c r="C6" s="4" t="s">
        <v>1614</v>
      </c>
      <c r="D6" s="6" t="s">
        <v>309</v>
      </c>
      <c r="E6" s="4"/>
      <c r="F6" s="4"/>
      <c r="G6" s="6">
        <v>3</v>
      </c>
      <c r="H6" s="4" t="s">
        <v>1620</v>
      </c>
      <c r="I6" s="4" t="s">
        <v>1621</v>
      </c>
      <c r="J6" s="4"/>
      <c r="K6" s="6" t="s">
        <v>7</v>
      </c>
      <c r="L6" s="6"/>
      <c r="M6" s="4"/>
      <c r="N6" s="4"/>
    </row>
    <row r="7" spans="1:14" customHeight="1" ht="40">
      <c r="A7" s="8" t="s">
        <v>1613</v>
      </c>
      <c r="B7" s="4" t="s">
        <v>1611</v>
      </c>
      <c r="C7" s="4" t="s">
        <v>1614</v>
      </c>
      <c r="D7" s="6" t="s">
        <v>309</v>
      </c>
      <c r="E7" s="4"/>
      <c r="F7" s="4"/>
      <c r="G7" s="6">
        <v>4</v>
      </c>
      <c r="H7" s="4" t="s">
        <v>1622</v>
      </c>
      <c r="I7" s="4" t="s">
        <v>1623</v>
      </c>
      <c r="J7" s="4"/>
      <c r="K7" s="6" t="s">
        <v>7</v>
      </c>
      <c r="L7" s="6"/>
      <c r="M7" s="4"/>
      <c r="N7" s="4"/>
    </row>
    <row r="8" spans="1:14" customHeight="1" ht="40">
      <c r="A8" s="9" t="s">
        <v>1624</v>
      </c>
      <c r="B8" s="5" t="s">
        <v>1611</v>
      </c>
      <c r="C8" s="5" t="s">
        <v>1625</v>
      </c>
      <c r="D8" s="7" t="s">
        <v>322</v>
      </c>
      <c r="E8" s="5" t="s">
        <v>1626</v>
      </c>
      <c r="F8" s="5" t="s">
        <v>1627</v>
      </c>
      <c r="G8" s="7">
        <v>1</v>
      </c>
      <c r="H8" s="5" t="s">
        <v>1628</v>
      </c>
      <c r="I8" s="5" t="s">
        <v>1629</v>
      </c>
      <c r="J8" s="5"/>
      <c r="K8" s="7" t="s">
        <v>7</v>
      </c>
      <c r="L8" s="7"/>
      <c r="M8" s="5"/>
      <c r="N8" s="5"/>
    </row>
    <row r="9" spans="1:14" customHeight="1" ht="30">
      <c r="A9" s="9" t="s">
        <v>1624</v>
      </c>
      <c r="B9" s="5" t="s">
        <v>1611</v>
      </c>
      <c r="C9" s="5" t="s">
        <v>1625</v>
      </c>
      <c r="D9" s="7" t="s">
        <v>322</v>
      </c>
      <c r="E9" s="5"/>
      <c r="F9" s="5"/>
      <c r="G9" s="7">
        <v>2</v>
      </c>
      <c r="H9" s="5" t="s">
        <v>1630</v>
      </c>
      <c r="I9" s="5" t="s">
        <v>1631</v>
      </c>
      <c r="J9" s="5"/>
      <c r="K9" s="7" t="s">
        <v>7</v>
      </c>
      <c r="L9" s="7"/>
      <c r="M9" s="5"/>
      <c r="N9" s="5"/>
    </row>
    <row r="10" spans="1:14" customHeight="1" ht="30">
      <c r="A10" s="9" t="s">
        <v>1624</v>
      </c>
      <c r="B10" s="5" t="s">
        <v>1611</v>
      </c>
      <c r="C10" s="5" t="s">
        <v>1625</v>
      </c>
      <c r="D10" s="7" t="s">
        <v>322</v>
      </c>
      <c r="E10" s="5"/>
      <c r="F10" s="5"/>
      <c r="G10" s="7">
        <v>3</v>
      </c>
      <c r="H10" s="5" t="s">
        <v>1632</v>
      </c>
      <c r="I10" s="5" t="s">
        <v>1633</v>
      </c>
      <c r="J10" s="5"/>
      <c r="K10" s="7" t="s">
        <v>7</v>
      </c>
      <c r="L10" s="7"/>
      <c r="M10" s="5"/>
      <c r="N10" s="5"/>
    </row>
    <row r="11" spans="1:14" customHeight="1" ht="30">
      <c r="A11" s="9" t="s">
        <v>1624</v>
      </c>
      <c r="B11" s="5" t="s">
        <v>1611</v>
      </c>
      <c r="C11" s="5" t="s">
        <v>1625</v>
      </c>
      <c r="D11" s="7" t="s">
        <v>322</v>
      </c>
      <c r="E11" s="5"/>
      <c r="F11" s="5"/>
      <c r="G11" s="7">
        <v>4</v>
      </c>
      <c r="H11" s="5" t="s">
        <v>1299</v>
      </c>
      <c r="I11" s="5" t="s">
        <v>1634</v>
      </c>
      <c r="J11" s="5"/>
      <c r="K11" s="7" t="s">
        <v>7</v>
      </c>
      <c r="L11" s="7"/>
      <c r="M11" s="5"/>
      <c r="N11" s="5"/>
    </row>
    <row r="12" spans="1:14" customHeight="1" ht="30">
      <c r="A12" s="8" t="s">
        <v>1635</v>
      </c>
      <c r="B12" s="4" t="s">
        <v>1611</v>
      </c>
      <c r="C12" s="4" t="s">
        <v>1636</v>
      </c>
      <c r="D12" s="6" t="s">
        <v>322</v>
      </c>
      <c r="E12" s="4" t="s">
        <v>1637</v>
      </c>
      <c r="F12" s="4" t="s">
        <v>1638</v>
      </c>
      <c r="G12" s="6">
        <v>1</v>
      </c>
      <c r="H12" s="4" t="s">
        <v>1104</v>
      </c>
      <c r="I12" s="4" t="s">
        <v>1402</v>
      </c>
      <c r="J12" s="4"/>
      <c r="K12" s="6" t="s">
        <v>7</v>
      </c>
      <c r="L12" s="6"/>
      <c r="M12" s="4"/>
      <c r="N12" s="4"/>
    </row>
    <row r="13" spans="1:14" customHeight="1" ht="40">
      <c r="A13" s="8" t="s">
        <v>1635</v>
      </c>
      <c r="B13" s="4" t="s">
        <v>1611</v>
      </c>
      <c r="C13" s="4" t="s">
        <v>1636</v>
      </c>
      <c r="D13" s="6" t="s">
        <v>322</v>
      </c>
      <c r="E13" s="4"/>
      <c r="F13" s="4"/>
      <c r="G13" s="6">
        <v>2</v>
      </c>
      <c r="H13" s="4" t="s">
        <v>1639</v>
      </c>
      <c r="I13" s="4" t="s">
        <v>1640</v>
      </c>
      <c r="J13" s="4"/>
      <c r="K13" s="6" t="s">
        <v>7</v>
      </c>
      <c r="L13" s="6"/>
      <c r="M13" s="4"/>
      <c r="N13" s="4"/>
    </row>
    <row r="14" spans="1:14" customHeight="1" ht="30">
      <c r="A14" s="8" t="s">
        <v>1635</v>
      </c>
      <c r="B14" s="4" t="s">
        <v>1611</v>
      </c>
      <c r="C14" s="4" t="s">
        <v>1636</v>
      </c>
      <c r="D14" s="6" t="s">
        <v>322</v>
      </c>
      <c r="E14" s="4"/>
      <c r="F14" s="4"/>
      <c r="G14" s="6">
        <v>3</v>
      </c>
      <c r="H14" s="4" t="s">
        <v>1641</v>
      </c>
      <c r="I14" s="4" t="s">
        <v>1642</v>
      </c>
      <c r="J14" s="4"/>
      <c r="K14" s="6" t="s">
        <v>7</v>
      </c>
      <c r="L14" s="6"/>
      <c r="M14" s="4"/>
      <c r="N14" s="4"/>
    </row>
    <row r="15" spans="1:14" customHeight="1" ht="40">
      <c r="A15" s="8" t="s">
        <v>1635</v>
      </c>
      <c r="B15" s="4" t="s">
        <v>1611</v>
      </c>
      <c r="C15" s="4" t="s">
        <v>1636</v>
      </c>
      <c r="D15" s="6" t="s">
        <v>322</v>
      </c>
      <c r="E15" s="4"/>
      <c r="F15" s="4"/>
      <c r="G15" s="6">
        <v>4</v>
      </c>
      <c r="H15" s="4" t="s">
        <v>1643</v>
      </c>
      <c r="I15" s="4" t="s">
        <v>1644</v>
      </c>
      <c r="J15" s="4"/>
      <c r="K15" s="6" t="s">
        <v>7</v>
      </c>
      <c r="L15" s="6"/>
      <c r="M15" s="4"/>
      <c r="N15" s="4"/>
    </row>
    <row r="16" spans="1:14" customHeight="1" ht="30">
      <c r="A16" s="8" t="s">
        <v>1635</v>
      </c>
      <c r="B16" s="4" t="s">
        <v>1611</v>
      </c>
      <c r="C16" s="4" t="s">
        <v>1636</v>
      </c>
      <c r="D16" s="6" t="s">
        <v>322</v>
      </c>
      <c r="E16" s="4"/>
      <c r="F16" s="4"/>
      <c r="G16" s="6">
        <v>5</v>
      </c>
      <c r="H16" s="4" t="s">
        <v>1645</v>
      </c>
      <c r="I16" s="4" t="s">
        <v>1646</v>
      </c>
      <c r="J16" s="4"/>
      <c r="K16" s="6" t="s">
        <v>7</v>
      </c>
      <c r="L16" s="6"/>
      <c r="M16" s="4"/>
      <c r="N16" s="4"/>
    </row>
    <row r="17" spans="1:14" customHeight="1" ht="40">
      <c r="A17" s="8" t="s">
        <v>1635</v>
      </c>
      <c r="B17" s="4" t="s">
        <v>1611</v>
      </c>
      <c r="C17" s="4" t="s">
        <v>1636</v>
      </c>
      <c r="D17" s="6" t="s">
        <v>322</v>
      </c>
      <c r="E17" s="4"/>
      <c r="F17" s="4"/>
      <c r="G17" s="6">
        <v>6</v>
      </c>
      <c r="H17" s="4" t="s">
        <v>1647</v>
      </c>
      <c r="I17" s="4" t="s">
        <v>1648</v>
      </c>
      <c r="J17" s="4"/>
      <c r="K17" s="6" t="s">
        <v>7</v>
      </c>
      <c r="L17" s="6"/>
      <c r="M17" s="4"/>
      <c r="N17" s="4"/>
    </row>
    <row r="18" spans="1:14" customHeight="1" ht="40">
      <c r="A18" s="9" t="s">
        <v>1649</v>
      </c>
      <c r="B18" s="5" t="s">
        <v>1611</v>
      </c>
      <c r="C18" s="5" t="s">
        <v>1650</v>
      </c>
      <c r="D18" s="7" t="s">
        <v>309</v>
      </c>
      <c r="E18" s="5" t="s">
        <v>1651</v>
      </c>
      <c r="F18" s="5" t="s">
        <v>1652</v>
      </c>
      <c r="G18" s="7">
        <v>1</v>
      </c>
      <c r="H18" s="5" t="s">
        <v>1653</v>
      </c>
      <c r="I18" s="5" t="s">
        <v>1654</v>
      </c>
      <c r="J18" s="5"/>
      <c r="K18" s="7" t="s">
        <v>7</v>
      </c>
      <c r="L18" s="7"/>
      <c r="M18" s="5"/>
      <c r="N18" s="5"/>
    </row>
    <row r="19" spans="1:14" customHeight="1" ht="40">
      <c r="A19" s="9" t="s">
        <v>1649</v>
      </c>
      <c r="B19" s="5" t="s">
        <v>1611</v>
      </c>
      <c r="C19" s="5" t="s">
        <v>1650</v>
      </c>
      <c r="D19" s="7" t="s">
        <v>309</v>
      </c>
      <c r="E19" s="5"/>
      <c r="F19" s="5"/>
      <c r="G19" s="7">
        <v>2</v>
      </c>
      <c r="H19" s="5" t="s">
        <v>1655</v>
      </c>
      <c r="I19" s="5" t="s">
        <v>1656</v>
      </c>
      <c r="J19" s="5"/>
      <c r="K19" s="7" t="s">
        <v>7</v>
      </c>
      <c r="L19" s="7"/>
      <c r="M19" s="5"/>
      <c r="N19" s="5"/>
    </row>
    <row r="20" spans="1:14" customHeight="1" ht="40">
      <c r="A20" s="9" t="s">
        <v>1649</v>
      </c>
      <c r="B20" s="5" t="s">
        <v>1611</v>
      </c>
      <c r="C20" s="5" t="s">
        <v>1650</v>
      </c>
      <c r="D20" s="7" t="s">
        <v>309</v>
      </c>
      <c r="E20" s="5"/>
      <c r="F20" s="5"/>
      <c r="G20" s="7">
        <v>3</v>
      </c>
      <c r="H20" s="5" t="s">
        <v>1657</v>
      </c>
      <c r="I20" s="5" t="s">
        <v>1658</v>
      </c>
      <c r="J20" s="5"/>
      <c r="K20" s="7" t="s">
        <v>7</v>
      </c>
      <c r="L20" s="7"/>
      <c r="M20" s="5"/>
      <c r="N20" s="5"/>
    </row>
    <row r="21" spans="1:14" customHeight="1" ht="40">
      <c r="A21" s="9" t="s">
        <v>1649</v>
      </c>
      <c r="B21" s="5" t="s">
        <v>1611</v>
      </c>
      <c r="C21" s="5" t="s">
        <v>1650</v>
      </c>
      <c r="D21" s="7" t="s">
        <v>309</v>
      </c>
      <c r="E21" s="5"/>
      <c r="F21" s="5"/>
      <c r="G21" s="7">
        <v>4</v>
      </c>
      <c r="H21" s="5" t="s">
        <v>1659</v>
      </c>
      <c r="I21" s="5" t="s">
        <v>1660</v>
      </c>
      <c r="J21" s="5"/>
      <c r="K21" s="7" t="s">
        <v>7</v>
      </c>
      <c r="L21" s="7"/>
      <c r="M21" s="5"/>
      <c r="N21" s="5"/>
    </row>
    <row r="22" spans="1:14" customHeight="1" ht="30">
      <c r="A22" s="9" t="s">
        <v>1649</v>
      </c>
      <c r="B22" s="5" t="s">
        <v>1611</v>
      </c>
      <c r="C22" s="5" t="s">
        <v>1650</v>
      </c>
      <c r="D22" s="7" t="s">
        <v>309</v>
      </c>
      <c r="E22" s="5"/>
      <c r="F22" s="5"/>
      <c r="G22" s="7">
        <v>5</v>
      </c>
      <c r="H22" s="5" t="s">
        <v>1661</v>
      </c>
      <c r="I22" s="5" t="s">
        <v>1662</v>
      </c>
      <c r="J22" s="5"/>
      <c r="K22" s="7" t="s">
        <v>7</v>
      </c>
      <c r="L22" s="7"/>
      <c r="M22" s="5"/>
      <c r="N22" s="5"/>
    </row>
    <row r="23" spans="1:14" customHeight="1" ht="30">
      <c r="A23" s="8" t="s">
        <v>1663</v>
      </c>
      <c r="B23" s="4" t="s">
        <v>1611</v>
      </c>
      <c r="C23" s="4" t="s">
        <v>1664</v>
      </c>
      <c r="D23" s="6" t="s">
        <v>309</v>
      </c>
      <c r="E23" s="4" t="s">
        <v>1665</v>
      </c>
      <c r="F23" s="4" t="s">
        <v>1666</v>
      </c>
      <c r="G23" s="6">
        <v>1</v>
      </c>
      <c r="H23" s="4" t="s">
        <v>1667</v>
      </c>
      <c r="I23" s="4" t="s">
        <v>1668</v>
      </c>
      <c r="J23" s="4"/>
      <c r="K23" s="6" t="s">
        <v>7</v>
      </c>
      <c r="L23" s="6"/>
      <c r="M23" s="4"/>
      <c r="N23" s="4"/>
    </row>
    <row r="24" spans="1:14" customHeight="1" ht="40">
      <c r="A24" s="8" t="s">
        <v>1663</v>
      </c>
      <c r="B24" s="4" t="s">
        <v>1611</v>
      </c>
      <c r="C24" s="4" t="s">
        <v>1664</v>
      </c>
      <c r="D24" s="6" t="s">
        <v>309</v>
      </c>
      <c r="E24" s="4"/>
      <c r="F24" s="4"/>
      <c r="G24" s="6">
        <v>2</v>
      </c>
      <c r="H24" s="4" t="s">
        <v>1669</v>
      </c>
      <c r="I24" s="4" t="s">
        <v>1670</v>
      </c>
      <c r="J24" s="4"/>
      <c r="K24" s="6" t="s">
        <v>7</v>
      </c>
      <c r="L24" s="6"/>
      <c r="M24" s="4"/>
      <c r="N24" s="4"/>
    </row>
    <row r="25" spans="1:14" customHeight="1" ht="40">
      <c r="A25" s="8" t="s">
        <v>1663</v>
      </c>
      <c r="B25" s="4" t="s">
        <v>1611</v>
      </c>
      <c r="C25" s="4" t="s">
        <v>1664</v>
      </c>
      <c r="D25" s="6" t="s">
        <v>309</v>
      </c>
      <c r="E25" s="4"/>
      <c r="F25" s="4"/>
      <c r="G25" s="6">
        <v>3</v>
      </c>
      <c r="H25" s="4" t="s">
        <v>1671</v>
      </c>
      <c r="I25" s="4" t="s">
        <v>1672</v>
      </c>
      <c r="J25" s="4"/>
      <c r="K25" s="6" t="s">
        <v>7</v>
      </c>
      <c r="L25" s="6"/>
      <c r="M25" s="4"/>
      <c r="N25" s="4"/>
    </row>
    <row r="26" spans="1:14" customHeight="1" ht="40">
      <c r="A26" s="8" t="s">
        <v>1663</v>
      </c>
      <c r="B26" s="4" t="s">
        <v>1611</v>
      </c>
      <c r="C26" s="4" t="s">
        <v>1664</v>
      </c>
      <c r="D26" s="6" t="s">
        <v>309</v>
      </c>
      <c r="E26" s="4"/>
      <c r="F26" s="4"/>
      <c r="G26" s="6">
        <v>4</v>
      </c>
      <c r="H26" s="4" t="s">
        <v>1673</v>
      </c>
      <c r="I26" s="4" t="s">
        <v>1674</v>
      </c>
      <c r="J26" s="4"/>
      <c r="K26" s="6" t="s">
        <v>7</v>
      </c>
      <c r="L26" s="6"/>
      <c r="M26" s="4"/>
      <c r="N26" s="4"/>
    </row>
    <row r="27" spans="1:14" customHeight="1" ht="30">
      <c r="A27" s="8" t="s">
        <v>1663</v>
      </c>
      <c r="B27" s="4" t="s">
        <v>1611</v>
      </c>
      <c r="C27" s="4" t="s">
        <v>1664</v>
      </c>
      <c r="D27" s="6" t="s">
        <v>309</v>
      </c>
      <c r="E27" s="4"/>
      <c r="F27" s="4"/>
      <c r="G27" s="6">
        <v>5</v>
      </c>
      <c r="H27" s="4" t="s">
        <v>1299</v>
      </c>
      <c r="I27" s="4" t="s">
        <v>1675</v>
      </c>
      <c r="J27" s="4"/>
      <c r="K27" s="6" t="s">
        <v>7</v>
      </c>
      <c r="L27" s="6"/>
      <c r="M27" s="4"/>
      <c r="N27" s="4"/>
    </row>
    <row r="28" spans="1:14" customHeight="1" ht="40">
      <c r="A28" s="9" t="s">
        <v>1676</v>
      </c>
      <c r="B28" s="5" t="s">
        <v>1611</v>
      </c>
      <c r="C28" s="5" t="s">
        <v>1677</v>
      </c>
      <c r="D28" s="7" t="s">
        <v>322</v>
      </c>
      <c r="E28" s="5" t="s">
        <v>1305</v>
      </c>
      <c r="F28" s="5" t="s">
        <v>1678</v>
      </c>
      <c r="G28" s="7">
        <v>1</v>
      </c>
      <c r="H28" s="5" t="s">
        <v>1679</v>
      </c>
      <c r="I28" s="5" t="s">
        <v>1680</v>
      </c>
      <c r="J28" s="5"/>
      <c r="K28" s="7" t="s">
        <v>7</v>
      </c>
      <c r="L28" s="7"/>
      <c r="M28" s="5"/>
      <c r="N28" s="5"/>
    </row>
    <row r="29" spans="1:14" customHeight="1" ht="30">
      <c r="A29" s="9" t="s">
        <v>1676</v>
      </c>
      <c r="B29" s="5" t="s">
        <v>1611</v>
      </c>
      <c r="C29" s="5" t="s">
        <v>1677</v>
      </c>
      <c r="D29" s="7" t="s">
        <v>322</v>
      </c>
      <c r="E29" s="5"/>
      <c r="F29" s="5"/>
      <c r="G29" s="7">
        <v>2</v>
      </c>
      <c r="H29" s="5" t="s">
        <v>1681</v>
      </c>
      <c r="I29" s="5" t="s">
        <v>1682</v>
      </c>
      <c r="J29" s="5"/>
      <c r="K29" s="7" t="s">
        <v>7</v>
      </c>
      <c r="L29" s="7"/>
      <c r="M29" s="5"/>
      <c r="N29" s="5"/>
    </row>
    <row r="30" spans="1:14" customHeight="1" ht="30">
      <c r="A30" s="9" t="s">
        <v>1676</v>
      </c>
      <c r="B30" s="5" t="s">
        <v>1611</v>
      </c>
      <c r="C30" s="5" t="s">
        <v>1677</v>
      </c>
      <c r="D30" s="7" t="s">
        <v>322</v>
      </c>
      <c r="E30" s="5"/>
      <c r="F30" s="5"/>
      <c r="G30" s="7">
        <v>3</v>
      </c>
      <c r="H30" s="5" t="s">
        <v>1683</v>
      </c>
      <c r="I30" s="5" t="s">
        <v>1682</v>
      </c>
      <c r="J30" s="5"/>
      <c r="K30" s="7" t="s">
        <v>7</v>
      </c>
      <c r="L30" s="7"/>
      <c r="M30" s="5"/>
      <c r="N30" s="5"/>
    </row>
    <row r="31" spans="1:14" customHeight="1" ht="30">
      <c r="A31" s="9" t="s">
        <v>1676</v>
      </c>
      <c r="B31" s="5" t="s">
        <v>1611</v>
      </c>
      <c r="C31" s="5" t="s">
        <v>1677</v>
      </c>
      <c r="D31" s="7" t="s">
        <v>322</v>
      </c>
      <c r="E31" s="5"/>
      <c r="F31" s="5"/>
      <c r="G31" s="7">
        <v>4</v>
      </c>
      <c r="H31" s="5" t="s">
        <v>1403</v>
      </c>
      <c r="I31" s="5" t="s">
        <v>1682</v>
      </c>
      <c r="J31" s="5"/>
      <c r="K31" s="7" t="s">
        <v>7</v>
      </c>
      <c r="L31" s="7"/>
      <c r="M31" s="5"/>
      <c r="N31" s="5"/>
    </row>
    <row r="32" spans="1:14" customHeight="1" ht="40">
      <c r="A32" s="9" t="s">
        <v>1676</v>
      </c>
      <c r="B32" s="5" t="s">
        <v>1611</v>
      </c>
      <c r="C32" s="5" t="s">
        <v>1677</v>
      </c>
      <c r="D32" s="7" t="s">
        <v>322</v>
      </c>
      <c r="E32" s="5"/>
      <c r="F32" s="5"/>
      <c r="G32" s="7">
        <v>5</v>
      </c>
      <c r="H32" s="5" t="s">
        <v>1405</v>
      </c>
      <c r="I32" s="5" t="s">
        <v>1684</v>
      </c>
      <c r="J32" s="5"/>
      <c r="K32" s="7" t="s">
        <v>7</v>
      </c>
      <c r="L32" s="7"/>
      <c r="M32" s="5"/>
      <c r="N32" s="5"/>
    </row>
    <row r="33" spans="1:14" customHeight="1" ht="40">
      <c r="A33" s="9" t="s">
        <v>1676</v>
      </c>
      <c r="B33" s="5" t="s">
        <v>1611</v>
      </c>
      <c r="C33" s="5" t="s">
        <v>1677</v>
      </c>
      <c r="D33" s="7" t="s">
        <v>322</v>
      </c>
      <c r="E33" s="5"/>
      <c r="F33" s="5"/>
      <c r="G33" s="7">
        <v>6</v>
      </c>
      <c r="H33" s="5" t="s">
        <v>1685</v>
      </c>
      <c r="I33" s="5" t="s">
        <v>1686</v>
      </c>
      <c r="J33" s="5"/>
      <c r="K33" s="7" t="s">
        <v>7</v>
      </c>
      <c r="L33" s="7"/>
      <c r="M33" s="5"/>
      <c r="N33" s="5"/>
    </row>
    <row r="34" spans="1:14" customHeight="1" ht="40">
      <c r="A34" s="8" t="s">
        <v>1687</v>
      </c>
      <c r="B34" s="4" t="s">
        <v>1611</v>
      </c>
      <c r="C34" s="4" t="s">
        <v>1688</v>
      </c>
      <c r="D34" s="6" t="s">
        <v>309</v>
      </c>
      <c r="E34" s="4" t="s">
        <v>1689</v>
      </c>
      <c r="F34" s="4" t="s">
        <v>1690</v>
      </c>
      <c r="G34" s="6">
        <v>1</v>
      </c>
      <c r="H34" s="4" t="s">
        <v>1691</v>
      </c>
      <c r="I34" s="4" t="s">
        <v>1692</v>
      </c>
      <c r="J34" s="4"/>
      <c r="K34" s="6" t="s">
        <v>7</v>
      </c>
      <c r="L34" s="6"/>
      <c r="M34" s="4"/>
      <c r="N34" s="4"/>
    </row>
    <row r="35" spans="1:14" customHeight="1" ht="40">
      <c r="A35" s="8" t="s">
        <v>1687</v>
      </c>
      <c r="B35" s="4" t="s">
        <v>1611</v>
      </c>
      <c r="C35" s="4" t="s">
        <v>1688</v>
      </c>
      <c r="D35" s="6" t="s">
        <v>309</v>
      </c>
      <c r="E35" s="4"/>
      <c r="F35" s="4"/>
      <c r="G35" s="6">
        <v>2</v>
      </c>
      <c r="H35" s="4" t="s">
        <v>1693</v>
      </c>
      <c r="I35" s="4" t="s">
        <v>1694</v>
      </c>
      <c r="J35" s="4"/>
      <c r="K35" s="6" t="s">
        <v>7</v>
      </c>
      <c r="L35" s="6"/>
      <c r="M35" s="4"/>
      <c r="N35" s="4"/>
    </row>
    <row r="36" spans="1:14" customHeight="1" ht="53">
      <c r="A36" s="8" t="s">
        <v>1687</v>
      </c>
      <c r="B36" s="4" t="s">
        <v>1611</v>
      </c>
      <c r="C36" s="4" t="s">
        <v>1688</v>
      </c>
      <c r="D36" s="6" t="s">
        <v>309</v>
      </c>
      <c r="E36" s="4"/>
      <c r="F36" s="4"/>
      <c r="G36" s="6">
        <v>3</v>
      </c>
      <c r="H36" s="4" t="s">
        <v>1695</v>
      </c>
      <c r="I36" s="4" t="s">
        <v>1696</v>
      </c>
      <c r="J36" s="4"/>
      <c r="K36" s="6" t="s">
        <v>7</v>
      </c>
      <c r="L36" s="6"/>
      <c r="M36" s="4"/>
      <c r="N36" s="4"/>
    </row>
    <row r="37" spans="1:14" customHeight="1" ht="40">
      <c r="A37" s="8" t="s">
        <v>1687</v>
      </c>
      <c r="B37" s="4" t="s">
        <v>1611</v>
      </c>
      <c r="C37" s="4" t="s">
        <v>1688</v>
      </c>
      <c r="D37" s="6" t="s">
        <v>309</v>
      </c>
      <c r="E37" s="4"/>
      <c r="F37" s="4"/>
      <c r="G37" s="6">
        <v>4</v>
      </c>
      <c r="H37" s="4" t="s">
        <v>1697</v>
      </c>
      <c r="I37" s="4" t="s">
        <v>1698</v>
      </c>
      <c r="J37" s="4"/>
      <c r="K37" s="6" t="s">
        <v>7</v>
      </c>
      <c r="L37" s="6"/>
      <c r="M37" s="4"/>
      <c r="N37" s="4"/>
    </row>
    <row r="38" spans="1:14" customHeight="1" ht="40">
      <c r="A38" s="9" t="s">
        <v>1699</v>
      </c>
      <c r="B38" s="5" t="s">
        <v>1611</v>
      </c>
      <c r="C38" s="5" t="s">
        <v>1700</v>
      </c>
      <c r="D38" s="7" t="s">
        <v>309</v>
      </c>
      <c r="E38" s="5" t="s">
        <v>1701</v>
      </c>
      <c r="F38" s="5" t="s">
        <v>1702</v>
      </c>
      <c r="G38" s="7">
        <v>1</v>
      </c>
      <c r="H38" s="5" t="s">
        <v>1703</v>
      </c>
      <c r="I38" s="5" t="s">
        <v>1704</v>
      </c>
      <c r="J38" s="5"/>
      <c r="K38" s="7" t="s">
        <v>7</v>
      </c>
      <c r="L38" s="7"/>
      <c r="M38" s="5"/>
      <c r="N38" s="5"/>
    </row>
    <row r="39" spans="1:14" customHeight="1" ht="40">
      <c r="A39" s="9" t="s">
        <v>1699</v>
      </c>
      <c r="B39" s="5" t="s">
        <v>1611</v>
      </c>
      <c r="C39" s="5" t="s">
        <v>1700</v>
      </c>
      <c r="D39" s="7" t="s">
        <v>309</v>
      </c>
      <c r="E39" s="5"/>
      <c r="F39" s="5"/>
      <c r="G39" s="7">
        <v>2</v>
      </c>
      <c r="H39" s="5" t="s">
        <v>1705</v>
      </c>
      <c r="I39" s="5" t="s">
        <v>1706</v>
      </c>
      <c r="J39" s="5"/>
      <c r="K39" s="7" t="s">
        <v>7</v>
      </c>
      <c r="L39" s="7"/>
      <c r="M39" s="5"/>
      <c r="N39" s="5"/>
    </row>
    <row r="40" spans="1:14" customHeight="1" ht="53">
      <c r="A40" s="9" t="s">
        <v>1699</v>
      </c>
      <c r="B40" s="5" t="s">
        <v>1611</v>
      </c>
      <c r="C40" s="5" t="s">
        <v>1700</v>
      </c>
      <c r="D40" s="7" t="s">
        <v>309</v>
      </c>
      <c r="E40" s="5"/>
      <c r="F40" s="5"/>
      <c r="G40" s="7">
        <v>3</v>
      </c>
      <c r="H40" s="5" t="s">
        <v>1707</v>
      </c>
      <c r="I40" s="5" t="s">
        <v>1708</v>
      </c>
      <c r="J40" s="5"/>
      <c r="K40" s="7" t="s">
        <v>7</v>
      </c>
      <c r="L40" s="7"/>
      <c r="M40" s="5"/>
      <c r="N40" s="5"/>
    </row>
    <row r="41" spans="1:14" customHeight="1" ht="40">
      <c r="A41" s="9" t="s">
        <v>1699</v>
      </c>
      <c r="B41" s="5" t="s">
        <v>1611</v>
      </c>
      <c r="C41" s="5" t="s">
        <v>1700</v>
      </c>
      <c r="D41" s="7" t="s">
        <v>309</v>
      </c>
      <c r="E41" s="5"/>
      <c r="F41" s="5"/>
      <c r="G41" s="7">
        <v>4</v>
      </c>
      <c r="H41" s="5" t="s">
        <v>1709</v>
      </c>
      <c r="I41" s="5" t="s">
        <v>1710</v>
      </c>
      <c r="J41" s="5"/>
      <c r="K41" s="7" t="s">
        <v>7</v>
      </c>
      <c r="L41" s="7"/>
      <c r="M41" s="5"/>
      <c r="N41" s="5"/>
    </row>
    <row r="42" spans="1:14" customHeight="1" ht="40">
      <c r="A42" s="9" t="s">
        <v>1699</v>
      </c>
      <c r="B42" s="5" t="s">
        <v>1611</v>
      </c>
      <c r="C42" s="5" t="s">
        <v>1700</v>
      </c>
      <c r="D42" s="7" t="s">
        <v>309</v>
      </c>
      <c r="E42" s="5"/>
      <c r="F42" s="5"/>
      <c r="G42" s="7">
        <v>5</v>
      </c>
      <c r="H42" s="5" t="s">
        <v>1711</v>
      </c>
      <c r="I42" s="5" t="s">
        <v>1712</v>
      </c>
      <c r="J42" s="5"/>
      <c r="K42" s="7" t="s">
        <v>7</v>
      </c>
      <c r="L42" s="7"/>
      <c r="M42" s="5"/>
      <c r="N42" s="5"/>
    </row>
    <row r="43" spans="1:14" customHeight="1" ht="40">
      <c r="A43" s="9" t="s">
        <v>1699</v>
      </c>
      <c r="B43" s="5" t="s">
        <v>1611</v>
      </c>
      <c r="C43" s="5" t="s">
        <v>1700</v>
      </c>
      <c r="D43" s="7" t="s">
        <v>309</v>
      </c>
      <c r="E43" s="5"/>
      <c r="F43" s="5"/>
      <c r="G43" s="7">
        <v>6</v>
      </c>
      <c r="H43" s="5" t="s">
        <v>1713</v>
      </c>
      <c r="I43" s="5" t="s">
        <v>1714</v>
      </c>
      <c r="J43" s="5"/>
      <c r="K43" s="7" t="s">
        <v>7</v>
      </c>
      <c r="L43" s="7"/>
      <c r="M43" s="5"/>
      <c r="N43" s="5"/>
    </row>
    <row r="44" spans="1:14" customHeight="1" ht="40">
      <c r="A44" s="8" t="s">
        <v>1715</v>
      </c>
      <c r="B44" s="4" t="s">
        <v>1611</v>
      </c>
      <c r="C44" s="4" t="s">
        <v>1716</v>
      </c>
      <c r="D44" s="6" t="s">
        <v>441</v>
      </c>
      <c r="E44" s="4" t="s">
        <v>1717</v>
      </c>
      <c r="F44" s="4" t="s">
        <v>1718</v>
      </c>
      <c r="G44" s="6">
        <v>1</v>
      </c>
      <c r="H44" s="4" t="s">
        <v>1719</v>
      </c>
      <c r="I44" s="4" t="s">
        <v>1720</v>
      </c>
      <c r="J44" s="4"/>
      <c r="K44" s="6" t="s">
        <v>7</v>
      </c>
      <c r="L44" s="6"/>
      <c r="M44" s="4"/>
      <c r="N44" s="4"/>
    </row>
    <row r="45" spans="1:14" customHeight="1" ht="30">
      <c r="A45" s="8" t="s">
        <v>1715</v>
      </c>
      <c r="B45" s="4" t="s">
        <v>1611</v>
      </c>
      <c r="C45" s="4" t="s">
        <v>1716</v>
      </c>
      <c r="D45" s="6" t="s">
        <v>441</v>
      </c>
      <c r="E45" s="4"/>
      <c r="F45" s="4"/>
      <c r="G45" s="6">
        <v>2</v>
      </c>
      <c r="H45" s="4" t="s">
        <v>1721</v>
      </c>
      <c r="I45" s="4" t="s">
        <v>1722</v>
      </c>
      <c r="J45" s="4"/>
      <c r="K45" s="6" t="s">
        <v>7</v>
      </c>
      <c r="L45" s="6"/>
      <c r="M45" s="4"/>
      <c r="N45" s="4"/>
    </row>
    <row r="46" spans="1:14" customHeight="1" ht="30">
      <c r="A46" s="8" t="s">
        <v>1715</v>
      </c>
      <c r="B46" s="4" t="s">
        <v>1611</v>
      </c>
      <c r="C46" s="4" t="s">
        <v>1716</v>
      </c>
      <c r="D46" s="6" t="s">
        <v>441</v>
      </c>
      <c r="E46" s="4"/>
      <c r="F46" s="4"/>
      <c r="G46" s="6">
        <v>3</v>
      </c>
      <c r="H46" s="4" t="s">
        <v>1723</v>
      </c>
      <c r="I46" s="4" t="s">
        <v>1724</v>
      </c>
      <c r="J46" s="4"/>
      <c r="K46" s="6" t="s">
        <v>7</v>
      </c>
      <c r="L46" s="6"/>
      <c r="M46" s="4"/>
      <c r="N46" s="4"/>
    </row>
    <row r="47" spans="1:14" customHeight="1" ht="30">
      <c r="A47" s="8" t="s">
        <v>1715</v>
      </c>
      <c r="B47" s="4" t="s">
        <v>1611</v>
      </c>
      <c r="C47" s="4" t="s">
        <v>1716</v>
      </c>
      <c r="D47" s="6" t="s">
        <v>441</v>
      </c>
      <c r="E47" s="4"/>
      <c r="F47" s="4"/>
      <c r="G47" s="6">
        <v>4</v>
      </c>
      <c r="H47" s="4" t="s">
        <v>1725</v>
      </c>
      <c r="I47" s="4" t="s">
        <v>1726</v>
      </c>
      <c r="J47" s="4"/>
      <c r="K47" s="6" t="s">
        <v>7</v>
      </c>
      <c r="L47" s="6"/>
      <c r="M47" s="4"/>
      <c r="N47" s="4"/>
    </row>
    <row r="48" spans="1:14" customHeight="1" ht="40">
      <c r="A48" s="8" t="s">
        <v>1715</v>
      </c>
      <c r="B48" s="4" t="s">
        <v>1611</v>
      </c>
      <c r="C48" s="4" t="s">
        <v>1716</v>
      </c>
      <c r="D48" s="6" t="s">
        <v>441</v>
      </c>
      <c r="E48" s="4"/>
      <c r="F48" s="4"/>
      <c r="G48" s="6">
        <v>5</v>
      </c>
      <c r="H48" s="4" t="s">
        <v>1727</v>
      </c>
      <c r="I48" s="4" t="s">
        <v>1728</v>
      </c>
      <c r="J48" s="4"/>
      <c r="K48" s="6" t="s">
        <v>7</v>
      </c>
      <c r="L48" s="6"/>
      <c r="M48" s="4"/>
      <c r="N48" s="4"/>
    </row>
    <row r="49" spans="1:14" customHeight="1" ht="30">
      <c r="A49" s="8" t="s">
        <v>1715</v>
      </c>
      <c r="B49" s="4" t="s">
        <v>1611</v>
      </c>
      <c r="C49" s="4" t="s">
        <v>1716</v>
      </c>
      <c r="D49" s="6" t="s">
        <v>441</v>
      </c>
      <c r="E49" s="4"/>
      <c r="F49" s="4"/>
      <c r="G49" s="6">
        <v>6</v>
      </c>
      <c r="H49" s="4" t="s">
        <v>1729</v>
      </c>
      <c r="I49" s="4" t="s">
        <v>1730</v>
      </c>
      <c r="J49" s="4"/>
      <c r="K49" s="6" t="s">
        <v>7</v>
      </c>
      <c r="L49" s="6"/>
      <c r="M49" s="4"/>
      <c r="N49" s="4"/>
    </row>
  </sheetData>
  <autoFilter ref="A3:N49"/>
  <mergeCells>
    <mergeCell ref="A1:N1"/>
    <mergeCell ref="A2:N2"/>
  </mergeCells>
  <conditionalFormatting sqref="K4:K49">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9">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9">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9">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9">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61"/>
  <sheetViews>
    <sheetView tabSelected="0" workbookViewId="0" showGridLines="true" showRowColHeaders="1">
      <pane xSplit="2" ySplit="3" topLeftCell="C4" activePane="bottomRight" state="frozen"/>
      <selection pane="topRight"/>
      <selection pane="bottomLeft"/>
      <selection pane="bottomRight" activeCell="L4" sqref="L4:L61"/>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93</v>
      </c>
    </row>
    <row r="2" spans="1:14" customHeight="1" ht="30">
      <c r="A2" s="2" t="s">
        <v>1731</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53">
      <c r="A4" s="8" t="s">
        <v>1732</v>
      </c>
      <c r="B4" s="4" t="s">
        <v>93</v>
      </c>
      <c r="C4" s="4" t="s">
        <v>1733</v>
      </c>
      <c r="D4" s="6" t="s">
        <v>322</v>
      </c>
      <c r="E4" s="4" t="s">
        <v>1734</v>
      </c>
      <c r="F4" s="4" t="s">
        <v>1735</v>
      </c>
      <c r="G4" s="6">
        <v>1</v>
      </c>
      <c r="H4" s="4" t="s">
        <v>1736</v>
      </c>
      <c r="I4" s="4" t="s">
        <v>1737</v>
      </c>
      <c r="J4" s="4"/>
      <c r="K4" s="6" t="s">
        <v>7</v>
      </c>
      <c r="L4" s="6"/>
      <c r="M4" s="4"/>
      <c r="N4" s="4"/>
    </row>
    <row r="5" spans="1:14" customHeight="1" ht="40">
      <c r="A5" s="8" t="s">
        <v>1732</v>
      </c>
      <c r="B5" s="4" t="s">
        <v>93</v>
      </c>
      <c r="C5" s="4" t="s">
        <v>1733</v>
      </c>
      <c r="D5" s="6" t="s">
        <v>322</v>
      </c>
      <c r="E5" s="4"/>
      <c r="F5" s="4"/>
      <c r="G5" s="6">
        <v>2</v>
      </c>
      <c r="H5" s="4" t="s">
        <v>1738</v>
      </c>
      <c r="I5" s="4" t="s">
        <v>1739</v>
      </c>
      <c r="J5" s="4"/>
      <c r="K5" s="6" t="s">
        <v>7</v>
      </c>
      <c r="L5" s="6"/>
      <c r="M5" s="4"/>
      <c r="N5" s="4"/>
    </row>
    <row r="6" spans="1:14" customHeight="1" ht="40">
      <c r="A6" s="8" t="s">
        <v>1732</v>
      </c>
      <c r="B6" s="4" t="s">
        <v>93</v>
      </c>
      <c r="C6" s="4" t="s">
        <v>1733</v>
      </c>
      <c r="D6" s="6" t="s">
        <v>322</v>
      </c>
      <c r="E6" s="4"/>
      <c r="F6" s="4"/>
      <c r="G6" s="6">
        <v>3</v>
      </c>
      <c r="H6" s="4" t="s">
        <v>1740</v>
      </c>
      <c r="I6" s="4" t="s">
        <v>1741</v>
      </c>
      <c r="J6" s="4"/>
      <c r="K6" s="6" t="s">
        <v>7</v>
      </c>
      <c r="L6" s="6"/>
      <c r="M6" s="4"/>
      <c r="N6" s="4"/>
    </row>
    <row r="7" spans="1:14" customHeight="1" ht="30">
      <c r="A7" s="8" t="s">
        <v>1732</v>
      </c>
      <c r="B7" s="4" t="s">
        <v>93</v>
      </c>
      <c r="C7" s="4" t="s">
        <v>1733</v>
      </c>
      <c r="D7" s="6" t="s">
        <v>322</v>
      </c>
      <c r="E7" s="4"/>
      <c r="F7" s="4"/>
      <c r="G7" s="6">
        <v>4</v>
      </c>
      <c r="H7" s="4" t="s">
        <v>1742</v>
      </c>
      <c r="I7" s="4" t="s">
        <v>1743</v>
      </c>
      <c r="J7" s="4"/>
      <c r="K7" s="6" t="s">
        <v>7</v>
      </c>
      <c r="L7" s="6"/>
      <c r="M7" s="4"/>
      <c r="N7" s="4"/>
    </row>
    <row r="8" spans="1:14" customHeight="1" ht="30">
      <c r="A8" s="8" t="s">
        <v>1732</v>
      </c>
      <c r="B8" s="4" t="s">
        <v>93</v>
      </c>
      <c r="C8" s="4" t="s">
        <v>1733</v>
      </c>
      <c r="D8" s="6" t="s">
        <v>322</v>
      </c>
      <c r="E8" s="4"/>
      <c r="F8" s="4"/>
      <c r="G8" s="6">
        <v>5</v>
      </c>
      <c r="H8" s="4" t="s">
        <v>1744</v>
      </c>
      <c r="I8" s="4" t="s">
        <v>1745</v>
      </c>
      <c r="J8" s="4"/>
      <c r="K8" s="6" t="s">
        <v>7</v>
      </c>
      <c r="L8" s="6"/>
      <c r="M8" s="4"/>
      <c r="N8" s="4"/>
    </row>
    <row r="9" spans="1:14" customHeight="1" ht="30">
      <c r="A9" s="8" t="s">
        <v>1732</v>
      </c>
      <c r="B9" s="4" t="s">
        <v>93</v>
      </c>
      <c r="C9" s="4" t="s">
        <v>1733</v>
      </c>
      <c r="D9" s="6" t="s">
        <v>322</v>
      </c>
      <c r="E9" s="4"/>
      <c r="F9" s="4"/>
      <c r="G9" s="6">
        <v>6</v>
      </c>
      <c r="H9" s="4" t="s">
        <v>1746</v>
      </c>
      <c r="I9" s="4" t="s">
        <v>1607</v>
      </c>
      <c r="J9" s="4"/>
      <c r="K9" s="6" t="s">
        <v>7</v>
      </c>
      <c r="L9" s="6"/>
      <c r="M9" s="4"/>
      <c r="N9" s="4"/>
    </row>
    <row r="10" spans="1:14" customHeight="1" ht="40">
      <c r="A10" s="8" t="s">
        <v>1732</v>
      </c>
      <c r="B10" s="4" t="s">
        <v>93</v>
      </c>
      <c r="C10" s="4" t="s">
        <v>1733</v>
      </c>
      <c r="D10" s="6" t="s">
        <v>322</v>
      </c>
      <c r="E10" s="4"/>
      <c r="F10" s="4"/>
      <c r="G10" s="6">
        <v>7</v>
      </c>
      <c r="H10" s="4" t="s">
        <v>1747</v>
      </c>
      <c r="I10" s="4" t="s">
        <v>1748</v>
      </c>
      <c r="J10" s="4"/>
      <c r="K10" s="6" t="s">
        <v>7</v>
      </c>
      <c r="L10" s="6"/>
      <c r="M10" s="4"/>
      <c r="N10" s="4"/>
    </row>
    <row r="11" spans="1:14" customHeight="1" ht="30">
      <c r="A11" s="8" t="s">
        <v>1732</v>
      </c>
      <c r="B11" s="4" t="s">
        <v>93</v>
      </c>
      <c r="C11" s="4" t="s">
        <v>1733</v>
      </c>
      <c r="D11" s="6" t="s">
        <v>322</v>
      </c>
      <c r="E11" s="4"/>
      <c r="F11" s="4"/>
      <c r="G11" s="6">
        <v>8</v>
      </c>
      <c r="H11" s="4" t="s">
        <v>1749</v>
      </c>
      <c r="I11" s="4" t="s">
        <v>1750</v>
      </c>
      <c r="J11" s="4"/>
      <c r="K11" s="6" t="s">
        <v>7</v>
      </c>
      <c r="L11" s="6"/>
      <c r="M11" s="4"/>
      <c r="N11" s="4"/>
    </row>
    <row r="12" spans="1:14" customHeight="1" ht="40">
      <c r="A12" s="8" t="s">
        <v>1732</v>
      </c>
      <c r="B12" s="4" t="s">
        <v>93</v>
      </c>
      <c r="C12" s="4" t="s">
        <v>1733</v>
      </c>
      <c r="D12" s="6" t="s">
        <v>322</v>
      </c>
      <c r="E12" s="4"/>
      <c r="F12" s="4"/>
      <c r="G12" s="6">
        <v>9</v>
      </c>
      <c r="H12" s="4" t="s">
        <v>1751</v>
      </c>
      <c r="I12" s="4" t="s">
        <v>1752</v>
      </c>
      <c r="J12" s="4"/>
      <c r="K12" s="6" t="s">
        <v>7</v>
      </c>
      <c r="L12" s="6"/>
      <c r="M12" s="4"/>
      <c r="N12" s="4"/>
    </row>
    <row r="13" spans="1:14" customHeight="1" ht="30">
      <c r="A13" s="8" t="s">
        <v>1732</v>
      </c>
      <c r="B13" s="4" t="s">
        <v>93</v>
      </c>
      <c r="C13" s="4" t="s">
        <v>1733</v>
      </c>
      <c r="D13" s="6" t="s">
        <v>322</v>
      </c>
      <c r="E13" s="4"/>
      <c r="F13" s="4"/>
      <c r="G13" s="6">
        <v>10</v>
      </c>
      <c r="H13" s="4" t="s">
        <v>1753</v>
      </c>
      <c r="I13" s="4" t="s">
        <v>1754</v>
      </c>
      <c r="J13" s="4"/>
      <c r="K13" s="6" t="s">
        <v>7</v>
      </c>
      <c r="L13" s="6"/>
      <c r="M13" s="4"/>
      <c r="N13" s="4"/>
    </row>
    <row r="14" spans="1:14" customHeight="1" ht="40">
      <c r="A14" s="8" t="s">
        <v>1732</v>
      </c>
      <c r="B14" s="4" t="s">
        <v>93</v>
      </c>
      <c r="C14" s="4" t="s">
        <v>1733</v>
      </c>
      <c r="D14" s="6" t="s">
        <v>322</v>
      </c>
      <c r="E14" s="4"/>
      <c r="F14" s="4"/>
      <c r="G14" s="6">
        <v>11</v>
      </c>
      <c r="H14" s="4" t="s">
        <v>1755</v>
      </c>
      <c r="I14" s="4" t="s">
        <v>1756</v>
      </c>
      <c r="J14" s="4"/>
      <c r="K14" s="6" t="s">
        <v>7</v>
      </c>
      <c r="L14" s="6"/>
      <c r="M14" s="4"/>
      <c r="N14" s="4"/>
    </row>
    <row r="15" spans="1:14" customHeight="1" ht="53">
      <c r="A15" s="8" t="s">
        <v>1732</v>
      </c>
      <c r="B15" s="4" t="s">
        <v>93</v>
      </c>
      <c r="C15" s="4" t="s">
        <v>1733</v>
      </c>
      <c r="D15" s="6" t="s">
        <v>322</v>
      </c>
      <c r="E15" s="4"/>
      <c r="F15" s="4"/>
      <c r="G15" s="6">
        <v>12</v>
      </c>
      <c r="H15" s="4" t="s">
        <v>1757</v>
      </c>
      <c r="I15" s="4" t="s">
        <v>1758</v>
      </c>
      <c r="J15" s="4"/>
      <c r="K15" s="6" t="s">
        <v>7</v>
      </c>
      <c r="L15" s="6"/>
      <c r="M15" s="4"/>
      <c r="N15" s="4"/>
    </row>
    <row r="16" spans="1:14" customHeight="1" ht="40">
      <c r="A16" s="9" t="s">
        <v>1759</v>
      </c>
      <c r="B16" s="5" t="s">
        <v>93</v>
      </c>
      <c r="C16" s="5" t="s">
        <v>1760</v>
      </c>
      <c r="D16" s="7" t="s">
        <v>322</v>
      </c>
      <c r="E16" s="5" t="s">
        <v>1761</v>
      </c>
      <c r="F16" s="5" t="s">
        <v>1762</v>
      </c>
      <c r="G16" s="7">
        <v>1</v>
      </c>
      <c r="H16" s="5" t="s">
        <v>1763</v>
      </c>
      <c r="I16" s="5" t="s">
        <v>1764</v>
      </c>
      <c r="J16" s="5"/>
      <c r="K16" s="7" t="s">
        <v>7</v>
      </c>
      <c r="L16" s="7"/>
      <c r="M16" s="5"/>
      <c r="N16" s="5"/>
    </row>
    <row r="17" spans="1:14" customHeight="1" ht="30">
      <c r="A17" s="9" t="s">
        <v>1759</v>
      </c>
      <c r="B17" s="5" t="s">
        <v>93</v>
      </c>
      <c r="C17" s="5" t="s">
        <v>1760</v>
      </c>
      <c r="D17" s="7" t="s">
        <v>322</v>
      </c>
      <c r="E17" s="5"/>
      <c r="F17" s="5"/>
      <c r="G17" s="7">
        <v>2</v>
      </c>
      <c r="H17" s="5" t="s">
        <v>1765</v>
      </c>
      <c r="I17" s="5" t="s">
        <v>1766</v>
      </c>
      <c r="J17" s="5"/>
      <c r="K17" s="7" t="s">
        <v>7</v>
      </c>
      <c r="L17" s="7"/>
      <c r="M17" s="5"/>
      <c r="N17" s="5"/>
    </row>
    <row r="18" spans="1:14" customHeight="1" ht="30">
      <c r="A18" s="9" t="s">
        <v>1759</v>
      </c>
      <c r="B18" s="5" t="s">
        <v>93</v>
      </c>
      <c r="C18" s="5" t="s">
        <v>1760</v>
      </c>
      <c r="D18" s="7" t="s">
        <v>322</v>
      </c>
      <c r="E18" s="5"/>
      <c r="F18" s="5"/>
      <c r="G18" s="7">
        <v>3</v>
      </c>
      <c r="H18" s="5" t="s">
        <v>700</v>
      </c>
      <c r="I18" s="5" t="s">
        <v>1767</v>
      </c>
      <c r="J18" s="5"/>
      <c r="K18" s="7" t="s">
        <v>7</v>
      </c>
      <c r="L18" s="7"/>
      <c r="M18" s="5"/>
      <c r="N18" s="5"/>
    </row>
    <row r="19" spans="1:14" customHeight="1" ht="30">
      <c r="A19" s="9" t="s">
        <v>1759</v>
      </c>
      <c r="B19" s="5" t="s">
        <v>93</v>
      </c>
      <c r="C19" s="5" t="s">
        <v>1760</v>
      </c>
      <c r="D19" s="7" t="s">
        <v>322</v>
      </c>
      <c r="E19" s="5"/>
      <c r="F19" s="5"/>
      <c r="G19" s="7">
        <v>4</v>
      </c>
      <c r="H19" s="5" t="s">
        <v>1768</v>
      </c>
      <c r="I19" s="5" t="s">
        <v>1769</v>
      </c>
      <c r="J19" s="5"/>
      <c r="K19" s="7" t="s">
        <v>7</v>
      </c>
      <c r="L19" s="7"/>
      <c r="M19" s="5"/>
      <c r="N19" s="5"/>
    </row>
    <row r="20" spans="1:14" customHeight="1" ht="40">
      <c r="A20" s="8" t="s">
        <v>1770</v>
      </c>
      <c r="B20" s="4" t="s">
        <v>93</v>
      </c>
      <c r="C20" s="4" t="s">
        <v>1771</v>
      </c>
      <c r="D20" s="6" t="s">
        <v>309</v>
      </c>
      <c r="E20" s="4" t="s">
        <v>1772</v>
      </c>
      <c r="F20" s="4" t="s">
        <v>1773</v>
      </c>
      <c r="G20" s="6">
        <v>1</v>
      </c>
      <c r="H20" s="4" t="s">
        <v>1774</v>
      </c>
      <c r="I20" s="4" t="s">
        <v>1775</v>
      </c>
      <c r="J20" s="4"/>
      <c r="K20" s="6" t="s">
        <v>7</v>
      </c>
      <c r="L20" s="6"/>
      <c r="M20" s="4"/>
      <c r="N20" s="4"/>
    </row>
    <row r="21" spans="1:14" customHeight="1" ht="30">
      <c r="A21" s="8" t="s">
        <v>1770</v>
      </c>
      <c r="B21" s="4" t="s">
        <v>93</v>
      </c>
      <c r="C21" s="4" t="s">
        <v>1771</v>
      </c>
      <c r="D21" s="6" t="s">
        <v>309</v>
      </c>
      <c r="E21" s="4"/>
      <c r="F21" s="4"/>
      <c r="G21" s="6">
        <v>2</v>
      </c>
      <c r="H21" s="4" t="s">
        <v>1776</v>
      </c>
      <c r="I21" s="4" t="s">
        <v>1777</v>
      </c>
      <c r="J21" s="4"/>
      <c r="K21" s="6" t="s">
        <v>7</v>
      </c>
      <c r="L21" s="6"/>
      <c r="M21" s="4"/>
      <c r="N21" s="4"/>
    </row>
    <row r="22" spans="1:14" customHeight="1" ht="40">
      <c r="A22" s="8" t="s">
        <v>1770</v>
      </c>
      <c r="B22" s="4" t="s">
        <v>93</v>
      </c>
      <c r="C22" s="4" t="s">
        <v>1771</v>
      </c>
      <c r="D22" s="6" t="s">
        <v>309</v>
      </c>
      <c r="E22" s="4"/>
      <c r="F22" s="4"/>
      <c r="G22" s="6">
        <v>3</v>
      </c>
      <c r="H22" s="4" t="s">
        <v>1778</v>
      </c>
      <c r="I22" s="4" t="s">
        <v>1779</v>
      </c>
      <c r="J22" s="4"/>
      <c r="K22" s="6" t="s">
        <v>7</v>
      </c>
      <c r="L22" s="6"/>
      <c r="M22" s="4"/>
      <c r="N22" s="4"/>
    </row>
    <row r="23" spans="1:14" customHeight="1" ht="53">
      <c r="A23" s="8" t="s">
        <v>1770</v>
      </c>
      <c r="B23" s="4" t="s">
        <v>93</v>
      </c>
      <c r="C23" s="4" t="s">
        <v>1771</v>
      </c>
      <c r="D23" s="6" t="s">
        <v>309</v>
      </c>
      <c r="E23" s="4"/>
      <c r="F23" s="4"/>
      <c r="G23" s="6">
        <v>4</v>
      </c>
      <c r="H23" s="4" t="s">
        <v>1780</v>
      </c>
      <c r="I23" s="4" t="s">
        <v>1781</v>
      </c>
      <c r="J23" s="4"/>
      <c r="K23" s="6" t="s">
        <v>7</v>
      </c>
      <c r="L23" s="6"/>
      <c r="M23" s="4"/>
      <c r="N23" s="4"/>
    </row>
    <row r="24" spans="1:14" customHeight="1" ht="40">
      <c r="A24" s="8" t="s">
        <v>1770</v>
      </c>
      <c r="B24" s="4" t="s">
        <v>93</v>
      </c>
      <c r="C24" s="4" t="s">
        <v>1771</v>
      </c>
      <c r="D24" s="6" t="s">
        <v>309</v>
      </c>
      <c r="E24" s="4"/>
      <c r="F24" s="4"/>
      <c r="G24" s="6">
        <v>5</v>
      </c>
      <c r="H24" s="4" t="s">
        <v>1782</v>
      </c>
      <c r="I24" s="4" t="s">
        <v>1783</v>
      </c>
      <c r="J24" s="4"/>
      <c r="K24" s="6" t="s">
        <v>7</v>
      </c>
      <c r="L24" s="6"/>
      <c r="M24" s="4"/>
      <c r="N24" s="4"/>
    </row>
    <row r="25" spans="1:14" customHeight="1" ht="40">
      <c r="A25" s="9" t="s">
        <v>1784</v>
      </c>
      <c r="B25" s="5" t="s">
        <v>93</v>
      </c>
      <c r="C25" s="5" t="s">
        <v>1785</v>
      </c>
      <c r="D25" s="7" t="s">
        <v>309</v>
      </c>
      <c r="E25" s="5" t="s">
        <v>1786</v>
      </c>
      <c r="F25" s="5" t="s">
        <v>1787</v>
      </c>
      <c r="G25" s="7">
        <v>1</v>
      </c>
      <c r="H25" s="5" t="s">
        <v>1788</v>
      </c>
      <c r="I25" s="5" t="s">
        <v>1789</v>
      </c>
      <c r="J25" s="5"/>
      <c r="K25" s="7" t="s">
        <v>7</v>
      </c>
      <c r="L25" s="7"/>
      <c r="M25" s="5"/>
      <c r="N25" s="5"/>
    </row>
    <row r="26" spans="1:14" customHeight="1" ht="30">
      <c r="A26" s="9" t="s">
        <v>1784</v>
      </c>
      <c r="B26" s="5" t="s">
        <v>93</v>
      </c>
      <c r="C26" s="5" t="s">
        <v>1785</v>
      </c>
      <c r="D26" s="7" t="s">
        <v>309</v>
      </c>
      <c r="E26" s="5"/>
      <c r="F26" s="5"/>
      <c r="G26" s="7">
        <v>2</v>
      </c>
      <c r="H26" s="5" t="s">
        <v>1790</v>
      </c>
      <c r="I26" s="5" t="s">
        <v>1791</v>
      </c>
      <c r="J26" s="5"/>
      <c r="K26" s="7" t="s">
        <v>7</v>
      </c>
      <c r="L26" s="7"/>
      <c r="M26" s="5"/>
      <c r="N26" s="5"/>
    </row>
    <row r="27" spans="1:14" customHeight="1" ht="40">
      <c r="A27" s="9" t="s">
        <v>1784</v>
      </c>
      <c r="B27" s="5" t="s">
        <v>93</v>
      </c>
      <c r="C27" s="5" t="s">
        <v>1785</v>
      </c>
      <c r="D27" s="7" t="s">
        <v>309</v>
      </c>
      <c r="E27" s="5"/>
      <c r="F27" s="5"/>
      <c r="G27" s="7">
        <v>3</v>
      </c>
      <c r="H27" s="5" t="s">
        <v>1792</v>
      </c>
      <c r="I27" s="5" t="s">
        <v>1793</v>
      </c>
      <c r="J27" s="5"/>
      <c r="K27" s="7" t="s">
        <v>7</v>
      </c>
      <c r="L27" s="7"/>
      <c r="M27" s="5"/>
      <c r="N27" s="5"/>
    </row>
    <row r="28" spans="1:14" customHeight="1" ht="40">
      <c r="A28" s="9" t="s">
        <v>1784</v>
      </c>
      <c r="B28" s="5" t="s">
        <v>93</v>
      </c>
      <c r="C28" s="5" t="s">
        <v>1785</v>
      </c>
      <c r="D28" s="7" t="s">
        <v>309</v>
      </c>
      <c r="E28" s="5"/>
      <c r="F28" s="5"/>
      <c r="G28" s="7">
        <v>4</v>
      </c>
      <c r="H28" s="5" t="s">
        <v>1794</v>
      </c>
      <c r="I28" s="5" t="s">
        <v>1795</v>
      </c>
      <c r="J28" s="5"/>
      <c r="K28" s="7" t="s">
        <v>7</v>
      </c>
      <c r="L28" s="7"/>
      <c r="M28" s="5"/>
      <c r="N28" s="5"/>
    </row>
    <row r="29" spans="1:14" customHeight="1" ht="40">
      <c r="A29" s="8" t="s">
        <v>1796</v>
      </c>
      <c r="B29" s="4" t="s">
        <v>93</v>
      </c>
      <c r="C29" s="4" t="s">
        <v>1797</v>
      </c>
      <c r="D29" s="6" t="s">
        <v>322</v>
      </c>
      <c r="E29" s="4" t="s">
        <v>1798</v>
      </c>
      <c r="F29" s="4" t="s">
        <v>1799</v>
      </c>
      <c r="G29" s="6">
        <v>1</v>
      </c>
      <c r="H29" s="4" t="s">
        <v>1800</v>
      </c>
      <c r="I29" s="4" t="s">
        <v>1801</v>
      </c>
      <c r="J29" s="4"/>
      <c r="K29" s="6" t="s">
        <v>7</v>
      </c>
      <c r="L29" s="6"/>
      <c r="M29" s="4"/>
      <c r="N29" s="4"/>
    </row>
    <row r="30" spans="1:14" customHeight="1" ht="30">
      <c r="A30" s="8" t="s">
        <v>1796</v>
      </c>
      <c r="B30" s="4" t="s">
        <v>93</v>
      </c>
      <c r="C30" s="4" t="s">
        <v>1797</v>
      </c>
      <c r="D30" s="6" t="s">
        <v>322</v>
      </c>
      <c r="E30" s="4"/>
      <c r="F30" s="4"/>
      <c r="G30" s="6">
        <v>2</v>
      </c>
      <c r="H30" s="4" t="s">
        <v>1802</v>
      </c>
      <c r="I30" s="4" t="s">
        <v>1803</v>
      </c>
      <c r="J30" s="4"/>
      <c r="K30" s="6" t="s">
        <v>7</v>
      </c>
      <c r="L30" s="6"/>
      <c r="M30" s="4"/>
      <c r="N30" s="4"/>
    </row>
    <row r="31" spans="1:14" customHeight="1" ht="30">
      <c r="A31" s="8" t="s">
        <v>1796</v>
      </c>
      <c r="B31" s="4" t="s">
        <v>93</v>
      </c>
      <c r="C31" s="4" t="s">
        <v>1797</v>
      </c>
      <c r="D31" s="6" t="s">
        <v>322</v>
      </c>
      <c r="E31" s="4"/>
      <c r="F31" s="4"/>
      <c r="G31" s="6">
        <v>3</v>
      </c>
      <c r="H31" s="4" t="s">
        <v>1804</v>
      </c>
      <c r="I31" s="4" t="s">
        <v>1805</v>
      </c>
      <c r="J31" s="4"/>
      <c r="K31" s="6" t="s">
        <v>7</v>
      </c>
      <c r="L31" s="6"/>
      <c r="M31" s="4"/>
      <c r="N31" s="4"/>
    </row>
    <row r="32" spans="1:14" customHeight="1" ht="30">
      <c r="A32" s="8" t="s">
        <v>1796</v>
      </c>
      <c r="B32" s="4" t="s">
        <v>93</v>
      </c>
      <c r="C32" s="4" t="s">
        <v>1797</v>
      </c>
      <c r="D32" s="6" t="s">
        <v>322</v>
      </c>
      <c r="E32" s="4"/>
      <c r="F32" s="4"/>
      <c r="G32" s="6">
        <v>4</v>
      </c>
      <c r="H32" s="4" t="s">
        <v>1806</v>
      </c>
      <c r="I32" s="4" t="s">
        <v>1807</v>
      </c>
      <c r="J32" s="4"/>
      <c r="K32" s="6" t="s">
        <v>7</v>
      </c>
      <c r="L32" s="6"/>
      <c r="M32" s="4"/>
      <c r="N32" s="4"/>
    </row>
    <row r="33" spans="1:14" customHeight="1" ht="30">
      <c r="A33" s="8" t="s">
        <v>1796</v>
      </c>
      <c r="B33" s="4" t="s">
        <v>93</v>
      </c>
      <c r="C33" s="4" t="s">
        <v>1797</v>
      </c>
      <c r="D33" s="6" t="s">
        <v>322</v>
      </c>
      <c r="E33" s="4"/>
      <c r="F33" s="4"/>
      <c r="G33" s="6">
        <v>5</v>
      </c>
      <c r="H33" s="4" t="s">
        <v>1753</v>
      </c>
      <c r="I33" s="4" t="s">
        <v>1808</v>
      </c>
      <c r="J33" s="4"/>
      <c r="K33" s="6" t="s">
        <v>7</v>
      </c>
      <c r="L33" s="6"/>
      <c r="M33" s="4"/>
      <c r="N33" s="4"/>
    </row>
    <row r="34" spans="1:14" customHeight="1" ht="30">
      <c r="A34" s="8" t="s">
        <v>1796</v>
      </c>
      <c r="B34" s="4" t="s">
        <v>93</v>
      </c>
      <c r="C34" s="4" t="s">
        <v>1797</v>
      </c>
      <c r="D34" s="6" t="s">
        <v>322</v>
      </c>
      <c r="E34" s="4"/>
      <c r="F34" s="4"/>
      <c r="G34" s="6">
        <v>6</v>
      </c>
      <c r="H34" s="4" t="s">
        <v>1740</v>
      </c>
      <c r="I34" s="4" t="s">
        <v>1809</v>
      </c>
      <c r="J34" s="4"/>
      <c r="K34" s="6" t="s">
        <v>7</v>
      </c>
      <c r="L34" s="6"/>
      <c r="M34" s="4"/>
      <c r="N34" s="4"/>
    </row>
    <row r="35" spans="1:14" customHeight="1" ht="40">
      <c r="A35" s="8" t="s">
        <v>1796</v>
      </c>
      <c r="B35" s="4" t="s">
        <v>93</v>
      </c>
      <c r="C35" s="4" t="s">
        <v>1797</v>
      </c>
      <c r="D35" s="6" t="s">
        <v>322</v>
      </c>
      <c r="E35" s="4"/>
      <c r="F35" s="4"/>
      <c r="G35" s="6">
        <v>7</v>
      </c>
      <c r="H35" s="4" t="s">
        <v>1810</v>
      </c>
      <c r="I35" s="4" t="s">
        <v>1811</v>
      </c>
      <c r="J35" s="4"/>
      <c r="K35" s="6" t="s">
        <v>7</v>
      </c>
      <c r="L35" s="6"/>
      <c r="M35" s="4"/>
      <c r="N35" s="4"/>
    </row>
    <row r="36" spans="1:14" customHeight="1" ht="40">
      <c r="A36" s="9" t="s">
        <v>1812</v>
      </c>
      <c r="B36" s="5" t="s">
        <v>93</v>
      </c>
      <c r="C36" s="5" t="s">
        <v>1813</v>
      </c>
      <c r="D36" s="7" t="s">
        <v>309</v>
      </c>
      <c r="E36" s="5" t="s">
        <v>1814</v>
      </c>
      <c r="F36" s="5" t="s">
        <v>1815</v>
      </c>
      <c r="G36" s="7">
        <v>1</v>
      </c>
      <c r="H36" s="5" t="s">
        <v>1816</v>
      </c>
      <c r="I36" s="5" t="s">
        <v>1817</v>
      </c>
      <c r="J36" s="5"/>
      <c r="K36" s="7" t="s">
        <v>7</v>
      </c>
      <c r="L36" s="7"/>
      <c r="M36" s="5"/>
      <c r="N36" s="5"/>
    </row>
    <row r="37" spans="1:14" customHeight="1" ht="40">
      <c r="A37" s="9" t="s">
        <v>1812</v>
      </c>
      <c r="B37" s="5" t="s">
        <v>93</v>
      </c>
      <c r="C37" s="5" t="s">
        <v>1813</v>
      </c>
      <c r="D37" s="7" t="s">
        <v>309</v>
      </c>
      <c r="E37" s="5"/>
      <c r="F37" s="5"/>
      <c r="G37" s="7">
        <v>2</v>
      </c>
      <c r="H37" s="5" t="s">
        <v>1818</v>
      </c>
      <c r="I37" s="5" t="s">
        <v>1819</v>
      </c>
      <c r="J37" s="5"/>
      <c r="K37" s="7" t="s">
        <v>7</v>
      </c>
      <c r="L37" s="7"/>
      <c r="M37" s="5"/>
      <c r="N37" s="5"/>
    </row>
    <row r="38" spans="1:14" customHeight="1" ht="30">
      <c r="A38" s="9" t="s">
        <v>1812</v>
      </c>
      <c r="B38" s="5" t="s">
        <v>93</v>
      </c>
      <c r="C38" s="5" t="s">
        <v>1813</v>
      </c>
      <c r="D38" s="7" t="s">
        <v>309</v>
      </c>
      <c r="E38" s="5"/>
      <c r="F38" s="5"/>
      <c r="G38" s="7">
        <v>3</v>
      </c>
      <c r="H38" s="5" t="s">
        <v>1820</v>
      </c>
      <c r="I38" s="5" t="s">
        <v>1821</v>
      </c>
      <c r="J38" s="5"/>
      <c r="K38" s="7" t="s">
        <v>7</v>
      </c>
      <c r="L38" s="7"/>
      <c r="M38" s="5"/>
      <c r="N38" s="5"/>
    </row>
    <row r="39" spans="1:14" customHeight="1" ht="53">
      <c r="A39" s="9" t="s">
        <v>1812</v>
      </c>
      <c r="B39" s="5" t="s">
        <v>93</v>
      </c>
      <c r="C39" s="5" t="s">
        <v>1813</v>
      </c>
      <c r="D39" s="7" t="s">
        <v>309</v>
      </c>
      <c r="E39" s="5"/>
      <c r="F39" s="5"/>
      <c r="G39" s="7">
        <v>4</v>
      </c>
      <c r="H39" s="5" t="s">
        <v>1822</v>
      </c>
      <c r="I39" s="5" t="s">
        <v>1823</v>
      </c>
      <c r="J39" s="5"/>
      <c r="K39" s="7" t="s">
        <v>7</v>
      </c>
      <c r="L39" s="7"/>
      <c r="M39" s="5"/>
      <c r="N39" s="5"/>
    </row>
    <row r="40" spans="1:14" customHeight="1" ht="30">
      <c r="A40" s="9" t="s">
        <v>1812</v>
      </c>
      <c r="B40" s="5" t="s">
        <v>93</v>
      </c>
      <c r="C40" s="5" t="s">
        <v>1813</v>
      </c>
      <c r="D40" s="7" t="s">
        <v>309</v>
      </c>
      <c r="E40" s="5"/>
      <c r="F40" s="5"/>
      <c r="G40" s="7">
        <v>5</v>
      </c>
      <c r="H40" s="5" t="s">
        <v>1824</v>
      </c>
      <c r="I40" s="5" t="s">
        <v>350</v>
      </c>
      <c r="J40" s="5"/>
      <c r="K40" s="7" t="s">
        <v>7</v>
      </c>
      <c r="L40" s="7"/>
      <c r="M40" s="5"/>
      <c r="N40" s="5"/>
    </row>
    <row r="41" spans="1:14" customHeight="1" ht="53">
      <c r="A41" s="8" t="s">
        <v>1825</v>
      </c>
      <c r="B41" s="4" t="s">
        <v>93</v>
      </c>
      <c r="C41" s="4" t="s">
        <v>1826</v>
      </c>
      <c r="D41" s="6" t="s">
        <v>441</v>
      </c>
      <c r="E41" s="4" t="s">
        <v>1827</v>
      </c>
      <c r="F41" s="4" t="s">
        <v>1828</v>
      </c>
      <c r="G41" s="6">
        <v>1</v>
      </c>
      <c r="H41" s="4" t="s">
        <v>1829</v>
      </c>
      <c r="I41" s="4" t="s">
        <v>1830</v>
      </c>
      <c r="J41" s="4"/>
      <c r="K41" s="6" t="s">
        <v>7</v>
      </c>
      <c r="L41" s="6"/>
      <c r="M41" s="4"/>
      <c r="N41" s="4"/>
    </row>
    <row r="42" spans="1:14" customHeight="1" ht="30">
      <c r="A42" s="8" t="s">
        <v>1825</v>
      </c>
      <c r="B42" s="4" t="s">
        <v>93</v>
      </c>
      <c r="C42" s="4" t="s">
        <v>1826</v>
      </c>
      <c r="D42" s="6" t="s">
        <v>441</v>
      </c>
      <c r="E42" s="4"/>
      <c r="F42" s="4"/>
      <c r="G42" s="6">
        <v>2</v>
      </c>
      <c r="H42" s="4" t="s">
        <v>1831</v>
      </c>
      <c r="I42" s="4" t="s">
        <v>1832</v>
      </c>
      <c r="J42" s="4"/>
      <c r="K42" s="6" t="s">
        <v>7</v>
      </c>
      <c r="L42" s="6"/>
      <c r="M42" s="4"/>
      <c r="N42" s="4"/>
    </row>
    <row r="43" spans="1:14" customHeight="1" ht="30">
      <c r="A43" s="8" t="s">
        <v>1825</v>
      </c>
      <c r="B43" s="4" t="s">
        <v>93</v>
      </c>
      <c r="C43" s="4" t="s">
        <v>1826</v>
      </c>
      <c r="D43" s="6" t="s">
        <v>441</v>
      </c>
      <c r="E43" s="4"/>
      <c r="F43" s="4"/>
      <c r="G43" s="6">
        <v>3</v>
      </c>
      <c r="H43" s="4" t="s">
        <v>1833</v>
      </c>
      <c r="I43" s="4" t="s">
        <v>1834</v>
      </c>
      <c r="J43" s="4"/>
      <c r="K43" s="6" t="s">
        <v>7</v>
      </c>
      <c r="L43" s="6"/>
      <c r="M43" s="4"/>
      <c r="N43" s="4"/>
    </row>
    <row r="44" spans="1:14" customHeight="1" ht="40">
      <c r="A44" s="9" t="s">
        <v>1835</v>
      </c>
      <c r="B44" s="5" t="s">
        <v>93</v>
      </c>
      <c r="C44" s="5" t="s">
        <v>1836</v>
      </c>
      <c r="D44" s="7" t="s">
        <v>322</v>
      </c>
      <c r="E44" s="5" t="s">
        <v>1837</v>
      </c>
      <c r="F44" s="5" t="s">
        <v>1838</v>
      </c>
      <c r="G44" s="7">
        <v>1</v>
      </c>
      <c r="H44" s="5" t="s">
        <v>1839</v>
      </c>
      <c r="I44" s="5" t="s">
        <v>1498</v>
      </c>
      <c r="J44" s="5"/>
      <c r="K44" s="7" t="s">
        <v>7</v>
      </c>
      <c r="L44" s="7"/>
      <c r="M44" s="5"/>
      <c r="N44" s="5"/>
    </row>
    <row r="45" spans="1:14" customHeight="1" ht="53">
      <c r="A45" s="9" t="s">
        <v>1835</v>
      </c>
      <c r="B45" s="5" t="s">
        <v>93</v>
      </c>
      <c r="C45" s="5" t="s">
        <v>1836</v>
      </c>
      <c r="D45" s="7" t="s">
        <v>322</v>
      </c>
      <c r="E45" s="5"/>
      <c r="F45" s="5"/>
      <c r="G45" s="7">
        <v>2</v>
      </c>
      <c r="H45" s="5" t="s">
        <v>1840</v>
      </c>
      <c r="I45" s="5" t="s">
        <v>1841</v>
      </c>
      <c r="J45" s="5"/>
      <c r="K45" s="7" t="s">
        <v>7</v>
      </c>
      <c r="L45" s="7"/>
      <c r="M45" s="5"/>
      <c r="N45" s="5"/>
    </row>
    <row r="46" spans="1:14" customHeight="1" ht="40">
      <c r="A46" s="9" t="s">
        <v>1835</v>
      </c>
      <c r="B46" s="5" t="s">
        <v>93</v>
      </c>
      <c r="C46" s="5" t="s">
        <v>1836</v>
      </c>
      <c r="D46" s="7" t="s">
        <v>322</v>
      </c>
      <c r="E46" s="5"/>
      <c r="F46" s="5"/>
      <c r="G46" s="7">
        <v>3</v>
      </c>
      <c r="H46" s="5" t="s">
        <v>1842</v>
      </c>
      <c r="I46" s="5" t="s">
        <v>1843</v>
      </c>
      <c r="J46" s="5"/>
      <c r="K46" s="7" t="s">
        <v>7</v>
      </c>
      <c r="L46" s="7"/>
      <c r="M46" s="5"/>
      <c r="N46" s="5"/>
    </row>
    <row r="47" spans="1:14" customHeight="1" ht="30">
      <c r="A47" s="9" t="s">
        <v>1835</v>
      </c>
      <c r="B47" s="5" t="s">
        <v>93</v>
      </c>
      <c r="C47" s="5" t="s">
        <v>1836</v>
      </c>
      <c r="D47" s="7" t="s">
        <v>322</v>
      </c>
      <c r="E47" s="5"/>
      <c r="F47" s="5"/>
      <c r="G47" s="7">
        <v>4</v>
      </c>
      <c r="H47" s="5" t="s">
        <v>1844</v>
      </c>
      <c r="I47" s="5" t="s">
        <v>1845</v>
      </c>
      <c r="J47" s="5"/>
      <c r="K47" s="7" t="s">
        <v>7</v>
      </c>
      <c r="L47" s="7"/>
      <c r="M47" s="5"/>
      <c r="N47" s="5"/>
    </row>
    <row r="48" spans="1:14" customHeight="1" ht="53">
      <c r="A48" s="9" t="s">
        <v>1835</v>
      </c>
      <c r="B48" s="5" t="s">
        <v>93</v>
      </c>
      <c r="C48" s="5" t="s">
        <v>1836</v>
      </c>
      <c r="D48" s="7" t="s">
        <v>322</v>
      </c>
      <c r="E48" s="5"/>
      <c r="F48" s="5"/>
      <c r="G48" s="7">
        <v>5</v>
      </c>
      <c r="H48" s="5" t="s">
        <v>1846</v>
      </c>
      <c r="I48" s="5" t="s">
        <v>1847</v>
      </c>
      <c r="J48" s="5"/>
      <c r="K48" s="7" t="s">
        <v>7</v>
      </c>
      <c r="L48" s="7"/>
      <c r="M48" s="5"/>
      <c r="N48" s="5"/>
    </row>
    <row r="49" spans="1:14" customHeight="1" ht="40">
      <c r="A49" s="8" t="s">
        <v>1848</v>
      </c>
      <c r="B49" s="4" t="s">
        <v>93</v>
      </c>
      <c r="C49" s="4" t="s">
        <v>96</v>
      </c>
      <c r="D49" s="6" t="s">
        <v>309</v>
      </c>
      <c r="E49" s="4" t="s">
        <v>1849</v>
      </c>
      <c r="F49" s="4" t="s">
        <v>1850</v>
      </c>
      <c r="G49" s="6">
        <v>1</v>
      </c>
      <c r="H49" s="4" t="s">
        <v>1851</v>
      </c>
      <c r="I49" s="4" t="s">
        <v>1852</v>
      </c>
      <c r="J49" s="4"/>
      <c r="K49" s="6" t="s">
        <v>7</v>
      </c>
      <c r="L49" s="6"/>
      <c r="M49" s="4"/>
      <c r="N49" s="4"/>
    </row>
    <row r="50" spans="1:14" customHeight="1" ht="40">
      <c r="A50" s="8" t="s">
        <v>1848</v>
      </c>
      <c r="B50" s="4" t="s">
        <v>93</v>
      </c>
      <c r="C50" s="4" t="s">
        <v>96</v>
      </c>
      <c r="D50" s="6" t="s">
        <v>309</v>
      </c>
      <c r="E50" s="4"/>
      <c r="F50" s="4"/>
      <c r="G50" s="6">
        <v>2</v>
      </c>
      <c r="H50" s="4" t="s">
        <v>1853</v>
      </c>
      <c r="I50" s="4" t="s">
        <v>1854</v>
      </c>
      <c r="J50" s="4"/>
      <c r="K50" s="6" t="s">
        <v>7</v>
      </c>
      <c r="L50" s="6"/>
      <c r="M50" s="4"/>
      <c r="N50" s="4"/>
    </row>
    <row r="51" spans="1:14" customHeight="1" ht="40">
      <c r="A51" s="8" t="s">
        <v>1848</v>
      </c>
      <c r="B51" s="4" t="s">
        <v>93</v>
      </c>
      <c r="C51" s="4" t="s">
        <v>96</v>
      </c>
      <c r="D51" s="6" t="s">
        <v>309</v>
      </c>
      <c r="E51" s="4"/>
      <c r="F51" s="4"/>
      <c r="G51" s="6">
        <v>3</v>
      </c>
      <c r="H51" s="4" t="s">
        <v>1855</v>
      </c>
      <c r="I51" s="4" t="s">
        <v>1856</v>
      </c>
      <c r="J51" s="4"/>
      <c r="K51" s="6" t="s">
        <v>7</v>
      </c>
      <c r="L51" s="6"/>
      <c r="M51" s="4"/>
      <c r="N51" s="4"/>
    </row>
    <row r="52" spans="1:14" customHeight="1" ht="40">
      <c r="A52" s="8" t="s">
        <v>1848</v>
      </c>
      <c r="B52" s="4" t="s">
        <v>93</v>
      </c>
      <c r="C52" s="4" t="s">
        <v>96</v>
      </c>
      <c r="D52" s="6" t="s">
        <v>309</v>
      </c>
      <c r="E52" s="4"/>
      <c r="F52" s="4"/>
      <c r="G52" s="6">
        <v>4</v>
      </c>
      <c r="H52" s="4" t="s">
        <v>1857</v>
      </c>
      <c r="I52" s="4" t="s">
        <v>1858</v>
      </c>
      <c r="J52" s="4"/>
      <c r="K52" s="6" t="s">
        <v>7</v>
      </c>
      <c r="L52" s="6"/>
      <c r="M52" s="4"/>
      <c r="N52" s="4"/>
    </row>
    <row r="53" spans="1:14" customHeight="1" ht="30">
      <c r="A53" s="8" t="s">
        <v>1848</v>
      </c>
      <c r="B53" s="4" t="s">
        <v>93</v>
      </c>
      <c r="C53" s="4" t="s">
        <v>96</v>
      </c>
      <c r="D53" s="6" t="s">
        <v>309</v>
      </c>
      <c r="E53" s="4"/>
      <c r="F53" s="4"/>
      <c r="G53" s="6">
        <v>5</v>
      </c>
      <c r="H53" s="4" t="s">
        <v>1859</v>
      </c>
      <c r="I53" s="4" t="s">
        <v>1860</v>
      </c>
      <c r="J53" s="4"/>
      <c r="K53" s="6" t="s">
        <v>7</v>
      </c>
      <c r="L53" s="6"/>
      <c r="M53" s="4"/>
      <c r="N53" s="4"/>
    </row>
    <row r="54" spans="1:14" customHeight="1" ht="40">
      <c r="A54" s="8" t="s">
        <v>1848</v>
      </c>
      <c r="B54" s="4" t="s">
        <v>93</v>
      </c>
      <c r="C54" s="4" t="s">
        <v>96</v>
      </c>
      <c r="D54" s="6" t="s">
        <v>309</v>
      </c>
      <c r="E54" s="4"/>
      <c r="F54" s="4"/>
      <c r="G54" s="6">
        <v>6</v>
      </c>
      <c r="H54" s="4" t="s">
        <v>1861</v>
      </c>
      <c r="I54" s="4" t="s">
        <v>1862</v>
      </c>
      <c r="J54" s="4"/>
      <c r="K54" s="6" t="s">
        <v>7</v>
      </c>
      <c r="L54" s="6"/>
      <c r="M54" s="4"/>
      <c r="N54" s="4"/>
    </row>
    <row r="55" spans="1:14" customHeight="1" ht="40">
      <c r="A55" s="9" t="s">
        <v>1863</v>
      </c>
      <c r="B55" s="5" t="s">
        <v>93</v>
      </c>
      <c r="C55" s="5" t="s">
        <v>1864</v>
      </c>
      <c r="D55" s="7" t="s">
        <v>322</v>
      </c>
      <c r="E55" s="5" t="s">
        <v>1865</v>
      </c>
      <c r="F55" s="5" t="s">
        <v>1866</v>
      </c>
      <c r="G55" s="7">
        <v>1</v>
      </c>
      <c r="H55" s="5" t="s">
        <v>1867</v>
      </c>
      <c r="I55" s="5" t="s">
        <v>1868</v>
      </c>
      <c r="J55" s="5"/>
      <c r="K55" s="7" t="s">
        <v>7</v>
      </c>
      <c r="L55" s="7"/>
      <c r="M55" s="5"/>
      <c r="N55" s="5"/>
    </row>
    <row r="56" spans="1:14" customHeight="1" ht="40">
      <c r="A56" s="9" t="s">
        <v>1863</v>
      </c>
      <c r="B56" s="5" t="s">
        <v>93</v>
      </c>
      <c r="C56" s="5" t="s">
        <v>1864</v>
      </c>
      <c r="D56" s="7" t="s">
        <v>322</v>
      </c>
      <c r="E56" s="5"/>
      <c r="F56" s="5"/>
      <c r="G56" s="7">
        <v>2</v>
      </c>
      <c r="H56" s="5" t="s">
        <v>1869</v>
      </c>
      <c r="I56" s="5" t="s">
        <v>1870</v>
      </c>
      <c r="J56" s="5"/>
      <c r="K56" s="7" t="s">
        <v>7</v>
      </c>
      <c r="L56" s="7"/>
      <c r="M56" s="5"/>
      <c r="N56" s="5"/>
    </row>
    <row r="57" spans="1:14" customHeight="1" ht="40">
      <c r="A57" s="9" t="s">
        <v>1863</v>
      </c>
      <c r="B57" s="5" t="s">
        <v>93</v>
      </c>
      <c r="C57" s="5" t="s">
        <v>1864</v>
      </c>
      <c r="D57" s="7" t="s">
        <v>322</v>
      </c>
      <c r="E57" s="5"/>
      <c r="F57" s="5"/>
      <c r="G57" s="7">
        <v>3</v>
      </c>
      <c r="H57" s="5" t="s">
        <v>1871</v>
      </c>
      <c r="I57" s="5" t="s">
        <v>1872</v>
      </c>
      <c r="J57" s="5"/>
      <c r="K57" s="7" t="s">
        <v>7</v>
      </c>
      <c r="L57" s="7"/>
      <c r="M57" s="5"/>
      <c r="N57" s="5"/>
    </row>
    <row r="58" spans="1:14" customHeight="1" ht="30">
      <c r="A58" s="9" t="s">
        <v>1863</v>
      </c>
      <c r="B58" s="5" t="s">
        <v>93</v>
      </c>
      <c r="C58" s="5" t="s">
        <v>1864</v>
      </c>
      <c r="D58" s="7" t="s">
        <v>322</v>
      </c>
      <c r="E58" s="5"/>
      <c r="F58" s="5"/>
      <c r="G58" s="7">
        <v>4</v>
      </c>
      <c r="H58" s="5" t="s">
        <v>1873</v>
      </c>
      <c r="I58" s="5" t="s">
        <v>1874</v>
      </c>
      <c r="J58" s="5"/>
      <c r="K58" s="7" t="s">
        <v>7</v>
      </c>
      <c r="L58" s="7"/>
      <c r="M58" s="5"/>
      <c r="N58" s="5"/>
    </row>
    <row r="59" spans="1:14" customHeight="1" ht="40">
      <c r="A59" s="9" t="s">
        <v>1863</v>
      </c>
      <c r="B59" s="5" t="s">
        <v>93</v>
      </c>
      <c r="C59" s="5" t="s">
        <v>1864</v>
      </c>
      <c r="D59" s="7" t="s">
        <v>322</v>
      </c>
      <c r="E59" s="5"/>
      <c r="F59" s="5"/>
      <c r="G59" s="7">
        <v>5</v>
      </c>
      <c r="H59" s="5" t="s">
        <v>1875</v>
      </c>
      <c r="I59" s="5" t="s">
        <v>1876</v>
      </c>
      <c r="J59" s="5"/>
      <c r="K59" s="7" t="s">
        <v>7</v>
      </c>
      <c r="L59" s="7"/>
      <c r="M59" s="5"/>
      <c r="N59" s="5"/>
    </row>
    <row r="60" spans="1:14" customHeight="1" ht="40">
      <c r="A60" s="9" t="s">
        <v>1863</v>
      </c>
      <c r="B60" s="5" t="s">
        <v>93</v>
      </c>
      <c r="C60" s="5" t="s">
        <v>1864</v>
      </c>
      <c r="D60" s="7" t="s">
        <v>322</v>
      </c>
      <c r="E60" s="5"/>
      <c r="F60" s="5"/>
      <c r="G60" s="7">
        <v>6</v>
      </c>
      <c r="H60" s="5" t="s">
        <v>1877</v>
      </c>
      <c r="I60" s="5" t="s">
        <v>1878</v>
      </c>
      <c r="J60" s="5"/>
      <c r="K60" s="7" t="s">
        <v>7</v>
      </c>
      <c r="L60" s="7"/>
      <c r="M60" s="5"/>
      <c r="N60" s="5"/>
    </row>
    <row r="61" spans="1:14" customHeight="1" ht="40">
      <c r="A61" s="9" t="s">
        <v>1863</v>
      </c>
      <c r="B61" s="5" t="s">
        <v>93</v>
      </c>
      <c r="C61" s="5" t="s">
        <v>1864</v>
      </c>
      <c r="D61" s="7" t="s">
        <v>322</v>
      </c>
      <c r="E61" s="5"/>
      <c r="F61" s="5"/>
      <c r="G61" s="7">
        <v>7</v>
      </c>
      <c r="H61" s="5" t="s">
        <v>1879</v>
      </c>
      <c r="I61" s="5" t="s">
        <v>1880</v>
      </c>
      <c r="J61" s="5"/>
      <c r="K61" s="7" t="s">
        <v>7</v>
      </c>
      <c r="L61" s="7"/>
      <c r="M61" s="5"/>
      <c r="N61" s="5"/>
    </row>
  </sheetData>
  <autoFilter ref="A3:N61"/>
  <mergeCells>
    <mergeCell ref="A1:N1"/>
    <mergeCell ref="A2:N2"/>
  </mergeCells>
  <conditionalFormatting sqref="K4:K61">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61">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61">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61">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61">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8"/>
  <sheetViews>
    <sheetView tabSelected="0" workbookViewId="0" showGridLines="true" showRowColHeaders="1">
      <pane xSplit="2" ySplit="3" topLeftCell="C4" activePane="bottomRight" state="frozen"/>
      <selection pane="topRight"/>
      <selection pane="bottomLeft"/>
      <selection pane="bottomRight" activeCell="L4" sqref="L4:L48"/>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1881</v>
      </c>
    </row>
    <row r="2" spans="1:14" customHeight="1" ht="30">
      <c r="A2" s="2" t="s">
        <v>1882</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53">
      <c r="A4" s="8" t="s">
        <v>1883</v>
      </c>
      <c r="B4" s="4" t="s">
        <v>1881</v>
      </c>
      <c r="C4" s="4" t="s">
        <v>1884</v>
      </c>
      <c r="D4" s="6" t="s">
        <v>309</v>
      </c>
      <c r="E4" s="4" t="s">
        <v>1885</v>
      </c>
      <c r="F4" s="4" t="s">
        <v>1886</v>
      </c>
      <c r="G4" s="6">
        <v>1</v>
      </c>
      <c r="H4" s="4" t="s">
        <v>1887</v>
      </c>
      <c r="I4" s="4" t="s">
        <v>1888</v>
      </c>
      <c r="J4" s="4"/>
      <c r="K4" s="6" t="s">
        <v>7</v>
      </c>
      <c r="L4" s="6"/>
      <c r="M4" s="4"/>
      <c r="N4" s="4"/>
    </row>
    <row r="5" spans="1:14" customHeight="1" ht="53">
      <c r="A5" s="8" t="s">
        <v>1883</v>
      </c>
      <c r="B5" s="4" t="s">
        <v>1881</v>
      </c>
      <c r="C5" s="4" t="s">
        <v>1884</v>
      </c>
      <c r="D5" s="6" t="s">
        <v>309</v>
      </c>
      <c r="E5" s="4"/>
      <c r="F5" s="4"/>
      <c r="G5" s="6">
        <v>2</v>
      </c>
      <c r="H5" s="4" t="s">
        <v>1889</v>
      </c>
      <c r="I5" s="4" t="s">
        <v>1890</v>
      </c>
      <c r="J5" s="4"/>
      <c r="K5" s="6" t="s">
        <v>7</v>
      </c>
      <c r="L5" s="6"/>
      <c r="M5" s="4"/>
      <c r="N5" s="4"/>
    </row>
    <row r="6" spans="1:14" customHeight="1" ht="40">
      <c r="A6" s="8" t="s">
        <v>1883</v>
      </c>
      <c r="B6" s="4" t="s">
        <v>1881</v>
      </c>
      <c r="C6" s="4" t="s">
        <v>1884</v>
      </c>
      <c r="D6" s="6" t="s">
        <v>309</v>
      </c>
      <c r="E6" s="4"/>
      <c r="F6" s="4"/>
      <c r="G6" s="6">
        <v>3</v>
      </c>
      <c r="H6" s="4" t="s">
        <v>1891</v>
      </c>
      <c r="I6" s="4" t="s">
        <v>1892</v>
      </c>
      <c r="J6" s="4"/>
      <c r="K6" s="6" t="s">
        <v>7</v>
      </c>
      <c r="L6" s="6"/>
      <c r="M6" s="4"/>
      <c r="N6" s="4"/>
    </row>
    <row r="7" spans="1:14" customHeight="1" ht="40">
      <c r="A7" s="9" t="s">
        <v>1893</v>
      </c>
      <c r="B7" s="5" t="s">
        <v>1881</v>
      </c>
      <c r="C7" s="5" t="s">
        <v>1894</v>
      </c>
      <c r="D7" s="7" t="s">
        <v>322</v>
      </c>
      <c r="E7" s="5" t="s">
        <v>1895</v>
      </c>
      <c r="F7" s="5" t="s">
        <v>1735</v>
      </c>
      <c r="G7" s="7">
        <v>1</v>
      </c>
      <c r="H7" s="5" t="s">
        <v>1896</v>
      </c>
      <c r="I7" s="5" t="s">
        <v>350</v>
      </c>
      <c r="J7" s="5"/>
      <c r="K7" s="7" t="s">
        <v>7</v>
      </c>
      <c r="L7" s="7"/>
      <c r="M7" s="5"/>
      <c r="N7" s="5"/>
    </row>
    <row r="8" spans="1:14" customHeight="1" ht="30">
      <c r="A8" s="9" t="s">
        <v>1893</v>
      </c>
      <c r="B8" s="5" t="s">
        <v>1881</v>
      </c>
      <c r="C8" s="5" t="s">
        <v>1894</v>
      </c>
      <c r="D8" s="7" t="s">
        <v>322</v>
      </c>
      <c r="E8" s="5"/>
      <c r="F8" s="5"/>
      <c r="G8" s="7">
        <v>2</v>
      </c>
      <c r="H8" s="5" t="s">
        <v>1897</v>
      </c>
      <c r="I8" s="5" t="s">
        <v>1898</v>
      </c>
      <c r="J8" s="5"/>
      <c r="K8" s="7" t="s">
        <v>7</v>
      </c>
      <c r="L8" s="7"/>
      <c r="M8" s="5"/>
      <c r="N8" s="5"/>
    </row>
    <row r="9" spans="1:14" customHeight="1" ht="30">
      <c r="A9" s="9" t="s">
        <v>1893</v>
      </c>
      <c r="B9" s="5" t="s">
        <v>1881</v>
      </c>
      <c r="C9" s="5" t="s">
        <v>1894</v>
      </c>
      <c r="D9" s="7" t="s">
        <v>322</v>
      </c>
      <c r="E9" s="5"/>
      <c r="F9" s="5"/>
      <c r="G9" s="7">
        <v>3</v>
      </c>
      <c r="H9" s="5" t="s">
        <v>1899</v>
      </c>
      <c r="I9" s="5" t="s">
        <v>1900</v>
      </c>
      <c r="J9" s="5"/>
      <c r="K9" s="7" t="s">
        <v>7</v>
      </c>
      <c r="L9" s="7"/>
      <c r="M9" s="5"/>
      <c r="N9" s="5"/>
    </row>
    <row r="10" spans="1:14" customHeight="1" ht="40">
      <c r="A10" s="9" t="s">
        <v>1893</v>
      </c>
      <c r="B10" s="5" t="s">
        <v>1881</v>
      </c>
      <c r="C10" s="5" t="s">
        <v>1894</v>
      </c>
      <c r="D10" s="7" t="s">
        <v>322</v>
      </c>
      <c r="E10" s="5"/>
      <c r="F10" s="5"/>
      <c r="G10" s="7">
        <v>4</v>
      </c>
      <c r="H10" s="5" t="s">
        <v>1901</v>
      </c>
      <c r="I10" s="5" t="s">
        <v>1902</v>
      </c>
      <c r="J10" s="5"/>
      <c r="K10" s="7" t="s">
        <v>7</v>
      </c>
      <c r="L10" s="7"/>
      <c r="M10" s="5"/>
      <c r="N10" s="5"/>
    </row>
    <row r="11" spans="1:14" customHeight="1" ht="40">
      <c r="A11" s="9" t="s">
        <v>1893</v>
      </c>
      <c r="B11" s="5" t="s">
        <v>1881</v>
      </c>
      <c r="C11" s="5" t="s">
        <v>1894</v>
      </c>
      <c r="D11" s="7" t="s">
        <v>322</v>
      </c>
      <c r="E11" s="5"/>
      <c r="F11" s="5"/>
      <c r="G11" s="7">
        <v>5</v>
      </c>
      <c r="H11" s="5" t="s">
        <v>1903</v>
      </c>
      <c r="I11" s="5" t="s">
        <v>1904</v>
      </c>
      <c r="J11" s="5"/>
      <c r="K11" s="7" t="s">
        <v>7</v>
      </c>
      <c r="L11" s="7"/>
      <c r="M11" s="5"/>
      <c r="N11" s="5"/>
    </row>
    <row r="12" spans="1:14" customHeight="1" ht="40">
      <c r="A12" s="9" t="s">
        <v>1893</v>
      </c>
      <c r="B12" s="5" t="s">
        <v>1881</v>
      </c>
      <c r="C12" s="5" t="s">
        <v>1894</v>
      </c>
      <c r="D12" s="7" t="s">
        <v>322</v>
      </c>
      <c r="E12" s="5"/>
      <c r="F12" s="5"/>
      <c r="G12" s="7">
        <v>6</v>
      </c>
      <c r="H12" s="5" t="s">
        <v>1683</v>
      </c>
      <c r="I12" s="5" t="s">
        <v>1905</v>
      </c>
      <c r="J12" s="5"/>
      <c r="K12" s="7" t="s">
        <v>7</v>
      </c>
      <c r="L12" s="7"/>
      <c r="M12" s="5"/>
      <c r="N12" s="5"/>
    </row>
    <row r="13" spans="1:14" customHeight="1" ht="30">
      <c r="A13" s="9" t="s">
        <v>1893</v>
      </c>
      <c r="B13" s="5" t="s">
        <v>1881</v>
      </c>
      <c r="C13" s="5" t="s">
        <v>1894</v>
      </c>
      <c r="D13" s="7" t="s">
        <v>322</v>
      </c>
      <c r="E13" s="5"/>
      <c r="F13" s="5"/>
      <c r="G13" s="7">
        <v>7</v>
      </c>
      <c r="H13" s="5" t="s">
        <v>1403</v>
      </c>
      <c r="I13" s="5" t="s">
        <v>1906</v>
      </c>
      <c r="J13" s="5"/>
      <c r="K13" s="7" t="s">
        <v>7</v>
      </c>
      <c r="L13" s="7"/>
      <c r="M13" s="5"/>
      <c r="N13" s="5"/>
    </row>
    <row r="14" spans="1:14" customHeight="1" ht="40">
      <c r="A14" s="8" t="s">
        <v>1907</v>
      </c>
      <c r="B14" s="4" t="s">
        <v>1881</v>
      </c>
      <c r="C14" s="4" t="s">
        <v>1908</v>
      </c>
      <c r="D14" s="6" t="s">
        <v>322</v>
      </c>
      <c r="E14" s="4" t="s">
        <v>1909</v>
      </c>
      <c r="F14" s="4" t="s">
        <v>1910</v>
      </c>
      <c r="G14" s="6">
        <v>1</v>
      </c>
      <c r="H14" s="4" t="s">
        <v>1911</v>
      </c>
      <c r="I14" s="4" t="s">
        <v>1912</v>
      </c>
      <c r="J14" s="4"/>
      <c r="K14" s="6" t="s">
        <v>7</v>
      </c>
      <c r="L14" s="6"/>
      <c r="M14" s="4"/>
      <c r="N14" s="4"/>
    </row>
    <row r="15" spans="1:14" customHeight="1" ht="30">
      <c r="A15" s="8" t="s">
        <v>1907</v>
      </c>
      <c r="B15" s="4" t="s">
        <v>1881</v>
      </c>
      <c r="C15" s="4" t="s">
        <v>1908</v>
      </c>
      <c r="D15" s="6" t="s">
        <v>322</v>
      </c>
      <c r="E15" s="4"/>
      <c r="F15" s="4"/>
      <c r="G15" s="6">
        <v>2</v>
      </c>
      <c r="H15" s="4" t="s">
        <v>1913</v>
      </c>
      <c r="I15" s="4" t="s">
        <v>1914</v>
      </c>
      <c r="J15" s="4"/>
      <c r="K15" s="6" t="s">
        <v>7</v>
      </c>
      <c r="L15" s="6"/>
      <c r="M15" s="4"/>
      <c r="N15" s="4"/>
    </row>
    <row r="16" spans="1:14" customHeight="1" ht="53">
      <c r="A16" s="8" t="s">
        <v>1907</v>
      </c>
      <c r="B16" s="4" t="s">
        <v>1881</v>
      </c>
      <c r="C16" s="4" t="s">
        <v>1908</v>
      </c>
      <c r="D16" s="6" t="s">
        <v>322</v>
      </c>
      <c r="E16" s="4"/>
      <c r="F16" s="4"/>
      <c r="G16" s="6">
        <v>3</v>
      </c>
      <c r="H16" s="4" t="s">
        <v>1915</v>
      </c>
      <c r="I16" s="4" t="s">
        <v>1916</v>
      </c>
      <c r="J16" s="4"/>
      <c r="K16" s="6" t="s">
        <v>7</v>
      </c>
      <c r="L16" s="6"/>
      <c r="M16" s="4"/>
      <c r="N16" s="4"/>
    </row>
    <row r="17" spans="1:14" customHeight="1" ht="30">
      <c r="A17" s="8" t="s">
        <v>1907</v>
      </c>
      <c r="B17" s="4" t="s">
        <v>1881</v>
      </c>
      <c r="C17" s="4" t="s">
        <v>1908</v>
      </c>
      <c r="D17" s="6" t="s">
        <v>322</v>
      </c>
      <c r="E17" s="4"/>
      <c r="F17" s="4"/>
      <c r="G17" s="6">
        <v>4</v>
      </c>
      <c r="H17" s="4" t="s">
        <v>1917</v>
      </c>
      <c r="I17" s="4" t="s">
        <v>1918</v>
      </c>
      <c r="J17" s="4"/>
      <c r="K17" s="6" t="s">
        <v>7</v>
      </c>
      <c r="L17" s="6"/>
      <c r="M17" s="4"/>
      <c r="N17" s="4"/>
    </row>
    <row r="18" spans="1:14" customHeight="1" ht="40">
      <c r="A18" s="8" t="s">
        <v>1907</v>
      </c>
      <c r="B18" s="4" t="s">
        <v>1881</v>
      </c>
      <c r="C18" s="4" t="s">
        <v>1908</v>
      </c>
      <c r="D18" s="6" t="s">
        <v>322</v>
      </c>
      <c r="E18" s="4"/>
      <c r="F18" s="4"/>
      <c r="G18" s="6">
        <v>5</v>
      </c>
      <c r="H18" s="4" t="s">
        <v>1919</v>
      </c>
      <c r="I18" s="4" t="s">
        <v>1920</v>
      </c>
      <c r="J18" s="4"/>
      <c r="K18" s="6" t="s">
        <v>7</v>
      </c>
      <c r="L18" s="6"/>
      <c r="M18" s="4"/>
      <c r="N18" s="4"/>
    </row>
    <row r="19" spans="1:14" customHeight="1" ht="30">
      <c r="A19" s="8" t="s">
        <v>1907</v>
      </c>
      <c r="B19" s="4" t="s">
        <v>1881</v>
      </c>
      <c r="C19" s="4" t="s">
        <v>1908</v>
      </c>
      <c r="D19" s="6" t="s">
        <v>322</v>
      </c>
      <c r="E19" s="4"/>
      <c r="F19" s="4"/>
      <c r="G19" s="6">
        <v>6</v>
      </c>
      <c r="H19" s="4" t="s">
        <v>1921</v>
      </c>
      <c r="I19" s="4" t="s">
        <v>1922</v>
      </c>
      <c r="J19" s="4"/>
      <c r="K19" s="6" t="s">
        <v>7</v>
      </c>
      <c r="L19" s="6"/>
      <c r="M19" s="4"/>
      <c r="N19" s="4"/>
    </row>
    <row r="20" spans="1:14" customHeight="1" ht="40">
      <c r="A20" s="9" t="s">
        <v>1923</v>
      </c>
      <c r="B20" s="5" t="s">
        <v>1881</v>
      </c>
      <c r="C20" s="5" t="s">
        <v>1924</v>
      </c>
      <c r="D20" s="7" t="s">
        <v>309</v>
      </c>
      <c r="E20" s="5" t="s">
        <v>1885</v>
      </c>
      <c r="F20" s="5" t="s">
        <v>1925</v>
      </c>
      <c r="G20" s="7">
        <v>1</v>
      </c>
      <c r="H20" s="5" t="s">
        <v>1926</v>
      </c>
      <c r="I20" s="5" t="s">
        <v>1927</v>
      </c>
      <c r="J20" s="5"/>
      <c r="K20" s="7" t="s">
        <v>7</v>
      </c>
      <c r="L20" s="7"/>
      <c r="M20" s="5"/>
      <c r="N20" s="5"/>
    </row>
    <row r="21" spans="1:14" customHeight="1" ht="40">
      <c r="A21" s="9" t="s">
        <v>1923</v>
      </c>
      <c r="B21" s="5" t="s">
        <v>1881</v>
      </c>
      <c r="C21" s="5" t="s">
        <v>1924</v>
      </c>
      <c r="D21" s="7" t="s">
        <v>309</v>
      </c>
      <c r="E21" s="5"/>
      <c r="F21" s="5"/>
      <c r="G21" s="7">
        <v>2</v>
      </c>
      <c r="H21" s="5" t="s">
        <v>1928</v>
      </c>
      <c r="I21" s="5" t="s">
        <v>1929</v>
      </c>
      <c r="J21" s="5"/>
      <c r="K21" s="7" t="s">
        <v>7</v>
      </c>
      <c r="L21" s="7"/>
      <c r="M21" s="5"/>
      <c r="N21" s="5"/>
    </row>
    <row r="22" spans="1:14" customHeight="1" ht="30">
      <c r="A22" s="9" t="s">
        <v>1923</v>
      </c>
      <c r="B22" s="5" t="s">
        <v>1881</v>
      </c>
      <c r="C22" s="5" t="s">
        <v>1924</v>
      </c>
      <c r="D22" s="7" t="s">
        <v>309</v>
      </c>
      <c r="E22" s="5"/>
      <c r="F22" s="5"/>
      <c r="G22" s="7">
        <v>3</v>
      </c>
      <c r="H22" s="5" t="s">
        <v>1917</v>
      </c>
      <c r="I22" s="5" t="s">
        <v>1930</v>
      </c>
      <c r="J22" s="5"/>
      <c r="K22" s="7" t="s">
        <v>7</v>
      </c>
      <c r="L22" s="7"/>
      <c r="M22" s="5"/>
      <c r="N22" s="5"/>
    </row>
    <row r="23" spans="1:14" customHeight="1" ht="30">
      <c r="A23" s="9" t="s">
        <v>1923</v>
      </c>
      <c r="B23" s="5" t="s">
        <v>1881</v>
      </c>
      <c r="C23" s="5" t="s">
        <v>1924</v>
      </c>
      <c r="D23" s="7" t="s">
        <v>309</v>
      </c>
      <c r="E23" s="5"/>
      <c r="F23" s="5"/>
      <c r="G23" s="7">
        <v>4</v>
      </c>
      <c r="H23" s="5" t="s">
        <v>1919</v>
      </c>
      <c r="I23" s="5" t="s">
        <v>1931</v>
      </c>
      <c r="J23" s="5"/>
      <c r="K23" s="7" t="s">
        <v>7</v>
      </c>
      <c r="L23" s="7"/>
      <c r="M23" s="5"/>
      <c r="N23" s="5"/>
    </row>
    <row r="24" spans="1:14" customHeight="1" ht="30">
      <c r="A24" s="9" t="s">
        <v>1923</v>
      </c>
      <c r="B24" s="5" t="s">
        <v>1881</v>
      </c>
      <c r="C24" s="5" t="s">
        <v>1924</v>
      </c>
      <c r="D24" s="7" t="s">
        <v>309</v>
      </c>
      <c r="E24" s="5"/>
      <c r="F24" s="5"/>
      <c r="G24" s="7">
        <v>5</v>
      </c>
      <c r="H24" s="5" t="s">
        <v>1932</v>
      </c>
      <c r="I24" s="5" t="s">
        <v>1933</v>
      </c>
      <c r="J24" s="5"/>
      <c r="K24" s="7" t="s">
        <v>7</v>
      </c>
      <c r="L24" s="7"/>
      <c r="M24" s="5"/>
      <c r="N24" s="5"/>
    </row>
    <row r="25" spans="1:14" customHeight="1" ht="40">
      <c r="A25" s="8" t="s">
        <v>1934</v>
      </c>
      <c r="B25" s="4" t="s">
        <v>1881</v>
      </c>
      <c r="C25" s="4" t="s">
        <v>1935</v>
      </c>
      <c r="D25" s="6" t="s">
        <v>322</v>
      </c>
      <c r="E25" s="4" t="s">
        <v>1885</v>
      </c>
      <c r="F25" s="4" t="s">
        <v>1936</v>
      </c>
      <c r="G25" s="6">
        <v>1</v>
      </c>
      <c r="H25" s="4" t="s">
        <v>1937</v>
      </c>
      <c r="I25" s="4" t="s">
        <v>1938</v>
      </c>
      <c r="J25" s="4"/>
      <c r="K25" s="6" t="s">
        <v>7</v>
      </c>
      <c r="L25" s="6"/>
      <c r="M25" s="4"/>
      <c r="N25" s="4"/>
    </row>
    <row r="26" spans="1:14" customHeight="1" ht="40">
      <c r="A26" s="8" t="s">
        <v>1934</v>
      </c>
      <c r="B26" s="4" t="s">
        <v>1881</v>
      </c>
      <c r="C26" s="4" t="s">
        <v>1935</v>
      </c>
      <c r="D26" s="6" t="s">
        <v>322</v>
      </c>
      <c r="E26" s="4"/>
      <c r="F26" s="4"/>
      <c r="G26" s="6">
        <v>2</v>
      </c>
      <c r="H26" s="4" t="s">
        <v>1939</v>
      </c>
      <c r="I26" s="4" t="s">
        <v>1940</v>
      </c>
      <c r="J26" s="4"/>
      <c r="K26" s="6" t="s">
        <v>7</v>
      </c>
      <c r="L26" s="6"/>
      <c r="M26" s="4"/>
      <c r="N26" s="4"/>
    </row>
    <row r="27" spans="1:14" customHeight="1" ht="30">
      <c r="A27" s="8" t="s">
        <v>1934</v>
      </c>
      <c r="B27" s="4" t="s">
        <v>1881</v>
      </c>
      <c r="C27" s="4" t="s">
        <v>1935</v>
      </c>
      <c r="D27" s="6" t="s">
        <v>322</v>
      </c>
      <c r="E27" s="4"/>
      <c r="F27" s="4"/>
      <c r="G27" s="6">
        <v>3</v>
      </c>
      <c r="H27" s="4" t="s">
        <v>1917</v>
      </c>
      <c r="I27" s="4" t="s">
        <v>1941</v>
      </c>
      <c r="J27" s="4"/>
      <c r="K27" s="6" t="s">
        <v>7</v>
      </c>
      <c r="L27" s="6"/>
      <c r="M27" s="4"/>
      <c r="N27" s="4"/>
    </row>
    <row r="28" spans="1:14" customHeight="1" ht="40">
      <c r="A28" s="8" t="s">
        <v>1934</v>
      </c>
      <c r="B28" s="4" t="s">
        <v>1881</v>
      </c>
      <c r="C28" s="4" t="s">
        <v>1935</v>
      </c>
      <c r="D28" s="6" t="s">
        <v>322</v>
      </c>
      <c r="E28" s="4"/>
      <c r="F28" s="4"/>
      <c r="G28" s="6">
        <v>4</v>
      </c>
      <c r="H28" s="4" t="s">
        <v>1942</v>
      </c>
      <c r="I28" s="4" t="s">
        <v>1943</v>
      </c>
      <c r="J28" s="4"/>
      <c r="K28" s="6" t="s">
        <v>7</v>
      </c>
      <c r="L28" s="6"/>
      <c r="M28" s="4"/>
      <c r="N28" s="4"/>
    </row>
    <row r="29" spans="1:14" customHeight="1" ht="40">
      <c r="A29" s="8" t="s">
        <v>1934</v>
      </c>
      <c r="B29" s="4" t="s">
        <v>1881</v>
      </c>
      <c r="C29" s="4" t="s">
        <v>1935</v>
      </c>
      <c r="D29" s="6" t="s">
        <v>322</v>
      </c>
      <c r="E29" s="4"/>
      <c r="F29" s="4"/>
      <c r="G29" s="6">
        <v>5</v>
      </c>
      <c r="H29" s="4" t="s">
        <v>1944</v>
      </c>
      <c r="I29" s="4" t="s">
        <v>1945</v>
      </c>
      <c r="J29" s="4"/>
      <c r="K29" s="6" t="s">
        <v>7</v>
      </c>
      <c r="L29" s="6"/>
      <c r="M29" s="4"/>
      <c r="N29" s="4"/>
    </row>
    <row r="30" spans="1:14" customHeight="1" ht="53">
      <c r="A30" s="9" t="s">
        <v>1946</v>
      </c>
      <c r="B30" s="5" t="s">
        <v>1881</v>
      </c>
      <c r="C30" s="5" t="s">
        <v>1947</v>
      </c>
      <c r="D30" s="7" t="s">
        <v>309</v>
      </c>
      <c r="E30" s="5" t="s">
        <v>1948</v>
      </c>
      <c r="F30" s="5" t="s">
        <v>1949</v>
      </c>
      <c r="G30" s="7">
        <v>1</v>
      </c>
      <c r="H30" s="5" t="s">
        <v>1950</v>
      </c>
      <c r="I30" s="5" t="s">
        <v>1951</v>
      </c>
      <c r="J30" s="5"/>
      <c r="K30" s="7" t="s">
        <v>7</v>
      </c>
      <c r="L30" s="7"/>
      <c r="M30" s="5"/>
      <c r="N30" s="5"/>
    </row>
    <row r="31" spans="1:14" customHeight="1" ht="30">
      <c r="A31" s="9" t="s">
        <v>1946</v>
      </c>
      <c r="B31" s="5" t="s">
        <v>1881</v>
      </c>
      <c r="C31" s="5" t="s">
        <v>1947</v>
      </c>
      <c r="D31" s="7" t="s">
        <v>309</v>
      </c>
      <c r="E31" s="5"/>
      <c r="F31" s="5"/>
      <c r="G31" s="7">
        <v>2</v>
      </c>
      <c r="H31" s="5" t="s">
        <v>1939</v>
      </c>
      <c r="I31" s="5" t="s">
        <v>1952</v>
      </c>
      <c r="J31" s="5"/>
      <c r="K31" s="7" t="s">
        <v>7</v>
      </c>
      <c r="L31" s="7"/>
      <c r="M31" s="5"/>
      <c r="N31" s="5"/>
    </row>
    <row r="32" spans="1:14" customHeight="1" ht="30">
      <c r="A32" s="9" t="s">
        <v>1946</v>
      </c>
      <c r="B32" s="5" t="s">
        <v>1881</v>
      </c>
      <c r="C32" s="5" t="s">
        <v>1947</v>
      </c>
      <c r="D32" s="7" t="s">
        <v>309</v>
      </c>
      <c r="E32" s="5"/>
      <c r="F32" s="5"/>
      <c r="G32" s="7">
        <v>3</v>
      </c>
      <c r="H32" s="5" t="s">
        <v>1917</v>
      </c>
      <c r="I32" s="5" t="s">
        <v>1953</v>
      </c>
      <c r="J32" s="5"/>
      <c r="K32" s="7" t="s">
        <v>7</v>
      </c>
      <c r="L32" s="7"/>
      <c r="M32" s="5"/>
      <c r="N32" s="5"/>
    </row>
    <row r="33" spans="1:14" customHeight="1" ht="30">
      <c r="A33" s="9" t="s">
        <v>1946</v>
      </c>
      <c r="B33" s="5" t="s">
        <v>1881</v>
      </c>
      <c r="C33" s="5" t="s">
        <v>1947</v>
      </c>
      <c r="D33" s="7" t="s">
        <v>309</v>
      </c>
      <c r="E33" s="5"/>
      <c r="F33" s="5"/>
      <c r="G33" s="7">
        <v>4</v>
      </c>
      <c r="H33" s="5" t="s">
        <v>1954</v>
      </c>
      <c r="I33" s="5" t="s">
        <v>1955</v>
      </c>
      <c r="J33" s="5"/>
      <c r="K33" s="7" t="s">
        <v>7</v>
      </c>
      <c r="L33" s="7"/>
      <c r="M33" s="5"/>
      <c r="N33" s="5"/>
    </row>
    <row r="34" spans="1:14" customHeight="1" ht="30">
      <c r="A34" s="8" t="s">
        <v>1956</v>
      </c>
      <c r="B34" s="4" t="s">
        <v>1881</v>
      </c>
      <c r="C34" s="4" t="s">
        <v>1957</v>
      </c>
      <c r="D34" s="6" t="s">
        <v>322</v>
      </c>
      <c r="E34" s="4" t="s">
        <v>1958</v>
      </c>
      <c r="F34" s="4" t="s">
        <v>1959</v>
      </c>
      <c r="G34" s="6">
        <v>1</v>
      </c>
      <c r="H34" s="4" t="s">
        <v>1960</v>
      </c>
      <c r="I34" s="4" t="s">
        <v>1961</v>
      </c>
      <c r="J34" s="4"/>
      <c r="K34" s="6" t="s">
        <v>7</v>
      </c>
      <c r="L34" s="6"/>
      <c r="M34" s="4"/>
      <c r="N34" s="4"/>
    </row>
    <row r="35" spans="1:14" customHeight="1" ht="40">
      <c r="A35" s="8" t="s">
        <v>1956</v>
      </c>
      <c r="B35" s="4" t="s">
        <v>1881</v>
      </c>
      <c r="C35" s="4" t="s">
        <v>1957</v>
      </c>
      <c r="D35" s="6" t="s">
        <v>322</v>
      </c>
      <c r="E35" s="4"/>
      <c r="F35" s="4"/>
      <c r="G35" s="6">
        <v>2</v>
      </c>
      <c r="H35" s="4" t="s">
        <v>1962</v>
      </c>
      <c r="I35" s="4" t="s">
        <v>1963</v>
      </c>
      <c r="J35" s="4"/>
      <c r="K35" s="6" t="s">
        <v>7</v>
      </c>
      <c r="L35" s="6"/>
      <c r="M35" s="4"/>
      <c r="N35" s="4"/>
    </row>
    <row r="36" spans="1:14" customHeight="1" ht="66">
      <c r="A36" s="8" t="s">
        <v>1956</v>
      </c>
      <c r="B36" s="4" t="s">
        <v>1881</v>
      </c>
      <c r="C36" s="4" t="s">
        <v>1957</v>
      </c>
      <c r="D36" s="6" t="s">
        <v>322</v>
      </c>
      <c r="E36" s="4"/>
      <c r="F36" s="4"/>
      <c r="G36" s="6">
        <v>3</v>
      </c>
      <c r="H36" s="4" t="s">
        <v>1964</v>
      </c>
      <c r="I36" s="4" t="s">
        <v>1965</v>
      </c>
      <c r="J36" s="4"/>
      <c r="K36" s="6" t="s">
        <v>7</v>
      </c>
      <c r="L36" s="6"/>
      <c r="M36" s="4"/>
      <c r="N36" s="4"/>
    </row>
    <row r="37" spans="1:14" customHeight="1" ht="40">
      <c r="A37" s="8" t="s">
        <v>1956</v>
      </c>
      <c r="B37" s="4" t="s">
        <v>1881</v>
      </c>
      <c r="C37" s="4" t="s">
        <v>1957</v>
      </c>
      <c r="D37" s="6" t="s">
        <v>322</v>
      </c>
      <c r="E37" s="4"/>
      <c r="F37" s="4"/>
      <c r="G37" s="6">
        <v>4</v>
      </c>
      <c r="H37" s="4" t="s">
        <v>1966</v>
      </c>
      <c r="I37" s="4" t="s">
        <v>1967</v>
      </c>
      <c r="J37" s="4"/>
      <c r="K37" s="6" t="s">
        <v>7</v>
      </c>
      <c r="L37" s="6"/>
      <c r="M37" s="4"/>
      <c r="N37" s="4"/>
    </row>
    <row r="38" spans="1:14" customHeight="1" ht="40">
      <c r="A38" s="9" t="s">
        <v>1968</v>
      </c>
      <c r="B38" s="5" t="s">
        <v>1881</v>
      </c>
      <c r="C38" s="5" t="s">
        <v>1969</v>
      </c>
      <c r="D38" s="7" t="s">
        <v>309</v>
      </c>
      <c r="E38" s="5" t="s">
        <v>1970</v>
      </c>
      <c r="F38" s="5" t="s">
        <v>1971</v>
      </c>
      <c r="G38" s="7">
        <v>1</v>
      </c>
      <c r="H38" s="5" t="s">
        <v>1972</v>
      </c>
      <c r="I38" s="5" t="s">
        <v>1973</v>
      </c>
      <c r="J38" s="5"/>
      <c r="K38" s="7" t="s">
        <v>7</v>
      </c>
      <c r="L38" s="7"/>
      <c r="M38" s="5"/>
      <c r="N38" s="5"/>
    </row>
    <row r="39" spans="1:14" customHeight="1" ht="30">
      <c r="A39" s="9" t="s">
        <v>1968</v>
      </c>
      <c r="B39" s="5" t="s">
        <v>1881</v>
      </c>
      <c r="C39" s="5" t="s">
        <v>1969</v>
      </c>
      <c r="D39" s="7" t="s">
        <v>309</v>
      </c>
      <c r="E39" s="5"/>
      <c r="F39" s="5"/>
      <c r="G39" s="7">
        <v>2</v>
      </c>
      <c r="H39" s="5" t="s">
        <v>1974</v>
      </c>
      <c r="I39" s="5" t="s">
        <v>1975</v>
      </c>
      <c r="J39" s="5"/>
      <c r="K39" s="7" t="s">
        <v>7</v>
      </c>
      <c r="L39" s="7"/>
      <c r="M39" s="5"/>
      <c r="N39" s="5"/>
    </row>
    <row r="40" spans="1:14" customHeight="1" ht="30">
      <c r="A40" s="9" t="s">
        <v>1968</v>
      </c>
      <c r="B40" s="5" t="s">
        <v>1881</v>
      </c>
      <c r="C40" s="5" t="s">
        <v>1969</v>
      </c>
      <c r="D40" s="7" t="s">
        <v>309</v>
      </c>
      <c r="E40" s="5"/>
      <c r="F40" s="5"/>
      <c r="G40" s="7">
        <v>3</v>
      </c>
      <c r="H40" s="5" t="s">
        <v>1976</v>
      </c>
      <c r="I40" s="5" t="s">
        <v>1975</v>
      </c>
      <c r="J40" s="5"/>
      <c r="K40" s="7" t="s">
        <v>7</v>
      </c>
      <c r="L40" s="7"/>
      <c r="M40" s="5"/>
      <c r="N40" s="5"/>
    </row>
    <row r="41" spans="1:14" customHeight="1" ht="40">
      <c r="A41" s="9" t="s">
        <v>1968</v>
      </c>
      <c r="B41" s="5" t="s">
        <v>1881</v>
      </c>
      <c r="C41" s="5" t="s">
        <v>1969</v>
      </c>
      <c r="D41" s="7" t="s">
        <v>309</v>
      </c>
      <c r="E41" s="5"/>
      <c r="F41" s="5"/>
      <c r="G41" s="7">
        <v>4</v>
      </c>
      <c r="H41" s="5" t="s">
        <v>1977</v>
      </c>
      <c r="I41" s="5" t="s">
        <v>1978</v>
      </c>
      <c r="J41" s="5"/>
      <c r="K41" s="7" t="s">
        <v>7</v>
      </c>
      <c r="L41" s="7"/>
      <c r="M41" s="5"/>
      <c r="N41" s="5"/>
    </row>
    <row r="42" spans="1:14" customHeight="1" ht="30">
      <c r="A42" s="9" t="s">
        <v>1968</v>
      </c>
      <c r="B42" s="5" t="s">
        <v>1881</v>
      </c>
      <c r="C42" s="5" t="s">
        <v>1969</v>
      </c>
      <c r="D42" s="7" t="s">
        <v>309</v>
      </c>
      <c r="E42" s="5"/>
      <c r="F42" s="5"/>
      <c r="G42" s="7">
        <v>5</v>
      </c>
      <c r="H42" s="5" t="s">
        <v>1979</v>
      </c>
      <c r="I42" s="5" t="s">
        <v>1980</v>
      </c>
      <c r="J42" s="5"/>
      <c r="K42" s="7" t="s">
        <v>7</v>
      </c>
      <c r="L42" s="7"/>
      <c r="M42" s="5"/>
      <c r="N42" s="5"/>
    </row>
    <row r="43" spans="1:14" customHeight="1" ht="30">
      <c r="A43" s="9" t="s">
        <v>1968</v>
      </c>
      <c r="B43" s="5" t="s">
        <v>1881</v>
      </c>
      <c r="C43" s="5" t="s">
        <v>1969</v>
      </c>
      <c r="D43" s="7" t="s">
        <v>309</v>
      </c>
      <c r="E43" s="5"/>
      <c r="F43" s="5"/>
      <c r="G43" s="7">
        <v>6</v>
      </c>
      <c r="H43" s="5" t="s">
        <v>1981</v>
      </c>
      <c r="I43" s="5" t="s">
        <v>1982</v>
      </c>
      <c r="J43" s="5"/>
      <c r="K43" s="7" t="s">
        <v>7</v>
      </c>
      <c r="L43" s="7"/>
      <c r="M43" s="5"/>
      <c r="N43" s="5"/>
    </row>
    <row r="44" spans="1:14" customHeight="1" ht="30">
      <c r="A44" s="9" t="s">
        <v>1968</v>
      </c>
      <c r="B44" s="5" t="s">
        <v>1881</v>
      </c>
      <c r="C44" s="5" t="s">
        <v>1969</v>
      </c>
      <c r="D44" s="7" t="s">
        <v>309</v>
      </c>
      <c r="E44" s="5"/>
      <c r="F44" s="5"/>
      <c r="G44" s="7">
        <v>7</v>
      </c>
      <c r="H44" s="5" t="s">
        <v>1983</v>
      </c>
      <c r="I44" s="5" t="s">
        <v>1984</v>
      </c>
      <c r="J44" s="5"/>
      <c r="K44" s="7" t="s">
        <v>7</v>
      </c>
      <c r="L44" s="7"/>
      <c r="M44" s="5"/>
      <c r="N44" s="5"/>
    </row>
    <row r="45" spans="1:14" customHeight="1" ht="40">
      <c r="A45" s="8" t="s">
        <v>1985</v>
      </c>
      <c r="B45" s="4" t="s">
        <v>1881</v>
      </c>
      <c r="C45" s="4" t="s">
        <v>1986</v>
      </c>
      <c r="D45" s="6" t="s">
        <v>441</v>
      </c>
      <c r="E45" s="4" t="s">
        <v>1987</v>
      </c>
      <c r="F45" s="4" t="s">
        <v>1988</v>
      </c>
      <c r="G45" s="6">
        <v>1</v>
      </c>
      <c r="H45" s="4" t="s">
        <v>1989</v>
      </c>
      <c r="I45" s="4" t="s">
        <v>1990</v>
      </c>
      <c r="J45" s="4"/>
      <c r="K45" s="6" t="s">
        <v>7</v>
      </c>
      <c r="L45" s="6"/>
      <c r="M45" s="4"/>
      <c r="N45" s="4"/>
    </row>
    <row r="46" spans="1:14" customHeight="1" ht="30">
      <c r="A46" s="8" t="s">
        <v>1985</v>
      </c>
      <c r="B46" s="4" t="s">
        <v>1881</v>
      </c>
      <c r="C46" s="4" t="s">
        <v>1986</v>
      </c>
      <c r="D46" s="6" t="s">
        <v>441</v>
      </c>
      <c r="E46" s="4"/>
      <c r="F46" s="4"/>
      <c r="G46" s="6">
        <v>2</v>
      </c>
      <c r="H46" s="4" t="s">
        <v>1991</v>
      </c>
      <c r="I46" s="4" t="s">
        <v>1992</v>
      </c>
      <c r="J46" s="4"/>
      <c r="K46" s="6" t="s">
        <v>7</v>
      </c>
      <c r="L46" s="6"/>
      <c r="M46" s="4"/>
      <c r="N46" s="4"/>
    </row>
    <row r="47" spans="1:14" customHeight="1" ht="30">
      <c r="A47" s="8" t="s">
        <v>1985</v>
      </c>
      <c r="B47" s="4" t="s">
        <v>1881</v>
      </c>
      <c r="C47" s="4" t="s">
        <v>1986</v>
      </c>
      <c r="D47" s="6" t="s">
        <v>441</v>
      </c>
      <c r="E47" s="4"/>
      <c r="F47" s="4"/>
      <c r="G47" s="6">
        <v>3</v>
      </c>
      <c r="H47" s="4" t="s">
        <v>1919</v>
      </c>
      <c r="I47" s="4" t="s">
        <v>1931</v>
      </c>
      <c r="J47" s="4"/>
      <c r="K47" s="6" t="s">
        <v>7</v>
      </c>
      <c r="L47" s="6"/>
      <c r="M47" s="4"/>
      <c r="N47" s="4"/>
    </row>
    <row r="48" spans="1:14" customHeight="1" ht="30">
      <c r="A48" s="8" t="s">
        <v>1985</v>
      </c>
      <c r="B48" s="4" t="s">
        <v>1881</v>
      </c>
      <c r="C48" s="4" t="s">
        <v>1986</v>
      </c>
      <c r="D48" s="6" t="s">
        <v>441</v>
      </c>
      <c r="E48" s="4"/>
      <c r="F48" s="4"/>
      <c r="G48" s="6">
        <v>4</v>
      </c>
      <c r="H48" s="4" t="s">
        <v>1993</v>
      </c>
      <c r="I48" s="4" t="s">
        <v>1994</v>
      </c>
      <c r="J48" s="4"/>
      <c r="K48" s="6" t="s">
        <v>7</v>
      </c>
      <c r="L48" s="6"/>
      <c r="M48" s="4"/>
      <c r="N48" s="4"/>
    </row>
  </sheetData>
  <autoFilter ref="A3:N48"/>
  <mergeCells>
    <mergeCell ref="A1:N1"/>
    <mergeCell ref="A2:N2"/>
  </mergeCells>
  <conditionalFormatting sqref="K4:K48">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8">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8">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8">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8">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8"/>
  <sheetViews>
    <sheetView tabSelected="0" workbookViewId="0" showGridLines="true" showRowColHeaders="1">
      <pane xSplit="2" ySplit="3" topLeftCell="C4" activePane="bottomRight" state="frozen"/>
      <selection pane="topRight"/>
      <selection pane="bottomLeft"/>
      <selection pane="bottomRight" activeCell="L4" sqref="L4:L48"/>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1995</v>
      </c>
    </row>
    <row r="2" spans="1:14" customHeight="1" ht="30">
      <c r="A2" s="2" t="s">
        <v>1996</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1997</v>
      </c>
      <c r="B4" s="4" t="s">
        <v>1995</v>
      </c>
      <c r="C4" s="4" t="s">
        <v>1998</v>
      </c>
      <c r="D4" s="6" t="s">
        <v>322</v>
      </c>
      <c r="E4" s="4" t="s">
        <v>1999</v>
      </c>
      <c r="F4" s="4" t="s">
        <v>1735</v>
      </c>
      <c r="G4" s="6">
        <v>1</v>
      </c>
      <c r="H4" s="4" t="s">
        <v>2000</v>
      </c>
      <c r="I4" s="4" t="s">
        <v>2001</v>
      </c>
      <c r="J4" s="4"/>
      <c r="K4" s="6" t="s">
        <v>7</v>
      </c>
      <c r="L4" s="6"/>
      <c r="M4" s="4"/>
      <c r="N4" s="4"/>
    </row>
    <row r="5" spans="1:14" customHeight="1" ht="30">
      <c r="A5" s="8" t="s">
        <v>1997</v>
      </c>
      <c r="B5" s="4" t="s">
        <v>1995</v>
      </c>
      <c r="C5" s="4" t="s">
        <v>1998</v>
      </c>
      <c r="D5" s="6" t="s">
        <v>322</v>
      </c>
      <c r="E5" s="4"/>
      <c r="F5" s="4"/>
      <c r="G5" s="6">
        <v>2</v>
      </c>
      <c r="H5" s="4" t="s">
        <v>2002</v>
      </c>
      <c r="I5" s="4" t="s">
        <v>2003</v>
      </c>
      <c r="J5" s="4"/>
      <c r="K5" s="6" t="s">
        <v>7</v>
      </c>
      <c r="L5" s="6"/>
      <c r="M5" s="4"/>
      <c r="N5" s="4"/>
    </row>
    <row r="6" spans="1:14" customHeight="1" ht="30">
      <c r="A6" s="8" t="s">
        <v>1997</v>
      </c>
      <c r="B6" s="4" t="s">
        <v>1995</v>
      </c>
      <c r="C6" s="4" t="s">
        <v>1998</v>
      </c>
      <c r="D6" s="6" t="s">
        <v>322</v>
      </c>
      <c r="E6" s="4"/>
      <c r="F6" s="4"/>
      <c r="G6" s="6">
        <v>3</v>
      </c>
      <c r="H6" s="4" t="s">
        <v>2004</v>
      </c>
      <c r="I6" s="4" t="s">
        <v>2005</v>
      </c>
      <c r="J6" s="4"/>
      <c r="K6" s="6" t="s">
        <v>7</v>
      </c>
      <c r="L6" s="6"/>
      <c r="M6" s="4"/>
      <c r="N6" s="4"/>
    </row>
    <row r="7" spans="1:14" customHeight="1" ht="30">
      <c r="A7" s="8" t="s">
        <v>1997</v>
      </c>
      <c r="B7" s="4" t="s">
        <v>1995</v>
      </c>
      <c r="C7" s="4" t="s">
        <v>1998</v>
      </c>
      <c r="D7" s="6" t="s">
        <v>322</v>
      </c>
      <c r="E7" s="4"/>
      <c r="F7" s="4"/>
      <c r="G7" s="6">
        <v>4</v>
      </c>
      <c r="H7" s="4" t="s">
        <v>934</v>
      </c>
      <c r="I7" s="4" t="s">
        <v>136</v>
      </c>
      <c r="J7" s="4"/>
      <c r="K7" s="6" t="s">
        <v>7</v>
      </c>
      <c r="L7" s="6"/>
      <c r="M7" s="4"/>
      <c r="N7" s="4"/>
    </row>
    <row r="8" spans="1:14" customHeight="1" ht="30">
      <c r="A8" s="8" t="s">
        <v>1997</v>
      </c>
      <c r="B8" s="4" t="s">
        <v>1995</v>
      </c>
      <c r="C8" s="4" t="s">
        <v>1998</v>
      </c>
      <c r="D8" s="6" t="s">
        <v>322</v>
      </c>
      <c r="E8" s="4"/>
      <c r="F8" s="4"/>
      <c r="G8" s="6">
        <v>5</v>
      </c>
      <c r="H8" s="4" t="s">
        <v>936</v>
      </c>
      <c r="I8" s="4" t="s">
        <v>142</v>
      </c>
      <c r="J8" s="4"/>
      <c r="K8" s="6" t="s">
        <v>7</v>
      </c>
      <c r="L8" s="6"/>
      <c r="M8" s="4"/>
      <c r="N8" s="4"/>
    </row>
    <row r="9" spans="1:14" customHeight="1" ht="40">
      <c r="A9" s="8" t="s">
        <v>1997</v>
      </c>
      <c r="B9" s="4" t="s">
        <v>1995</v>
      </c>
      <c r="C9" s="4" t="s">
        <v>1998</v>
      </c>
      <c r="D9" s="6" t="s">
        <v>322</v>
      </c>
      <c r="E9" s="4"/>
      <c r="F9" s="4"/>
      <c r="G9" s="6">
        <v>6</v>
      </c>
      <c r="H9" s="4" t="s">
        <v>2006</v>
      </c>
      <c r="I9" s="4" t="s">
        <v>2007</v>
      </c>
      <c r="J9" s="4"/>
      <c r="K9" s="6" t="s">
        <v>7</v>
      </c>
      <c r="L9" s="6"/>
      <c r="M9" s="4"/>
      <c r="N9" s="4"/>
    </row>
    <row r="10" spans="1:14" customHeight="1" ht="30">
      <c r="A10" s="8" t="s">
        <v>1997</v>
      </c>
      <c r="B10" s="4" t="s">
        <v>1995</v>
      </c>
      <c r="C10" s="4" t="s">
        <v>1998</v>
      </c>
      <c r="D10" s="6" t="s">
        <v>322</v>
      </c>
      <c r="E10" s="4"/>
      <c r="F10" s="4"/>
      <c r="G10" s="6">
        <v>7</v>
      </c>
      <c r="H10" s="4" t="s">
        <v>2008</v>
      </c>
      <c r="I10" s="4" t="s">
        <v>1745</v>
      </c>
      <c r="J10" s="4"/>
      <c r="K10" s="6" t="s">
        <v>7</v>
      </c>
      <c r="L10" s="6"/>
      <c r="M10" s="4"/>
      <c r="N10" s="4"/>
    </row>
    <row r="11" spans="1:14" customHeight="1" ht="40">
      <c r="A11" s="8" t="s">
        <v>1997</v>
      </c>
      <c r="B11" s="4" t="s">
        <v>1995</v>
      </c>
      <c r="C11" s="4" t="s">
        <v>1998</v>
      </c>
      <c r="D11" s="6" t="s">
        <v>322</v>
      </c>
      <c r="E11" s="4"/>
      <c r="F11" s="4"/>
      <c r="G11" s="6">
        <v>8</v>
      </c>
      <c r="H11" s="4" t="s">
        <v>2009</v>
      </c>
      <c r="I11" s="4" t="s">
        <v>2010</v>
      </c>
      <c r="J11" s="4"/>
      <c r="K11" s="6" t="s">
        <v>7</v>
      </c>
      <c r="L11" s="6"/>
      <c r="M11" s="4"/>
      <c r="N11" s="4"/>
    </row>
    <row r="12" spans="1:14" customHeight="1" ht="30">
      <c r="A12" s="8" t="s">
        <v>1997</v>
      </c>
      <c r="B12" s="4" t="s">
        <v>1995</v>
      </c>
      <c r="C12" s="4" t="s">
        <v>1998</v>
      </c>
      <c r="D12" s="6" t="s">
        <v>322</v>
      </c>
      <c r="E12" s="4"/>
      <c r="F12" s="4"/>
      <c r="G12" s="6">
        <v>9</v>
      </c>
      <c r="H12" s="4" t="s">
        <v>2011</v>
      </c>
      <c r="I12" s="4" t="s">
        <v>2012</v>
      </c>
      <c r="J12" s="4"/>
      <c r="K12" s="6" t="s">
        <v>7</v>
      </c>
      <c r="L12" s="6"/>
      <c r="M12" s="4"/>
      <c r="N12" s="4"/>
    </row>
    <row r="13" spans="1:14" customHeight="1" ht="30">
      <c r="A13" s="8" t="s">
        <v>1997</v>
      </c>
      <c r="B13" s="4" t="s">
        <v>1995</v>
      </c>
      <c r="C13" s="4" t="s">
        <v>1998</v>
      </c>
      <c r="D13" s="6" t="s">
        <v>322</v>
      </c>
      <c r="E13" s="4"/>
      <c r="F13" s="4"/>
      <c r="G13" s="6">
        <v>10</v>
      </c>
      <c r="H13" s="4" t="s">
        <v>2013</v>
      </c>
      <c r="I13" s="4" t="s">
        <v>2014</v>
      </c>
      <c r="J13" s="4"/>
      <c r="K13" s="6" t="s">
        <v>7</v>
      </c>
      <c r="L13" s="6"/>
      <c r="M13" s="4"/>
      <c r="N13" s="4"/>
    </row>
    <row r="14" spans="1:14" customHeight="1" ht="40">
      <c r="A14" s="8" t="s">
        <v>1997</v>
      </c>
      <c r="B14" s="4" t="s">
        <v>1995</v>
      </c>
      <c r="C14" s="4" t="s">
        <v>1998</v>
      </c>
      <c r="D14" s="6" t="s">
        <v>322</v>
      </c>
      <c r="E14" s="4"/>
      <c r="F14" s="4"/>
      <c r="G14" s="6">
        <v>11</v>
      </c>
      <c r="H14" s="4" t="s">
        <v>2015</v>
      </c>
      <c r="I14" s="4" t="s">
        <v>2016</v>
      </c>
      <c r="J14" s="4"/>
      <c r="K14" s="6" t="s">
        <v>7</v>
      </c>
      <c r="L14" s="6"/>
      <c r="M14" s="4"/>
      <c r="N14" s="4"/>
    </row>
    <row r="15" spans="1:14" customHeight="1" ht="30">
      <c r="A15" s="9" t="s">
        <v>2017</v>
      </c>
      <c r="B15" s="5" t="s">
        <v>1995</v>
      </c>
      <c r="C15" s="5" t="s">
        <v>2018</v>
      </c>
      <c r="D15" s="7" t="s">
        <v>322</v>
      </c>
      <c r="E15" s="5" t="s">
        <v>2019</v>
      </c>
      <c r="F15" s="5" t="s">
        <v>2020</v>
      </c>
      <c r="G15" s="7">
        <v>1</v>
      </c>
      <c r="H15" s="5" t="s">
        <v>2021</v>
      </c>
      <c r="I15" s="5" t="s">
        <v>2022</v>
      </c>
      <c r="J15" s="5"/>
      <c r="K15" s="7" t="s">
        <v>7</v>
      </c>
      <c r="L15" s="7"/>
      <c r="M15" s="5"/>
      <c r="N15" s="5"/>
    </row>
    <row r="16" spans="1:14" customHeight="1" ht="30">
      <c r="A16" s="9" t="s">
        <v>2017</v>
      </c>
      <c r="B16" s="5" t="s">
        <v>1995</v>
      </c>
      <c r="C16" s="5" t="s">
        <v>2018</v>
      </c>
      <c r="D16" s="7" t="s">
        <v>322</v>
      </c>
      <c r="E16" s="5"/>
      <c r="F16" s="5"/>
      <c r="G16" s="7">
        <v>2</v>
      </c>
      <c r="H16" s="5" t="s">
        <v>2023</v>
      </c>
      <c r="I16" s="5" t="s">
        <v>2024</v>
      </c>
      <c r="J16" s="5"/>
      <c r="K16" s="7" t="s">
        <v>7</v>
      </c>
      <c r="L16" s="7"/>
      <c r="M16" s="5"/>
      <c r="N16" s="5"/>
    </row>
    <row r="17" spans="1:14" customHeight="1" ht="30">
      <c r="A17" s="9" t="s">
        <v>2017</v>
      </c>
      <c r="B17" s="5" t="s">
        <v>1995</v>
      </c>
      <c r="C17" s="5" t="s">
        <v>2018</v>
      </c>
      <c r="D17" s="7" t="s">
        <v>322</v>
      </c>
      <c r="E17" s="5"/>
      <c r="F17" s="5"/>
      <c r="G17" s="7">
        <v>3</v>
      </c>
      <c r="H17" s="5" t="s">
        <v>2025</v>
      </c>
      <c r="I17" s="5" t="s">
        <v>2026</v>
      </c>
      <c r="J17" s="5"/>
      <c r="K17" s="7" t="s">
        <v>7</v>
      </c>
      <c r="L17" s="7"/>
      <c r="M17" s="5"/>
      <c r="N17" s="5"/>
    </row>
    <row r="18" spans="1:14" customHeight="1" ht="30">
      <c r="A18" s="9" t="s">
        <v>2017</v>
      </c>
      <c r="B18" s="5" t="s">
        <v>1995</v>
      </c>
      <c r="C18" s="5" t="s">
        <v>2018</v>
      </c>
      <c r="D18" s="7" t="s">
        <v>322</v>
      </c>
      <c r="E18" s="5"/>
      <c r="F18" s="5"/>
      <c r="G18" s="7">
        <v>4</v>
      </c>
      <c r="H18" s="5" t="s">
        <v>2027</v>
      </c>
      <c r="I18" s="5" t="s">
        <v>2028</v>
      </c>
      <c r="J18" s="5"/>
      <c r="K18" s="7" t="s">
        <v>7</v>
      </c>
      <c r="L18" s="7"/>
      <c r="M18" s="5"/>
      <c r="N18" s="5"/>
    </row>
    <row r="19" spans="1:14" customHeight="1" ht="30">
      <c r="A19" s="9" t="s">
        <v>2017</v>
      </c>
      <c r="B19" s="5" t="s">
        <v>1995</v>
      </c>
      <c r="C19" s="5" t="s">
        <v>2018</v>
      </c>
      <c r="D19" s="7" t="s">
        <v>322</v>
      </c>
      <c r="E19" s="5"/>
      <c r="F19" s="5"/>
      <c r="G19" s="7">
        <v>5</v>
      </c>
      <c r="H19" s="5" t="s">
        <v>2006</v>
      </c>
      <c r="I19" s="5" t="s">
        <v>188</v>
      </c>
      <c r="J19" s="5"/>
      <c r="K19" s="7" t="s">
        <v>7</v>
      </c>
      <c r="L19" s="7"/>
      <c r="M19" s="5"/>
      <c r="N19" s="5"/>
    </row>
    <row r="20" spans="1:14" customHeight="1" ht="30">
      <c r="A20" s="9" t="s">
        <v>2017</v>
      </c>
      <c r="B20" s="5" t="s">
        <v>1995</v>
      </c>
      <c r="C20" s="5" t="s">
        <v>2018</v>
      </c>
      <c r="D20" s="7" t="s">
        <v>322</v>
      </c>
      <c r="E20" s="5"/>
      <c r="F20" s="5"/>
      <c r="G20" s="7">
        <v>6</v>
      </c>
      <c r="H20" s="5" t="s">
        <v>2008</v>
      </c>
      <c r="I20" s="5" t="s">
        <v>2029</v>
      </c>
      <c r="J20" s="5"/>
      <c r="K20" s="7" t="s">
        <v>7</v>
      </c>
      <c r="L20" s="7"/>
      <c r="M20" s="5"/>
      <c r="N20" s="5"/>
    </row>
    <row r="21" spans="1:14" customHeight="1" ht="30">
      <c r="A21" s="9" t="s">
        <v>2017</v>
      </c>
      <c r="B21" s="5" t="s">
        <v>1995</v>
      </c>
      <c r="C21" s="5" t="s">
        <v>2018</v>
      </c>
      <c r="D21" s="7" t="s">
        <v>322</v>
      </c>
      <c r="E21" s="5"/>
      <c r="F21" s="5"/>
      <c r="G21" s="7">
        <v>7</v>
      </c>
      <c r="H21" s="5" t="s">
        <v>2030</v>
      </c>
      <c r="I21" s="5" t="s">
        <v>2031</v>
      </c>
      <c r="J21" s="5"/>
      <c r="K21" s="7" t="s">
        <v>7</v>
      </c>
      <c r="L21" s="7"/>
      <c r="M21" s="5"/>
      <c r="N21" s="5"/>
    </row>
    <row r="22" spans="1:14" customHeight="1" ht="40">
      <c r="A22" s="9" t="s">
        <v>2017</v>
      </c>
      <c r="B22" s="5" t="s">
        <v>1995</v>
      </c>
      <c r="C22" s="5" t="s">
        <v>2018</v>
      </c>
      <c r="D22" s="7" t="s">
        <v>322</v>
      </c>
      <c r="E22" s="5"/>
      <c r="F22" s="5"/>
      <c r="G22" s="7">
        <v>8</v>
      </c>
      <c r="H22" s="5" t="s">
        <v>2032</v>
      </c>
      <c r="I22" s="5" t="s">
        <v>2033</v>
      </c>
      <c r="J22" s="5"/>
      <c r="K22" s="7" t="s">
        <v>7</v>
      </c>
      <c r="L22" s="7"/>
      <c r="M22" s="5"/>
      <c r="N22" s="5"/>
    </row>
    <row r="23" spans="1:14" customHeight="1" ht="30">
      <c r="A23" s="8" t="s">
        <v>2034</v>
      </c>
      <c r="B23" s="4" t="s">
        <v>1995</v>
      </c>
      <c r="C23" s="4" t="s">
        <v>2035</v>
      </c>
      <c r="D23" s="6" t="s">
        <v>322</v>
      </c>
      <c r="E23" s="4" t="s">
        <v>2036</v>
      </c>
      <c r="F23" s="4" t="s">
        <v>1799</v>
      </c>
      <c r="G23" s="6">
        <v>1</v>
      </c>
      <c r="H23" s="4" t="s">
        <v>2037</v>
      </c>
      <c r="I23" s="4" t="s">
        <v>1783</v>
      </c>
      <c r="J23" s="4"/>
      <c r="K23" s="6" t="s">
        <v>7</v>
      </c>
      <c r="L23" s="6"/>
      <c r="M23" s="4"/>
      <c r="N23" s="4"/>
    </row>
    <row r="24" spans="1:14" customHeight="1" ht="40">
      <c r="A24" s="8" t="s">
        <v>2034</v>
      </c>
      <c r="B24" s="4" t="s">
        <v>1995</v>
      </c>
      <c r="C24" s="4" t="s">
        <v>2035</v>
      </c>
      <c r="D24" s="6" t="s">
        <v>322</v>
      </c>
      <c r="E24" s="4"/>
      <c r="F24" s="4"/>
      <c r="G24" s="6">
        <v>2</v>
      </c>
      <c r="H24" s="4" t="s">
        <v>1683</v>
      </c>
      <c r="I24" s="4" t="s">
        <v>2038</v>
      </c>
      <c r="J24" s="4"/>
      <c r="K24" s="6" t="s">
        <v>7</v>
      </c>
      <c r="L24" s="6"/>
      <c r="M24" s="4"/>
      <c r="N24" s="4"/>
    </row>
    <row r="25" spans="1:14" customHeight="1" ht="30">
      <c r="A25" s="8" t="s">
        <v>2034</v>
      </c>
      <c r="B25" s="4" t="s">
        <v>1995</v>
      </c>
      <c r="C25" s="4" t="s">
        <v>2035</v>
      </c>
      <c r="D25" s="6" t="s">
        <v>322</v>
      </c>
      <c r="E25" s="4"/>
      <c r="F25" s="4"/>
      <c r="G25" s="6">
        <v>3</v>
      </c>
      <c r="H25" s="4" t="s">
        <v>2039</v>
      </c>
      <c r="I25" s="4" t="s">
        <v>2040</v>
      </c>
      <c r="J25" s="4"/>
      <c r="K25" s="6" t="s">
        <v>7</v>
      </c>
      <c r="L25" s="6"/>
      <c r="M25" s="4"/>
      <c r="N25" s="4"/>
    </row>
    <row r="26" spans="1:14" customHeight="1" ht="40">
      <c r="A26" s="8" t="s">
        <v>2034</v>
      </c>
      <c r="B26" s="4" t="s">
        <v>1995</v>
      </c>
      <c r="C26" s="4" t="s">
        <v>2035</v>
      </c>
      <c r="D26" s="6" t="s">
        <v>322</v>
      </c>
      <c r="E26" s="4"/>
      <c r="F26" s="4"/>
      <c r="G26" s="6">
        <v>4</v>
      </c>
      <c r="H26" s="4" t="s">
        <v>2041</v>
      </c>
      <c r="I26" s="4" t="s">
        <v>2042</v>
      </c>
      <c r="J26" s="4"/>
      <c r="K26" s="6" t="s">
        <v>7</v>
      </c>
      <c r="L26" s="6"/>
      <c r="M26" s="4"/>
      <c r="N26" s="4"/>
    </row>
    <row r="27" spans="1:14" customHeight="1" ht="40">
      <c r="A27" s="8" t="s">
        <v>2034</v>
      </c>
      <c r="B27" s="4" t="s">
        <v>1995</v>
      </c>
      <c r="C27" s="4" t="s">
        <v>2035</v>
      </c>
      <c r="D27" s="6" t="s">
        <v>322</v>
      </c>
      <c r="E27" s="4"/>
      <c r="F27" s="4"/>
      <c r="G27" s="6">
        <v>5</v>
      </c>
      <c r="H27" s="4" t="s">
        <v>2043</v>
      </c>
      <c r="I27" s="4" t="s">
        <v>2044</v>
      </c>
      <c r="J27" s="4"/>
      <c r="K27" s="6" t="s">
        <v>7</v>
      </c>
      <c r="L27" s="6"/>
      <c r="M27" s="4"/>
      <c r="N27" s="4"/>
    </row>
    <row r="28" spans="1:14" customHeight="1" ht="30">
      <c r="A28" s="9" t="s">
        <v>2045</v>
      </c>
      <c r="B28" s="5" t="s">
        <v>1995</v>
      </c>
      <c r="C28" s="5" t="s">
        <v>2046</v>
      </c>
      <c r="D28" s="7" t="s">
        <v>309</v>
      </c>
      <c r="E28" s="5" t="s">
        <v>2047</v>
      </c>
      <c r="F28" s="5" t="s">
        <v>2048</v>
      </c>
      <c r="G28" s="7">
        <v>1</v>
      </c>
      <c r="H28" s="5" t="s">
        <v>2049</v>
      </c>
      <c r="I28" s="5" t="s">
        <v>1783</v>
      </c>
      <c r="J28" s="5"/>
      <c r="K28" s="7" t="s">
        <v>7</v>
      </c>
      <c r="L28" s="7"/>
      <c r="M28" s="5"/>
      <c r="N28" s="5"/>
    </row>
    <row r="29" spans="1:14" customHeight="1" ht="30">
      <c r="A29" s="9" t="s">
        <v>2045</v>
      </c>
      <c r="B29" s="5" t="s">
        <v>1995</v>
      </c>
      <c r="C29" s="5" t="s">
        <v>2046</v>
      </c>
      <c r="D29" s="7" t="s">
        <v>309</v>
      </c>
      <c r="E29" s="5"/>
      <c r="F29" s="5"/>
      <c r="G29" s="7">
        <v>2</v>
      </c>
      <c r="H29" s="5" t="s">
        <v>2050</v>
      </c>
      <c r="I29" s="5" t="s">
        <v>2051</v>
      </c>
      <c r="J29" s="5"/>
      <c r="K29" s="7" t="s">
        <v>7</v>
      </c>
      <c r="L29" s="7"/>
      <c r="M29" s="5"/>
      <c r="N29" s="5"/>
    </row>
    <row r="30" spans="1:14" customHeight="1" ht="30">
      <c r="A30" s="9" t="s">
        <v>2045</v>
      </c>
      <c r="B30" s="5" t="s">
        <v>1995</v>
      </c>
      <c r="C30" s="5" t="s">
        <v>2046</v>
      </c>
      <c r="D30" s="7" t="s">
        <v>309</v>
      </c>
      <c r="E30" s="5"/>
      <c r="F30" s="5"/>
      <c r="G30" s="7">
        <v>3</v>
      </c>
      <c r="H30" s="5" t="s">
        <v>2052</v>
      </c>
      <c r="I30" s="5" t="s">
        <v>1631</v>
      </c>
      <c r="J30" s="5"/>
      <c r="K30" s="7" t="s">
        <v>7</v>
      </c>
      <c r="L30" s="7"/>
      <c r="M30" s="5"/>
      <c r="N30" s="5"/>
    </row>
    <row r="31" spans="1:14" customHeight="1" ht="40">
      <c r="A31" s="9" t="s">
        <v>2045</v>
      </c>
      <c r="B31" s="5" t="s">
        <v>1995</v>
      </c>
      <c r="C31" s="5" t="s">
        <v>2046</v>
      </c>
      <c r="D31" s="7" t="s">
        <v>309</v>
      </c>
      <c r="E31" s="5"/>
      <c r="F31" s="5"/>
      <c r="G31" s="7">
        <v>4</v>
      </c>
      <c r="H31" s="5" t="s">
        <v>2053</v>
      </c>
      <c r="I31" s="5" t="s">
        <v>2054</v>
      </c>
      <c r="J31" s="5"/>
      <c r="K31" s="7" t="s">
        <v>7</v>
      </c>
      <c r="L31" s="7"/>
      <c r="M31" s="5"/>
      <c r="N31" s="5"/>
    </row>
    <row r="32" spans="1:14" customHeight="1" ht="30">
      <c r="A32" s="9" t="s">
        <v>2045</v>
      </c>
      <c r="B32" s="5" t="s">
        <v>1995</v>
      </c>
      <c r="C32" s="5" t="s">
        <v>2046</v>
      </c>
      <c r="D32" s="7" t="s">
        <v>309</v>
      </c>
      <c r="E32" s="5"/>
      <c r="F32" s="5"/>
      <c r="G32" s="7">
        <v>5</v>
      </c>
      <c r="H32" s="5" t="s">
        <v>2055</v>
      </c>
      <c r="I32" s="5" t="s">
        <v>2056</v>
      </c>
      <c r="J32" s="5"/>
      <c r="K32" s="7" t="s">
        <v>7</v>
      </c>
      <c r="L32" s="7"/>
      <c r="M32" s="5"/>
      <c r="N32" s="5"/>
    </row>
    <row r="33" spans="1:14" customHeight="1" ht="53">
      <c r="A33" s="9" t="s">
        <v>2045</v>
      </c>
      <c r="B33" s="5" t="s">
        <v>1995</v>
      </c>
      <c r="C33" s="5" t="s">
        <v>2046</v>
      </c>
      <c r="D33" s="7" t="s">
        <v>309</v>
      </c>
      <c r="E33" s="5"/>
      <c r="F33" s="5"/>
      <c r="G33" s="7">
        <v>6</v>
      </c>
      <c r="H33" s="5" t="s">
        <v>2057</v>
      </c>
      <c r="I33" s="5" t="s">
        <v>2058</v>
      </c>
      <c r="J33" s="5"/>
      <c r="K33" s="7" t="s">
        <v>7</v>
      </c>
      <c r="L33" s="7"/>
      <c r="M33" s="5"/>
      <c r="N33" s="5"/>
    </row>
    <row r="34" spans="1:14" customHeight="1" ht="40">
      <c r="A34" s="8" t="s">
        <v>2059</v>
      </c>
      <c r="B34" s="4" t="s">
        <v>1995</v>
      </c>
      <c r="C34" s="4" t="s">
        <v>2060</v>
      </c>
      <c r="D34" s="6" t="s">
        <v>322</v>
      </c>
      <c r="E34" s="4" t="s">
        <v>2061</v>
      </c>
      <c r="F34" s="4" t="s">
        <v>2062</v>
      </c>
      <c r="G34" s="6">
        <v>1</v>
      </c>
      <c r="H34" s="4" t="s">
        <v>2063</v>
      </c>
      <c r="I34" s="4" t="s">
        <v>2064</v>
      </c>
      <c r="J34" s="4"/>
      <c r="K34" s="6" t="s">
        <v>7</v>
      </c>
      <c r="L34" s="6"/>
      <c r="M34" s="4"/>
      <c r="N34" s="4"/>
    </row>
    <row r="35" spans="1:14" customHeight="1" ht="40">
      <c r="A35" s="8" t="s">
        <v>2059</v>
      </c>
      <c r="B35" s="4" t="s">
        <v>1995</v>
      </c>
      <c r="C35" s="4" t="s">
        <v>2060</v>
      </c>
      <c r="D35" s="6" t="s">
        <v>322</v>
      </c>
      <c r="E35" s="4"/>
      <c r="F35" s="4"/>
      <c r="G35" s="6">
        <v>2</v>
      </c>
      <c r="H35" s="4" t="s">
        <v>2065</v>
      </c>
      <c r="I35" s="4" t="s">
        <v>2066</v>
      </c>
      <c r="J35" s="4"/>
      <c r="K35" s="6" t="s">
        <v>7</v>
      </c>
      <c r="L35" s="6"/>
      <c r="M35" s="4"/>
      <c r="N35" s="4"/>
    </row>
    <row r="36" spans="1:14" customHeight="1" ht="40">
      <c r="A36" s="8" t="s">
        <v>2059</v>
      </c>
      <c r="B36" s="4" t="s">
        <v>1995</v>
      </c>
      <c r="C36" s="4" t="s">
        <v>2060</v>
      </c>
      <c r="D36" s="6" t="s">
        <v>322</v>
      </c>
      <c r="E36" s="4"/>
      <c r="F36" s="4"/>
      <c r="G36" s="6">
        <v>3</v>
      </c>
      <c r="H36" s="4" t="s">
        <v>2067</v>
      </c>
      <c r="I36" s="4" t="s">
        <v>2068</v>
      </c>
      <c r="J36" s="4"/>
      <c r="K36" s="6" t="s">
        <v>7</v>
      </c>
      <c r="L36" s="6"/>
      <c r="M36" s="4"/>
      <c r="N36" s="4"/>
    </row>
    <row r="37" spans="1:14" customHeight="1" ht="40">
      <c r="A37" s="8" t="s">
        <v>2059</v>
      </c>
      <c r="B37" s="4" t="s">
        <v>1995</v>
      </c>
      <c r="C37" s="4" t="s">
        <v>2060</v>
      </c>
      <c r="D37" s="6" t="s">
        <v>322</v>
      </c>
      <c r="E37" s="4"/>
      <c r="F37" s="4"/>
      <c r="G37" s="6">
        <v>4</v>
      </c>
      <c r="H37" s="4" t="s">
        <v>2069</v>
      </c>
      <c r="I37" s="4" t="s">
        <v>2070</v>
      </c>
      <c r="J37" s="4"/>
      <c r="K37" s="6" t="s">
        <v>7</v>
      </c>
      <c r="L37" s="6"/>
      <c r="M37" s="4"/>
      <c r="N37" s="4"/>
    </row>
    <row r="38" spans="1:14" customHeight="1" ht="40">
      <c r="A38" s="8" t="s">
        <v>2059</v>
      </c>
      <c r="B38" s="4" t="s">
        <v>1995</v>
      </c>
      <c r="C38" s="4" t="s">
        <v>2060</v>
      </c>
      <c r="D38" s="6" t="s">
        <v>322</v>
      </c>
      <c r="E38" s="4"/>
      <c r="F38" s="4"/>
      <c r="G38" s="6">
        <v>5</v>
      </c>
      <c r="H38" s="4" t="s">
        <v>2071</v>
      </c>
      <c r="I38" s="4" t="s">
        <v>2072</v>
      </c>
      <c r="J38" s="4"/>
      <c r="K38" s="6" t="s">
        <v>7</v>
      </c>
      <c r="L38" s="6"/>
      <c r="M38" s="4"/>
      <c r="N38" s="4"/>
    </row>
    <row r="39" spans="1:14" customHeight="1" ht="30">
      <c r="A39" s="9" t="s">
        <v>2073</v>
      </c>
      <c r="B39" s="5" t="s">
        <v>1995</v>
      </c>
      <c r="C39" s="5" t="s">
        <v>2074</v>
      </c>
      <c r="D39" s="7" t="s">
        <v>441</v>
      </c>
      <c r="E39" s="5" t="s">
        <v>2075</v>
      </c>
      <c r="F39" s="5" t="s">
        <v>2076</v>
      </c>
      <c r="G39" s="7">
        <v>1</v>
      </c>
      <c r="H39" s="5" t="s">
        <v>2077</v>
      </c>
      <c r="I39" s="5" t="s">
        <v>2022</v>
      </c>
      <c r="J39" s="5"/>
      <c r="K39" s="7" t="s">
        <v>7</v>
      </c>
      <c r="L39" s="7"/>
      <c r="M39" s="5"/>
      <c r="N39" s="5"/>
    </row>
    <row r="40" spans="1:14" customHeight="1" ht="40">
      <c r="A40" s="9" t="s">
        <v>2073</v>
      </c>
      <c r="B40" s="5" t="s">
        <v>1995</v>
      </c>
      <c r="C40" s="5" t="s">
        <v>2074</v>
      </c>
      <c r="D40" s="7" t="s">
        <v>441</v>
      </c>
      <c r="E40" s="5"/>
      <c r="F40" s="5"/>
      <c r="G40" s="7">
        <v>2</v>
      </c>
      <c r="H40" s="5" t="s">
        <v>2078</v>
      </c>
      <c r="I40" s="5" t="s">
        <v>2079</v>
      </c>
      <c r="J40" s="5"/>
      <c r="K40" s="7" t="s">
        <v>7</v>
      </c>
      <c r="L40" s="7"/>
      <c r="M40" s="5"/>
      <c r="N40" s="5"/>
    </row>
    <row r="41" spans="1:14" customHeight="1" ht="40">
      <c r="A41" s="9" t="s">
        <v>2073</v>
      </c>
      <c r="B41" s="5" t="s">
        <v>1995</v>
      </c>
      <c r="C41" s="5" t="s">
        <v>2074</v>
      </c>
      <c r="D41" s="7" t="s">
        <v>441</v>
      </c>
      <c r="E41" s="5"/>
      <c r="F41" s="5"/>
      <c r="G41" s="7">
        <v>3</v>
      </c>
      <c r="H41" s="5" t="s">
        <v>2080</v>
      </c>
      <c r="I41" s="5" t="s">
        <v>2081</v>
      </c>
      <c r="J41" s="5"/>
      <c r="K41" s="7" t="s">
        <v>7</v>
      </c>
      <c r="L41" s="7"/>
      <c r="M41" s="5"/>
      <c r="N41" s="5"/>
    </row>
    <row r="42" spans="1:14" customHeight="1" ht="30">
      <c r="A42" s="9" t="s">
        <v>2073</v>
      </c>
      <c r="B42" s="5" t="s">
        <v>1995</v>
      </c>
      <c r="C42" s="5" t="s">
        <v>2074</v>
      </c>
      <c r="D42" s="7" t="s">
        <v>441</v>
      </c>
      <c r="E42" s="5"/>
      <c r="F42" s="5"/>
      <c r="G42" s="7">
        <v>4</v>
      </c>
      <c r="H42" s="5" t="s">
        <v>2082</v>
      </c>
      <c r="I42" s="5" t="s">
        <v>2083</v>
      </c>
      <c r="J42" s="5"/>
      <c r="K42" s="7" t="s">
        <v>7</v>
      </c>
      <c r="L42" s="7"/>
      <c r="M42" s="5"/>
      <c r="N42" s="5"/>
    </row>
    <row r="43" spans="1:14" customHeight="1" ht="30">
      <c r="A43" s="8" t="s">
        <v>2084</v>
      </c>
      <c r="B43" s="4" t="s">
        <v>1995</v>
      </c>
      <c r="C43" s="4" t="s">
        <v>2085</v>
      </c>
      <c r="D43" s="6" t="s">
        <v>309</v>
      </c>
      <c r="E43" s="4" t="s">
        <v>2086</v>
      </c>
      <c r="F43" s="4" t="s">
        <v>2087</v>
      </c>
      <c r="G43" s="6">
        <v>1</v>
      </c>
      <c r="H43" s="4" t="s">
        <v>2088</v>
      </c>
      <c r="I43" s="4" t="s">
        <v>2089</v>
      </c>
      <c r="J43" s="4"/>
      <c r="K43" s="6" t="s">
        <v>7</v>
      </c>
      <c r="L43" s="6"/>
      <c r="M43" s="4"/>
      <c r="N43" s="4"/>
    </row>
    <row r="44" spans="1:14" customHeight="1" ht="30">
      <c r="A44" s="8" t="s">
        <v>2084</v>
      </c>
      <c r="B44" s="4" t="s">
        <v>1995</v>
      </c>
      <c r="C44" s="4" t="s">
        <v>2085</v>
      </c>
      <c r="D44" s="6" t="s">
        <v>309</v>
      </c>
      <c r="E44" s="4"/>
      <c r="F44" s="4"/>
      <c r="G44" s="6">
        <v>2</v>
      </c>
      <c r="H44" s="4" t="s">
        <v>2090</v>
      </c>
      <c r="I44" s="4" t="s">
        <v>2091</v>
      </c>
      <c r="J44" s="4"/>
      <c r="K44" s="6" t="s">
        <v>7</v>
      </c>
      <c r="L44" s="6"/>
      <c r="M44" s="4"/>
      <c r="N44" s="4"/>
    </row>
    <row r="45" spans="1:14" customHeight="1" ht="30">
      <c r="A45" s="8" t="s">
        <v>2084</v>
      </c>
      <c r="B45" s="4" t="s">
        <v>1995</v>
      </c>
      <c r="C45" s="4" t="s">
        <v>2085</v>
      </c>
      <c r="D45" s="6" t="s">
        <v>309</v>
      </c>
      <c r="E45" s="4"/>
      <c r="F45" s="4"/>
      <c r="G45" s="6">
        <v>3</v>
      </c>
      <c r="H45" s="4" t="s">
        <v>2092</v>
      </c>
      <c r="I45" s="4" t="s">
        <v>2093</v>
      </c>
      <c r="J45" s="4"/>
      <c r="K45" s="6" t="s">
        <v>7</v>
      </c>
      <c r="L45" s="6"/>
      <c r="M45" s="4"/>
      <c r="N45" s="4"/>
    </row>
    <row r="46" spans="1:14" customHeight="1" ht="40">
      <c r="A46" s="8" t="s">
        <v>2084</v>
      </c>
      <c r="B46" s="4" t="s">
        <v>1995</v>
      </c>
      <c r="C46" s="4" t="s">
        <v>2085</v>
      </c>
      <c r="D46" s="6" t="s">
        <v>309</v>
      </c>
      <c r="E46" s="4"/>
      <c r="F46" s="4"/>
      <c r="G46" s="6">
        <v>4</v>
      </c>
      <c r="H46" s="4" t="s">
        <v>2094</v>
      </c>
      <c r="I46" s="4" t="s">
        <v>2095</v>
      </c>
      <c r="J46" s="4"/>
      <c r="K46" s="6" t="s">
        <v>7</v>
      </c>
      <c r="L46" s="6"/>
      <c r="M46" s="4"/>
      <c r="N46" s="4"/>
    </row>
    <row r="47" spans="1:14" customHeight="1" ht="30">
      <c r="A47" s="8" t="s">
        <v>2084</v>
      </c>
      <c r="B47" s="4" t="s">
        <v>1995</v>
      </c>
      <c r="C47" s="4" t="s">
        <v>2085</v>
      </c>
      <c r="D47" s="6" t="s">
        <v>309</v>
      </c>
      <c r="E47" s="4"/>
      <c r="F47" s="4"/>
      <c r="G47" s="6">
        <v>5</v>
      </c>
      <c r="H47" s="4" t="s">
        <v>2096</v>
      </c>
      <c r="I47" s="4" t="s">
        <v>2097</v>
      </c>
      <c r="J47" s="4"/>
      <c r="K47" s="6" t="s">
        <v>7</v>
      </c>
      <c r="L47" s="6"/>
      <c r="M47" s="4"/>
      <c r="N47" s="4"/>
    </row>
    <row r="48" spans="1:14" customHeight="1" ht="30">
      <c r="A48" s="8" t="s">
        <v>2084</v>
      </c>
      <c r="B48" s="4" t="s">
        <v>1995</v>
      </c>
      <c r="C48" s="4" t="s">
        <v>2085</v>
      </c>
      <c r="D48" s="6" t="s">
        <v>309</v>
      </c>
      <c r="E48" s="4"/>
      <c r="F48" s="4"/>
      <c r="G48" s="6">
        <v>6</v>
      </c>
      <c r="H48" s="4" t="s">
        <v>2098</v>
      </c>
      <c r="I48" s="4" t="s">
        <v>2099</v>
      </c>
      <c r="J48" s="4"/>
      <c r="K48" s="6" t="s">
        <v>7</v>
      </c>
      <c r="L48" s="6"/>
      <c r="M48" s="4"/>
      <c r="N48" s="4"/>
    </row>
  </sheetData>
  <autoFilter ref="A3:N48"/>
  <mergeCells>
    <mergeCell ref="A1:N1"/>
    <mergeCell ref="A2:N2"/>
  </mergeCells>
  <conditionalFormatting sqref="K4:K48">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8">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8">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8">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8">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0"/>
  <sheetViews>
    <sheetView tabSelected="0" workbookViewId="0" showGridLines="true" showRowColHeaders="1">
      <pane xSplit="2" ySplit="3" topLeftCell="C4" activePane="bottomRight" state="frozen"/>
      <selection pane="topRight"/>
      <selection pane="bottomLeft"/>
      <selection pane="bottomRight" activeCell="L4" sqref="L4:L40"/>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2100</v>
      </c>
    </row>
    <row r="2" spans="1:14" customHeight="1" ht="30">
      <c r="A2" s="2" t="s">
        <v>2101</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2102</v>
      </c>
      <c r="B4" s="4" t="s">
        <v>2100</v>
      </c>
      <c r="C4" s="4" t="s">
        <v>2103</v>
      </c>
      <c r="D4" s="6" t="s">
        <v>322</v>
      </c>
      <c r="E4" s="4" t="s">
        <v>2104</v>
      </c>
      <c r="F4" s="4" t="s">
        <v>2020</v>
      </c>
      <c r="G4" s="6">
        <v>1</v>
      </c>
      <c r="H4" s="4" t="s">
        <v>2105</v>
      </c>
      <c r="I4" s="4" t="s">
        <v>2106</v>
      </c>
      <c r="J4" s="4"/>
      <c r="K4" s="6" t="s">
        <v>7</v>
      </c>
      <c r="L4" s="6"/>
      <c r="M4" s="4"/>
      <c r="N4" s="4"/>
    </row>
    <row r="5" spans="1:14" customHeight="1" ht="40">
      <c r="A5" s="8" t="s">
        <v>2102</v>
      </c>
      <c r="B5" s="4" t="s">
        <v>2100</v>
      </c>
      <c r="C5" s="4" t="s">
        <v>2103</v>
      </c>
      <c r="D5" s="6" t="s">
        <v>322</v>
      </c>
      <c r="E5" s="4"/>
      <c r="F5" s="4"/>
      <c r="G5" s="6">
        <v>2</v>
      </c>
      <c r="H5" s="4" t="s">
        <v>2107</v>
      </c>
      <c r="I5" s="4" t="s">
        <v>2108</v>
      </c>
      <c r="J5" s="4"/>
      <c r="K5" s="6" t="s">
        <v>7</v>
      </c>
      <c r="L5" s="6"/>
      <c r="M5" s="4"/>
      <c r="N5" s="4"/>
    </row>
    <row r="6" spans="1:14" customHeight="1" ht="30">
      <c r="A6" s="8" t="s">
        <v>2102</v>
      </c>
      <c r="B6" s="4" t="s">
        <v>2100</v>
      </c>
      <c r="C6" s="4" t="s">
        <v>2103</v>
      </c>
      <c r="D6" s="6" t="s">
        <v>322</v>
      </c>
      <c r="E6" s="4"/>
      <c r="F6" s="4"/>
      <c r="G6" s="6">
        <v>3</v>
      </c>
      <c r="H6" s="4" t="s">
        <v>2109</v>
      </c>
      <c r="I6" s="4" t="s">
        <v>2110</v>
      </c>
      <c r="J6" s="4"/>
      <c r="K6" s="6" t="s">
        <v>7</v>
      </c>
      <c r="L6" s="6"/>
      <c r="M6" s="4"/>
      <c r="N6" s="4"/>
    </row>
    <row r="7" spans="1:14" customHeight="1" ht="30">
      <c r="A7" s="8" t="s">
        <v>2102</v>
      </c>
      <c r="B7" s="4" t="s">
        <v>2100</v>
      </c>
      <c r="C7" s="4" t="s">
        <v>2103</v>
      </c>
      <c r="D7" s="6" t="s">
        <v>322</v>
      </c>
      <c r="E7" s="4"/>
      <c r="F7" s="4"/>
      <c r="G7" s="6">
        <v>4</v>
      </c>
      <c r="H7" s="4" t="s">
        <v>2004</v>
      </c>
      <c r="I7" s="4" t="s">
        <v>2005</v>
      </c>
      <c r="J7" s="4"/>
      <c r="K7" s="6" t="s">
        <v>7</v>
      </c>
      <c r="L7" s="6"/>
      <c r="M7" s="4"/>
      <c r="N7" s="4"/>
    </row>
    <row r="8" spans="1:14" customHeight="1" ht="30">
      <c r="A8" s="8" t="s">
        <v>2102</v>
      </c>
      <c r="B8" s="4" t="s">
        <v>2100</v>
      </c>
      <c r="C8" s="4" t="s">
        <v>2103</v>
      </c>
      <c r="D8" s="6" t="s">
        <v>322</v>
      </c>
      <c r="E8" s="4"/>
      <c r="F8" s="4"/>
      <c r="G8" s="6">
        <v>5</v>
      </c>
      <c r="H8" s="4" t="s">
        <v>2111</v>
      </c>
      <c r="I8" s="4" t="s">
        <v>136</v>
      </c>
      <c r="J8" s="4"/>
      <c r="K8" s="6" t="s">
        <v>7</v>
      </c>
      <c r="L8" s="6"/>
      <c r="M8" s="4"/>
      <c r="N8" s="4"/>
    </row>
    <row r="9" spans="1:14" customHeight="1" ht="30">
      <c r="A9" s="8" t="s">
        <v>2102</v>
      </c>
      <c r="B9" s="4" t="s">
        <v>2100</v>
      </c>
      <c r="C9" s="4" t="s">
        <v>2103</v>
      </c>
      <c r="D9" s="6" t="s">
        <v>322</v>
      </c>
      <c r="E9" s="4"/>
      <c r="F9" s="4"/>
      <c r="G9" s="6">
        <v>6</v>
      </c>
      <c r="H9" s="4" t="s">
        <v>2112</v>
      </c>
      <c r="I9" s="4" t="s">
        <v>2113</v>
      </c>
      <c r="J9" s="4"/>
      <c r="K9" s="6" t="s">
        <v>7</v>
      </c>
      <c r="L9" s="6"/>
      <c r="M9" s="4"/>
      <c r="N9" s="4"/>
    </row>
    <row r="10" spans="1:14" customHeight="1" ht="30">
      <c r="A10" s="8" t="s">
        <v>2102</v>
      </c>
      <c r="B10" s="4" t="s">
        <v>2100</v>
      </c>
      <c r="C10" s="4" t="s">
        <v>2103</v>
      </c>
      <c r="D10" s="6" t="s">
        <v>322</v>
      </c>
      <c r="E10" s="4"/>
      <c r="F10" s="4"/>
      <c r="G10" s="6">
        <v>7</v>
      </c>
      <c r="H10" s="4" t="s">
        <v>2114</v>
      </c>
      <c r="I10" s="4" t="s">
        <v>1743</v>
      </c>
      <c r="J10" s="4"/>
      <c r="K10" s="6" t="s">
        <v>7</v>
      </c>
      <c r="L10" s="6"/>
      <c r="M10" s="4"/>
      <c r="N10" s="4"/>
    </row>
    <row r="11" spans="1:14" customHeight="1" ht="30">
      <c r="A11" s="8" t="s">
        <v>2102</v>
      </c>
      <c r="B11" s="4" t="s">
        <v>2100</v>
      </c>
      <c r="C11" s="4" t="s">
        <v>2103</v>
      </c>
      <c r="D11" s="6" t="s">
        <v>322</v>
      </c>
      <c r="E11" s="4"/>
      <c r="F11" s="4"/>
      <c r="G11" s="6">
        <v>8</v>
      </c>
      <c r="H11" s="4" t="s">
        <v>2006</v>
      </c>
      <c r="I11" s="4" t="s">
        <v>2115</v>
      </c>
      <c r="J11" s="4"/>
      <c r="K11" s="6" t="s">
        <v>7</v>
      </c>
      <c r="L11" s="6"/>
      <c r="M11" s="4"/>
      <c r="N11" s="4"/>
    </row>
    <row r="12" spans="1:14" customHeight="1" ht="30">
      <c r="A12" s="8" t="s">
        <v>2102</v>
      </c>
      <c r="B12" s="4" t="s">
        <v>2100</v>
      </c>
      <c r="C12" s="4" t="s">
        <v>2103</v>
      </c>
      <c r="D12" s="6" t="s">
        <v>322</v>
      </c>
      <c r="E12" s="4"/>
      <c r="F12" s="4"/>
      <c r="G12" s="6">
        <v>9</v>
      </c>
      <c r="H12" s="4" t="s">
        <v>2116</v>
      </c>
      <c r="I12" s="4" t="s">
        <v>2117</v>
      </c>
      <c r="J12" s="4"/>
      <c r="K12" s="6" t="s">
        <v>7</v>
      </c>
      <c r="L12" s="6"/>
      <c r="M12" s="4"/>
      <c r="N12" s="4"/>
    </row>
    <row r="13" spans="1:14" customHeight="1" ht="40">
      <c r="A13" s="8" t="s">
        <v>2102</v>
      </c>
      <c r="B13" s="4" t="s">
        <v>2100</v>
      </c>
      <c r="C13" s="4" t="s">
        <v>2103</v>
      </c>
      <c r="D13" s="6" t="s">
        <v>322</v>
      </c>
      <c r="E13" s="4"/>
      <c r="F13" s="4"/>
      <c r="G13" s="6">
        <v>10</v>
      </c>
      <c r="H13" s="4" t="s">
        <v>2118</v>
      </c>
      <c r="I13" s="4" t="s">
        <v>2010</v>
      </c>
      <c r="J13" s="4"/>
      <c r="K13" s="6" t="s">
        <v>7</v>
      </c>
      <c r="L13" s="6"/>
      <c r="M13" s="4"/>
      <c r="N13" s="4"/>
    </row>
    <row r="14" spans="1:14" customHeight="1" ht="40">
      <c r="A14" s="8" t="s">
        <v>2102</v>
      </c>
      <c r="B14" s="4" t="s">
        <v>2100</v>
      </c>
      <c r="C14" s="4" t="s">
        <v>2103</v>
      </c>
      <c r="D14" s="6" t="s">
        <v>322</v>
      </c>
      <c r="E14" s="4"/>
      <c r="F14" s="4"/>
      <c r="G14" s="6">
        <v>11</v>
      </c>
      <c r="H14" s="4" t="s">
        <v>2119</v>
      </c>
      <c r="I14" s="4" t="s">
        <v>2120</v>
      </c>
      <c r="J14" s="4"/>
      <c r="K14" s="6" t="s">
        <v>7</v>
      </c>
      <c r="L14" s="6"/>
      <c r="M14" s="4"/>
      <c r="N14" s="4"/>
    </row>
    <row r="15" spans="1:14" customHeight="1" ht="40">
      <c r="A15" s="9" t="s">
        <v>2121</v>
      </c>
      <c r="B15" s="5" t="s">
        <v>2100</v>
      </c>
      <c r="C15" s="5" t="s">
        <v>2122</v>
      </c>
      <c r="D15" s="7" t="s">
        <v>322</v>
      </c>
      <c r="E15" s="5" t="s">
        <v>2123</v>
      </c>
      <c r="F15" s="5" t="s">
        <v>2124</v>
      </c>
      <c r="G15" s="7">
        <v>1</v>
      </c>
      <c r="H15" s="5" t="s">
        <v>2125</v>
      </c>
      <c r="I15" s="5" t="s">
        <v>2126</v>
      </c>
      <c r="J15" s="5"/>
      <c r="K15" s="7" t="s">
        <v>7</v>
      </c>
      <c r="L15" s="7"/>
      <c r="M15" s="5"/>
      <c r="N15" s="5"/>
    </row>
    <row r="16" spans="1:14" customHeight="1" ht="30">
      <c r="A16" s="9" t="s">
        <v>2121</v>
      </c>
      <c r="B16" s="5" t="s">
        <v>2100</v>
      </c>
      <c r="C16" s="5" t="s">
        <v>2122</v>
      </c>
      <c r="D16" s="7" t="s">
        <v>322</v>
      </c>
      <c r="E16" s="5"/>
      <c r="F16" s="5"/>
      <c r="G16" s="7">
        <v>2</v>
      </c>
      <c r="H16" s="5" t="s">
        <v>2127</v>
      </c>
      <c r="I16" s="5" t="s">
        <v>2128</v>
      </c>
      <c r="J16" s="5"/>
      <c r="K16" s="7" t="s">
        <v>7</v>
      </c>
      <c r="L16" s="7"/>
      <c r="M16" s="5"/>
      <c r="N16" s="5"/>
    </row>
    <row r="17" spans="1:14" customHeight="1" ht="30">
      <c r="A17" s="9" t="s">
        <v>2121</v>
      </c>
      <c r="B17" s="5" t="s">
        <v>2100</v>
      </c>
      <c r="C17" s="5" t="s">
        <v>2122</v>
      </c>
      <c r="D17" s="7" t="s">
        <v>322</v>
      </c>
      <c r="E17" s="5"/>
      <c r="F17" s="5"/>
      <c r="G17" s="7">
        <v>3</v>
      </c>
      <c r="H17" s="5" t="s">
        <v>2129</v>
      </c>
      <c r="I17" s="5" t="s">
        <v>2130</v>
      </c>
      <c r="J17" s="5"/>
      <c r="K17" s="7" t="s">
        <v>7</v>
      </c>
      <c r="L17" s="7"/>
      <c r="M17" s="5"/>
      <c r="N17" s="5"/>
    </row>
    <row r="18" spans="1:14" customHeight="1" ht="30">
      <c r="A18" s="9" t="s">
        <v>2121</v>
      </c>
      <c r="B18" s="5" t="s">
        <v>2100</v>
      </c>
      <c r="C18" s="5" t="s">
        <v>2122</v>
      </c>
      <c r="D18" s="7" t="s">
        <v>322</v>
      </c>
      <c r="E18" s="5"/>
      <c r="F18" s="5"/>
      <c r="G18" s="7">
        <v>4</v>
      </c>
      <c r="H18" s="5" t="s">
        <v>2131</v>
      </c>
      <c r="I18" s="5" t="s">
        <v>2132</v>
      </c>
      <c r="J18" s="5"/>
      <c r="K18" s="7" t="s">
        <v>7</v>
      </c>
      <c r="L18" s="7"/>
      <c r="M18" s="5"/>
      <c r="N18" s="5"/>
    </row>
    <row r="19" spans="1:14" customHeight="1" ht="30">
      <c r="A19" s="9" t="s">
        <v>2121</v>
      </c>
      <c r="B19" s="5" t="s">
        <v>2100</v>
      </c>
      <c r="C19" s="5" t="s">
        <v>2122</v>
      </c>
      <c r="D19" s="7" t="s">
        <v>322</v>
      </c>
      <c r="E19" s="5"/>
      <c r="F19" s="5"/>
      <c r="G19" s="7">
        <v>5</v>
      </c>
      <c r="H19" s="5" t="s">
        <v>2133</v>
      </c>
      <c r="I19" s="5" t="s">
        <v>2134</v>
      </c>
      <c r="J19" s="5"/>
      <c r="K19" s="7" t="s">
        <v>7</v>
      </c>
      <c r="L19" s="7"/>
      <c r="M19" s="5"/>
      <c r="N19" s="5"/>
    </row>
    <row r="20" spans="1:14" customHeight="1" ht="40">
      <c r="A20" s="9" t="s">
        <v>2121</v>
      </c>
      <c r="B20" s="5" t="s">
        <v>2100</v>
      </c>
      <c r="C20" s="5" t="s">
        <v>2122</v>
      </c>
      <c r="D20" s="7" t="s">
        <v>322</v>
      </c>
      <c r="E20" s="5"/>
      <c r="F20" s="5"/>
      <c r="G20" s="7">
        <v>6</v>
      </c>
      <c r="H20" s="5" t="s">
        <v>2135</v>
      </c>
      <c r="I20" s="5" t="s">
        <v>2136</v>
      </c>
      <c r="J20" s="5"/>
      <c r="K20" s="7" t="s">
        <v>7</v>
      </c>
      <c r="L20" s="7"/>
      <c r="M20" s="5"/>
      <c r="N20" s="5"/>
    </row>
    <row r="21" spans="1:14" customHeight="1" ht="30">
      <c r="A21" s="9" t="s">
        <v>2121</v>
      </c>
      <c r="B21" s="5" t="s">
        <v>2100</v>
      </c>
      <c r="C21" s="5" t="s">
        <v>2122</v>
      </c>
      <c r="D21" s="7" t="s">
        <v>322</v>
      </c>
      <c r="E21" s="5"/>
      <c r="F21" s="5"/>
      <c r="G21" s="7">
        <v>7</v>
      </c>
      <c r="H21" s="5" t="s">
        <v>2137</v>
      </c>
      <c r="I21" s="5" t="s">
        <v>2134</v>
      </c>
      <c r="J21" s="5"/>
      <c r="K21" s="7" t="s">
        <v>7</v>
      </c>
      <c r="L21" s="7"/>
      <c r="M21" s="5"/>
      <c r="N21" s="5"/>
    </row>
    <row r="22" spans="1:14" customHeight="1" ht="40">
      <c r="A22" s="9" t="s">
        <v>2121</v>
      </c>
      <c r="B22" s="5" t="s">
        <v>2100</v>
      </c>
      <c r="C22" s="5" t="s">
        <v>2122</v>
      </c>
      <c r="D22" s="7" t="s">
        <v>322</v>
      </c>
      <c r="E22" s="5"/>
      <c r="F22" s="5"/>
      <c r="G22" s="7">
        <v>8</v>
      </c>
      <c r="H22" s="5" t="s">
        <v>2138</v>
      </c>
      <c r="I22" s="5" t="s">
        <v>2139</v>
      </c>
      <c r="J22" s="5"/>
      <c r="K22" s="7" t="s">
        <v>7</v>
      </c>
      <c r="L22" s="7"/>
      <c r="M22" s="5"/>
      <c r="N22" s="5"/>
    </row>
    <row r="23" spans="1:14" customHeight="1" ht="30">
      <c r="A23" s="8" t="s">
        <v>2140</v>
      </c>
      <c r="B23" s="4" t="s">
        <v>2100</v>
      </c>
      <c r="C23" s="4" t="s">
        <v>2141</v>
      </c>
      <c r="D23" s="6" t="s">
        <v>322</v>
      </c>
      <c r="E23" s="4" t="s">
        <v>2142</v>
      </c>
      <c r="F23" s="4" t="s">
        <v>1799</v>
      </c>
      <c r="G23" s="6">
        <v>1</v>
      </c>
      <c r="H23" s="4" t="s">
        <v>2143</v>
      </c>
      <c r="I23" s="4" t="s">
        <v>2144</v>
      </c>
      <c r="J23" s="4"/>
      <c r="K23" s="6" t="s">
        <v>7</v>
      </c>
      <c r="L23" s="6"/>
      <c r="M23" s="4"/>
      <c r="N23" s="4"/>
    </row>
    <row r="24" spans="1:14" customHeight="1" ht="30">
      <c r="A24" s="8" t="s">
        <v>2140</v>
      </c>
      <c r="B24" s="4" t="s">
        <v>2100</v>
      </c>
      <c r="C24" s="4" t="s">
        <v>2141</v>
      </c>
      <c r="D24" s="6" t="s">
        <v>322</v>
      </c>
      <c r="E24" s="4"/>
      <c r="F24" s="4"/>
      <c r="G24" s="6">
        <v>2</v>
      </c>
      <c r="H24" s="4" t="s">
        <v>2027</v>
      </c>
      <c r="I24" s="4" t="s">
        <v>2040</v>
      </c>
      <c r="J24" s="4"/>
      <c r="K24" s="6" t="s">
        <v>7</v>
      </c>
      <c r="L24" s="6"/>
      <c r="M24" s="4"/>
      <c r="N24" s="4"/>
    </row>
    <row r="25" spans="1:14" customHeight="1" ht="30">
      <c r="A25" s="8" t="s">
        <v>2140</v>
      </c>
      <c r="B25" s="4" t="s">
        <v>2100</v>
      </c>
      <c r="C25" s="4" t="s">
        <v>2141</v>
      </c>
      <c r="D25" s="6" t="s">
        <v>322</v>
      </c>
      <c r="E25" s="4"/>
      <c r="F25" s="4"/>
      <c r="G25" s="6">
        <v>3</v>
      </c>
      <c r="H25" s="4" t="s">
        <v>2145</v>
      </c>
      <c r="I25" s="4" t="s">
        <v>2146</v>
      </c>
      <c r="J25" s="4"/>
      <c r="K25" s="6" t="s">
        <v>7</v>
      </c>
      <c r="L25" s="6"/>
      <c r="M25" s="4"/>
      <c r="N25" s="4"/>
    </row>
    <row r="26" spans="1:14" customHeight="1" ht="40">
      <c r="A26" s="8" t="s">
        <v>2140</v>
      </c>
      <c r="B26" s="4" t="s">
        <v>2100</v>
      </c>
      <c r="C26" s="4" t="s">
        <v>2141</v>
      </c>
      <c r="D26" s="6" t="s">
        <v>322</v>
      </c>
      <c r="E26" s="4"/>
      <c r="F26" s="4"/>
      <c r="G26" s="6">
        <v>4</v>
      </c>
      <c r="H26" s="4" t="s">
        <v>2052</v>
      </c>
      <c r="I26" s="4" t="s">
        <v>2147</v>
      </c>
      <c r="J26" s="4"/>
      <c r="K26" s="6" t="s">
        <v>7</v>
      </c>
      <c r="L26" s="6"/>
      <c r="M26" s="4"/>
      <c r="N26" s="4"/>
    </row>
    <row r="27" spans="1:14" customHeight="1" ht="40">
      <c r="A27" s="8" t="s">
        <v>2140</v>
      </c>
      <c r="B27" s="4" t="s">
        <v>2100</v>
      </c>
      <c r="C27" s="4" t="s">
        <v>2141</v>
      </c>
      <c r="D27" s="6" t="s">
        <v>322</v>
      </c>
      <c r="E27" s="4"/>
      <c r="F27" s="4"/>
      <c r="G27" s="6">
        <v>5</v>
      </c>
      <c r="H27" s="4" t="s">
        <v>2148</v>
      </c>
      <c r="I27" s="4" t="s">
        <v>2149</v>
      </c>
      <c r="J27" s="4"/>
      <c r="K27" s="6" t="s">
        <v>7</v>
      </c>
      <c r="L27" s="6"/>
      <c r="M27" s="4"/>
      <c r="N27" s="4"/>
    </row>
    <row r="28" spans="1:14" customHeight="1" ht="40">
      <c r="A28" s="9" t="s">
        <v>2150</v>
      </c>
      <c r="B28" s="5" t="s">
        <v>2100</v>
      </c>
      <c r="C28" s="5" t="s">
        <v>2151</v>
      </c>
      <c r="D28" s="7" t="s">
        <v>309</v>
      </c>
      <c r="E28" s="5" t="s">
        <v>2152</v>
      </c>
      <c r="F28" s="5" t="s">
        <v>2153</v>
      </c>
      <c r="G28" s="7">
        <v>1</v>
      </c>
      <c r="H28" s="5" t="s">
        <v>2154</v>
      </c>
      <c r="I28" s="5" t="s">
        <v>2155</v>
      </c>
      <c r="J28" s="5"/>
      <c r="K28" s="7" t="s">
        <v>7</v>
      </c>
      <c r="L28" s="7"/>
      <c r="M28" s="5"/>
      <c r="N28" s="5"/>
    </row>
    <row r="29" spans="1:14" customHeight="1" ht="30">
      <c r="A29" s="9" t="s">
        <v>2150</v>
      </c>
      <c r="B29" s="5" t="s">
        <v>2100</v>
      </c>
      <c r="C29" s="5" t="s">
        <v>2151</v>
      </c>
      <c r="D29" s="7" t="s">
        <v>309</v>
      </c>
      <c r="E29" s="5"/>
      <c r="F29" s="5"/>
      <c r="G29" s="7">
        <v>2</v>
      </c>
      <c r="H29" s="5" t="s">
        <v>1405</v>
      </c>
      <c r="I29" s="5" t="s">
        <v>2156</v>
      </c>
      <c r="J29" s="5"/>
      <c r="K29" s="7" t="s">
        <v>7</v>
      </c>
      <c r="L29" s="7"/>
      <c r="M29" s="5"/>
      <c r="N29" s="5"/>
    </row>
    <row r="30" spans="1:14" customHeight="1" ht="30">
      <c r="A30" s="9" t="s">
        <v>2150</v>
      </c>
      <c r="B30" s="5" t="s">
        <v>2100</v>
      </c>
      <c r="C30" s="5" t="s">
        <v>2151</v>
      </c>
      <c r="D30" s="7" t="s">
        <v>309</v>
      </c>
      <c r="E30" s="5"/>
      <c r="F30" s="5"/>
      <c r="G30" s="7">
        <v>3</v>
      </c>
      <c r="H30" s="5" t="s">
        <v>2157</v>
      </c>
      <c r="I30" s="5" t="s">
        <v>2158</v>
      </c>
      <c r="J30" s="5"/>
      <c r="K30" s="7" t="s">
        <v>7</v>
      </c>
      <c r="L30" s="7"/>
      <c r="M30" s="5"/>
      <c r="N30" s="5"/>
    </row>
    <row r="31" spans="1:14" customHeight="1" ht="40">
      <c r="A31" s="9" t="s">
        <v>2150</v>
      </c>
      <c r="B31" s="5" t="s">
        <v>2100</v>
      </c>
      <c r="C31" s="5" t="s">
        <v>2151</v>
      </c>
      <c r="D31" s="7" t="s">
        <v>309</v>
      </c>
      <c r="E31" s="5"/>
      <c r="F31" s="5"/>
      <c r="G31" s="7">
        <v>4</v>
      </c>
      <c r="H31" s="5" t="s">
        <v>2159</v>
      </c>
      <c r="I31" s="5" t="s">
        <v>2160</v>
      </c>
      <c r="J31" s="5"/>
      <c r="K31" s="7" t="s">
        <v>7</v>
      </c>
      <c r="L31" s="7"/>
      <c r="M31" s="5"/>
      <c r="N31" s="5"/>
    </row>
    <row r="32" spans="1:14" customHeight="1" ht="40">
      <c r="A32" s="9" t="s">
        <v>2150</v>
      </c>
      <c r="B32" s="5" t="s">
        <v>2100</v>
      </c>
      <c r="C32" s="5" t="s">
        <v>2151</v>
      </c>
      <c r="D32" s="7" t="s">
        <v>309</v>
      </c>
      <c r="E32" s="5"/>
      <c r="F32" s="5"/>
      <c r="G32" s="7">
        <v>5</v>
      </c>
      <c r="H32" s="5" t="s">
        <v>2161</v>
      </c>
      <c r="I32" s="5" t="s">
        <v>2162</v>
      </c>
      <c r="J32" s="5"/>
      <c r="K32" s="7" t="s">
        <v>7</v>
      </c>
      <c r="L32" s="7"/>
      <c r="M32" s="5"/>
      <c r="N32" s="5"/>
    </row>
    <row r="33" spans="1:14" customHeight="1" ht="40">
      <c r="A33" s="8" t="s">
        <v>2163</v>
      </c>
      <c r="B33" s="4" t="s">
        <v>2100</v>
      </c>
      <c r="C33" s="4" t="s">
        <v>2164</v>
      </c>
      <c r="D33" s="6" t="s">
        <v>322</v>
      </c>
      <c r="E33" s="4" t="s">
        <v>2165</v>
      </c>
      <c r="F33" s="4" t="s">
        <v>2166</v>
      </c>
      <c r="G33" s="6">
        <v>1</v>
      </c>
      <c r="H33" s="4" t="s">
        <v>2167</v>
      </c>
      <c r="I33" s="4" t="s">
        <v>2168</v>
      </c>
      <c r="J33" s="4"/>
      <c r="K33" s="6" t="s">
        <v>7</v>
      </c>
      <c r="L33" s="6"/>
      <c r="M33" s="4"/>
      <c r="N33" s="4"/>
    </row>
    <row r="34" spans="1:14" customHeight="1" ht="40">
      <c r="A34" s="8" t="s">
        <v>2163</v>
      </c>
      <c r="B34" s="4" t="s">
        <v>2100</v>
      </c>
      <c r="C34" s="4" t="s">
        <v>2164</v>
      </c>
      <c r="D34" s="6" t="s">
        <v>322</v>
      </c>
      <c r="E34" s="4"/>
      <c r="F34" s="4"/>
      <c r="G34" s="6">
        <v>2</v>
      </c>
      <c r="H34" s="4" t="s">
        <v>2169</v>
      </c>
      <c r="I34" s="4" t="s">
        <v>2170</v>
      </c>
      <c r="J34" s="4"/>
      <c r="K34" s="6" t="s">
        <v>7</v>
      </c>
      <c r="L34" s="6"/>
      <c r="M34" s="4"/>
      <c r="N34" s="4"/>
    </row>
    <row r="35" spans="1:14" customHeight="1" ht="30">
      <c r="A35" s="8" t="s">
        <v>2163</v>
      </c>
      <c r="B35" s="4" t="s">
        <v>2100</v>
      </c>
      <c r="C35" s="4" t="s">
        <v>2164</v>
      </c>
      <c r="D35" s="6" t="s">
        <v>322</v>
      </c>
      <c r="E35" s="4"/>
      <c r="F35" s="4"/>
      <c r="G35" s="6">
        <v>3</v>
      </c>
      <c r="H35" s="4" t="s">
        <v>2171</v>
      </c>
      <c r="I35" s="4" t="s">
        <v>2172</v>
      </c>
      <c r="J35" s="4"/>
      <c r="K35" s="6" t="s">
        <v>7</v>
      </c>
      <c r="L35" s="6"/>
      <c r="M35" s="4"/>
      <c r="N35" s="4"/>
    </row>
    <row r="36" spans="1:14" customHeight="1" ht="30">
      <c r="A36" s="8" t="s">
        <v>2163</v>
      </c>
      <c r="B36" s="4" t="s">
        <v>2100</v>
      </c>
      <c r="C36" s="4" t="s">
        <v>2164</v>
      </c>
      <c r="D36" s="6" t="s">
        <v>322</v>
      </c>
      <c r="E36" s="4"/>
      <c r="F36" s="4"/>
      <c r="G36" s="6">
        <v>4</v>
      </c>
      <c r="H36" s="4" t="s">
        <v>2173</v>
      </c>
      <c r="I36" s="4" t="s">
        <v>2172</v>
      </c>
      <c r="J36" s="4"/>
      <c r="K36" s="6" t="s">
        <v>7</v>
      </c>
      <c r="L36" s="6"/>
      <c r="M36" s="4"/>
      <c r="N36" s="4"/>
    </row>
    <row r="37" spans="1:14" customHeight="1" ht="30">
      <c r="A37" s="9" t="s">
        <v>2174</v>
      </c>
      <c r="B37" s="5" t="s">
        <v>2100</v>
      </c>
      <c r="C37" s="5" t="s">
        <v>2175</v>
      </c>
      <c r="D37" s="7" t="s">
        <v>441</v>
      </c>
      <c r="E37" s="5" t="s">
        <v>2075</v>
      </c>
      <c r="F37" s="5" t="s">
        <v>2176</v>
      </c>
      <c r="G37" s="7">
        <v>1</v>
      </c>
      <c r="H37" s="5" t="s">
        <v>2177</v>
      </c>
      <c r="I37" s="5" t="s">
        <v>2144</v>
      </c>
      <c r="J37" s="5"/>
      <c r="K37" s="7" t="s">
        <v>7</v>
      </c>
      <c r="L37" s="7"/>
      <c r="M37" s="5"/>
      <c r="N37" s="5"/>
    </row>
    <row r="38" spans="1:14" customHeight="1" ht="53">
      <c r="A38" s="9" t="s">
        <v>2174</v>
      </c>
      <c r="B38" s="5" t="s">
        <v>2100</v>
      </c>
      <c r="C38" s="5" t="s">
        <v>2175</v>
      </c>
      <c r="D38" s="7" t="s">
        <v>441</v>
      </c>
      <c r="E38" s="5"/>
      <c r="F38" s="5"/>
      <c r="G38" s="7">
        <v>2</v>
      </c>
      <c r="H38" s="5" t="s">
        <v>2178</v>
      </c>
      <c r="I38" s="5" t="s">
        <v>2179</v>
      </c>
      <c r="J38" s="5"/>
      <c r="K38" s="7" t="s">
        <v>7</v>
      </c>
      <c r="L38" s="7"/>
      <c r="M38" s="5"/>
      <c r="N38" s="5"/>
    </row>
    <row r="39" spans="1:14" customHeight="1" ht="30">
      <c r="A39" s="9" t="s">
        <v>2174</v>
      </c>
      <c r="B39" s="5" t="s">
        <v>2100</v>
      </c>
      <c r="C39" s="5" t="s">
        <v>2175</v>
      </c>
      <c r="D39" s="7" t="s">
        <v>441</v>
      </c>
      <c r="E39" s="5"/>
      <c r="F39" s="5"/>
      <c r="G39" s="7">
        <v>3</v>
      </c>
      <c r="H39" s="5" t="s">
        <v>2082</v>
      </c>
      <c r="I39" s="5" t="s">
        <v>2180</v>
      </c>
      <c r="J39" s="5"/>
      <c r="K39" s="7" t="s">
        <v>7</v>
      </c>
      <c r="L39" s="7"/>
      <c r="M39" s="5"/>
      <c r="N39" s="5"/>
    </row>
    <row r="40" spans="1:14" customHeight="1" ht="30">
      <c r="A40" s="9" t="s">
        <v>2174</v>
      </c>
      <c r="B40" s="5" t="s">
        <v>2100</v>
      </c>
      <c r="C40" s="5" t="s">
        <v>2175</v>
      </c>
      <c r="D40" s="7" t="s">
        <v>441</v>
      </c>
      <c r="E40" s="5"/>
      <c r="F40" s="5"/>
      <c r="G40" s="7">
        <v>4</v>
      </c>
      <c r="H40" s="5" t="s">
        <v>2181</v>
      </c>
      <c r="I40" s="5" t="s">
        <v>2182</v>
      </c>
      <c r="J40" s="5"/>
      <c r="K40" s="7" t="s">
        <v>7</v>
      </c>
      <c r="L40" s="7"/>
      <c r="M40" s="5"/>
      <c r="N40" s="5"/>
    </row>
  </sheetData>
  <autoFilter ref="A3:N40"/>
  <mergeCells>
    <mergeCell ref="A1:N1"/>
    <mergeCell ref="A2:N2"/>
  </mergeCells>
  <conditionalFormatting sqref="K4:K40">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0">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0">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0">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0">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68"/>
  <sheetViews>
    <sheetView tabSelected="0" workbookViewId="0" showGridLines="true" showRowColHeaders="1">
      <pane xSplit="2" ySplit="3" topLeftCell="C4" activePane="bottomRight" state="frozen"/>
      <selection pane="topRight"/>
      <selection pane="bottomLeft"/>
      <selection pane="bottomRight" activeCell="L4" sqref="L4:L68"/>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2183</v>
      </c>
    </row>
    <row r="2" spans="1:14" customHeight="1" ht="30">
      <c r="A2" s="2" t="s">
        <v>2184</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2185</v>
      </c>
      <c r="B4" s="4" t="s">
        <v>2183</v>
      </c>
      <c r="C4" s="4" t="s">
        <v>2186</v>
      </c>
      <c r="D4" s="6" t="s">
        <v>322</v>
      </c>
      <c r="E4" s="4" t="s">
        <v>2187</v>
      </c>
      <c r="F4" s="4" t="s">
        <v>2188</v>
      </c>
      <c r="G4" s="6">
        <v>1</v>
      </c>
      <c r="H4" s="4" t="s">
        <v>999</v>
      </c>
      <c r="I4" s="4" t="s">
        <v>1082</v>
      </c>
      <c r="J4" s="4"/>
      <c r="K4" s="6" t="s">
        <v>7</v>
      </c>
      <c r="L4" s="6"/>
      <c r="M4" s="4"/>
      <c r="N4" s="4"/>
    </row>
    <row r="5" spans="1:14" customHeight="1" ht="30">
      <c r="A5" s="8" t="s">
        <v>2185</v>
      </c>
      <c r="B5" s="4" t="s">
        <v>2183</v>
      </c>
      <c r="C5" s="4" t="s">
        <v>2186</v>
      </c>
      <c r="D5" s="6" t="s">
        <v>322</v>
      </c>
      <c r="E5" s="4"/>
      <c r="F5" s="4"/>
      <c r="G5" s="6">
        <v>2</v>
      </c>
      <c r="H5" s="4" t="s">
        <v>2189</v>
      </c>
      <c r="I5" s="4" t="s">
        <v>1167</v>
      </c>
      <c r="J5" s="4"/>
      <c r="K5" s="6" t="s">
        <v>7</v>
      </c>
      <c r="L5" s="6"/>
      <c r="M5" s="4"/>
      <c r="N5" s="4"/>
    </row>
    <row r="6" spans="1:14" customHeight="1" ht="30">
      <c r="A6" s="8" t="s">
        <v>2185</v>
      </c>
      <c r="B6" s="4" t="s">
        <v>2183</v>
      </c>
      <c r="C6" s="4" t="s">
        <v>2186</v>
      </c>
      <c r="D6" s="6" t="s">
        <v>322</v>
      </c>
      <c r="E6" s="4"/>
      <c r="F6" s="4"/>
      <c r="G6" s="6">
        <v>3</v>
      </c>
      <c r="H6" s="4" t="s">
        <v>1003</v>
      </c>
      <c r="I6" s="4" t="s">
        <v>2190</v>
      </c>
      <c r="J6" s="4"/>
      <c r="K6" s="6" t="s">
        <v>7</v>
      </c>
      <c r="L6" s="6"/>
      <c r="M6" s="4"/>
      <c r="N6" s="4"/>
    </row>
    <row r="7" spans="1:14" customHeight="1" ht="30">
      <c r="A7" s="8" t="s">
        <v>2185</v>
      </c>
      <c r="B7" s="4" t="s">
        <v>2183</v>
      </c>
      <c r="C7" s="4" t="s">
        <v>2186</v>
      </c>
      <c r="D7" s="6" t="s">
        <v>322</v>
      </c>
      <c r="E7" s="4"/>
      <c r="F7" s="4"/>
      <c r="G7" s="6">
        <v>4</v>
      </c>
      <c r="H7" s="4" t="s">
        <v>2191</v>
      </c>
      <c r="I7" s="4" t="s">
        <v>2192</v>
      </c>
      <c r="J7" s="4"/>
      <c r="K7" s="6" t="s">
        <v>7</v>
      </c>
      <c r="L7" s="6"/>
      <c r="M7" s="4"/>
      <c r="N7" s="4"/>
    </row>
    <row r="8" spans="1:14" customHeight="1" ht="40">
      <c r="A8" s="8" t="s">
        <v>2185</v>
      </c>
      <c r="B8" s="4" t="s">
        <v>2183</v>
      </c>
      <c r="C8" s="4" t="s">
        <v>2186</v>
      </c>
      <c r="D8" s="6" t="s">
        <v>322</v>
      </c>
      <c r="E8" s="4"/>
      <c r="F8" s="4"/>
      <c r="G8" s="6">
        <v>5</v>
      </c>
      <c r="H8" s="4" t="s">
        <v>2193</v>
      </c>
      <c r="I8" s="4" t="s">
        <v>2194</v>
      </c>
      <c r="J8" s="4"/>
      <c r="K8" s="6" t="s">
        <v>7</v>
      </c>
      <c r="L8" s="6"/>
      <c r="M8" s="4"/>
      <c r="N8" s="4"/>
    </row>
    <row r="9" spans="1:14" customHeight="1" ht="30">
      <c r="A9" s="8" t="s">
        <v>2185</v>
      </c>
      <c r="B9" s="4" t="s">
        <v>2183</v>
      </c>
      <c r="C9" s="4" t="s">
        <v>2186</v>
      </c>
      <c r="D9" s="6" t="s">
        <v>322</v>
      </c>
      <c r="E9" s="4"/>
      <c r="F9" s="4"/>
      <c r="G9" s="6">
        <v>6</v>
      </c>
      <c r="H9" s="4" t="s">
        <v>2195</v>
      </c>
      <c r="I9" s="4" t="s">
        <v>2196</v>
      </c>
      <c r="J9" s="4"/>
      <c r="K9" s="6" t="s">
        <v>7</v>
      </c>
      <c r="L9" s="6"/>
      <c r="M9" s="4"/>
      <c r="N9" s="4"/>
    </row>
    <row r="10" spans="1:14" customHeight="1" ht="30">
      <c r="A10" s="9" t="s">
        <v>2197</v>
      </c>
      <c r="B10" s="5" t="s">
        <v>2183</v>
      </c>
      <c r="C10" s="5" t="s">
        <v>2198</v>
      </c>
      <c r="D10" s="7" t="s">
        <v>309</v>
      </c>
      <c r="E10" s="5" t="s">
        <v>2199</v>
      </c>
      <c r="F10" s="5" t="s">
        <v>2200</v>
      </c>
      <c r="G10" s="7">
        <v>1</v>
      </c>
      <c r="H10" s="5" t="s">
        <v>2201</v>
      </c>
      <c r="I10" s="5" t="s">
        <v>2202</v>
      </c>
      <c r="J10" s="5"/>
      <c r="K10" s="7" t="s">
        <v>7</v>
      </c>
      <c r="L10" s="7"/>
      <c r="M10" s="5"/>
      <c r="N10" s="5"/>
    </row>
    <row r="11" spans="1:14" customHeight="1" ht="40">
      <c r="A11" s="9" t="s">
        <v>2197</v>
      </c>
      <c r="B11" s="5" t="s">
        <v>2183</v>
      </c>
      <c r="C11" s="5" t="s">
        <v>2198</v>
      </c>
      <c r="D11" s="7" t="s">
        <v>309</v>
      </c>
      <c r="E11" s="5"/>
      <c r="F11" s="5"/>
      <c r="G11" s="7">
        <v>2</v>
      </c>
      <c r="H11" s="5" t="s">
        <v>2203</v>
      </c>
      <c r="I11" s="5" t="s">
        <v>2204</v>
      </c>
      <c r="J11" s="5"/>
      <c r="K11" s="7" t="s">
        <v>7</v>
      </c>
      <c r="L11" s="7"/>
      <c r="M11" s="5"/>
      <c r="N11" s="5"/>
    </row>
    <row r="12" spans="1:14" customHeight="1" ht="40">
      <c r="A12" s="9" t="s">
        <v>2197</v>
      </c>
      <c r="B12" s="5" t="s">
        <v>2183</v>
      </c>
      <c r="C12" s="5" t="s">
        <v>2198</v>
      </c>
      <c r="D12" s="7" t="s">
        <v>309</v>
      </c>
      <c r="E12" s="5"/>
      <c r="F12" s="5"/>
      <c r="G12" s="7">
        <v>3</v>
      </c>
      <c r="H12" s="5" t="s">
        <v>2205</v>
      </c>
      <c r="I12" s="5" t="s">
        <v>2206</v>
      </c>
      <c r="J12" s="5"/>
      <c r="K12" s="7" t="s">
        <v>7</v>
      </c>
      <c r="L12" s="7"/>
      <c r="M12" s="5"/>
      <c r="N12" s="5"/>
    </row>
    <row r="13" spans="1:14" customHeight="1" ht="40">
      <c r="A13" s="9" t="s">
        <v>2197</v>
      </c>
      <c r="B13" s="5" t="s">
        <v>2183</v>
      </c>
      <c r="C13" s="5" t="s">
        <v>2198</v>
      </c>
      <c r="D13" s="7" t="s">
        <v>309</v>
      </c>
      <c r="E13" s="5"/>
      <c r="F13" s="5"/>
      <c r="G13" s="7">
        <v>4</v>
      </c>
      <c r="H13" s="5" t="s">
        <v>2207</v>
      </c>
      <c r="I13" s="5" t="s">
        <v>2208</v>
      </c>
      <c r="J13" s="5"/>
      <c r="K13" s="7" t="s">
        <v>7</v>
      </c>
      <c r="L13" s="7"/>
      <c r="M13" s="5"/>
      <c r="N13" s="5"/>
    </row>
    <row r="14" spans="1:14" customHeight="1" ht="40">
      <c r="A14" s="9" t="s">
        <v>2197</v>
      </c>
      <c r="B14" s="5" t="s">
        <v>2183</v>
      </c>
      <c r="C14" s="5" t="s">
        <v>2198</v>
      </c>
      <c r="D14" s="7" t="s">
        <v>309</v>
      </c>
      <c r="E14" s="5"/>
      <c r="F14" s="5"/>
      <c r="G14" s="7">
        <v>5</v>
      </c>
      <c r="H14" s="5" t="s">
        <v>2209</v>
      </c>
      <c r="I14" s="5" t="s">
        <v>2210</v>
      </c>
      <c r="J14" s="5"/>
      <c r="K14" s="7" t="s">
        <v>7</v>
      </c>
      <c r="L14" s="7"/>
      <c r="M14" s="5"/>
      <c r="N14" s="5"/>
    </row>
    <row r="15" spans="1:14" customHeight="1" ht="40">
      <c r="A15" s="9" t="s">
        <v>2197</v>
      </c>
      <c r="B15" s="5" t="s">
        <v>2183</v>
      </c>
      <c r="C15" s="5" t="s">
        <v>2198</v>
      </c>
      <c r="D15" s="7" t="s">
        <v>309</v>
      </c>
      <c r="E15" s="5"/>
      <c r="F15" s="5"/>
      <c r="G15" s="7">
        <v>6</v>
      </c>
      <c r="H15" s="5" t="s">
        <v>2211</v>
      </c>
      <c r="I15" s="5" t="s">
        <v>2212</v>
      </c>
      <c r="J15" s="5"/>
      <c r="K15" s="7" t="s">
        <v>7</v>
      </c>
      <c r="L15" s="7"/>
      <c r="M15" s="5"/>
      <c r="N15" s="5"/>
    </row>
    <row r="16" spans="1:14" customHeight="1" ht="30">
      <c r="A16" s="9" t="s">
        <v>2197</v>
      </c>
      <c r="B16" s="5" t="s">
        <v>2183</v>
      </c>
      <c r="C16" s="5" t="s">
        <v>2198</v>
      </c>
      <c r="D16" s="7" t="s">
        <v>309</v>
      </c>
      <c r="E16" s="5"/>
      <c r="F16" s="5"/>
      <c r="G16" s="7">
        <v>7</v>
      </c>
      <c r="H16" s="5" t="s">
        <v>2213</v>
      </c>
      <c r="I16" s="5" t="s">
        <v>2214</v>
      </c>
      <c r="J16" s="5"/>
      <c r="K16" s="7" t="s">
        <v>7</v>
      </c>
      <c r="L16" s="7"/>
      <c r="M16" s="5"/>
      <c r="N16" s="5"/>
    </row>
    <row r="17" spans="1:14" customHeight="1" ht="40">
      <c r="A17" s="9" t="s">
        <v>2197</v>
      </c>
      <c r="B17" s="5" t="s">
        <v>2183</v>
      </c>
      <c r="C17" s="5" t="s">
        <v>2198</v>
      </c>
      <c r="D17" s="7" t="s">
        <v>309</v>
      </c>
      <c r="E17" s="5"/>
      <c r="F17" s="5"/>
      <c r="G17" s="7">
        <v>8</v>
      </c>
      <c r="H17" s="5" t="s">
        <v>2215</v>
      </c>
      <c r="I17" s="5" t="s">
        <v>2216</v>
      </c>
      <c r="J17" s="5"/>
      <c r="K17" s="7" t="s">
        <v>7</v>
      </c>
      <c r="L17" s="7"/>
      <c r="M17" s="5"/>
      <c r="N17" s="5"/>
    </row>
    <row r="18" spans="1:14" customHeight="1" ht="40">
      <c r="A18" s="9" t="s">
        <v>2197</v>
      </c>
      <c r="B18" s="5" t="s">
        <v>2183</v>
      </c>
      <c r="C18" s="5" t="s">
        <v>2198</v>
      </c>
      <c r="D18" s="7" t="s">
        <v>309</v>
      </c>
      <c r="E18" s="5"/>
      <c r="F18" s="5"/>
      <c r="G18" s="7">
        <v>9</v>
      </c>
      <c r="H18" s="5" t="s">
        <v>2217</v>
      </c>
      <c r="I18" s="5" t="s">
        <v>2218</v>
      </c>
      <c r="J18" s="5"/>
      <c r="K18" s="7" t="s">
        <v>7</v>
      </c>
      <c r="L18" s="7"/>
      <c r="M18" s="5"/>
      <c r="N18" s="5"/>
    </row>
    <row r="19" spans="1:14" customHeight="1" ht="30">
      <c r="A19" s="8" t="s">
        <v>2219</v>
      </c>
      <c r="B19" s="4" t="s">
        <v>2183</v>
      </c>
      <c r="C19" s="4" t="s">
        <v>2220</v>
      </c>
      <c r="D19" s="6" t="s">
        <v>322</v>
      </c>
      <c r="E19" s="4" t="s">
        <v>2221</v>
      </c>
      <c r="F19" s="4" t="s">
        <v>2222</v>
      </c>
      <c r="G19" s="6">
        <v>1</v>
      </c>
      <c r="H19" s="4" t="s">
        <v>2223</v>
      </c>
      <c r="I19" s="4" t="s">
        <v>2224</v>
      </c>
      <c r="J19" s="4"/>
      <c r="K19" s="6" t="s">
        <v>7</v>
      </c>
      <c r="L19" s="6"/>
      <c r="M19" s="4"/>
      <c r="N19" s="4"/>
    </row>
    <row r="20" spans="1:14" customHeight="1" ht="53">
      <c r="A20" s="8" t="s">
        <v>2219</v>
      </c>
      <c r="B20" s="4" t="s">
        <v>2183</v>
      </c>
      <c r="C20" s="4" t="s">
        <v>2220</v>
      </c>
      <c r="D20" s="6" t="s">
        <v>322</v>
      </c>
      <c r="E20" s="4"/>
      <c r="F20" s="4"/>
      <c r="G20" s="6">
        <v>2</v>
      </c>
      <c r="H20" s="4" t="s">
        <v>2225</v>
      </c>
      <c r="I20" s="4" t="s">
        <v>2226</v>
      </c>
      <c r="J20" s="4"/>
      <c r="K20" s="6" t="s">
        <v>7</v>
      </c>
      <c r="L20" s="6"/>
      <c r="M20" s="4"/>
      <c r="N20" s="4"/>
    </row>
    <row r="21" spans="1:14" customHeight="1" ht="30">
      <c r="A21" s="9" t="s">
        <v>2227</v>
      </c>
      <c r="B21" s="5" t="s">
        <v>2183</v>
      </c>
      <c r="C21" s="5" t="s">
        <v>2228</v>
      </c>
      <c r="D21" s="7" t="s">
        <v>322</v>
      </c>
      <c r="E21" s="5" t="s">
        <v>2187</v>
      </c>
      <c r="F21" s="5" t="s">
        <v>2229</v>
      </c>
      <c r="G21" s="7">
        <v>1</v>
      </c>
      <c r="H21" s="5" t="s">
        <v>999</v>
      </c>
      <c r="I21" s="5" t="s">
        <v>1082</v>
      </c>
      <c r="J21" s="5"/>
      <c r="K21" s="7" t="s">
        <v>7</v>
      </c>
      <c r="L21" s="7"/>
      <c r="M21" s="5"/>
      <c r="N21" s="5"/>
    </row>
    <row r="22" spans="1:14" customHeight="1" ht="40">
      <c r="A22" s="9" t="s">
        <v>2227</v>
      </c>
      <c r="B22" s="5" t="s">
        <v>2183</v>
      </c>
      <c r="C22" s="5" t="s">
        <v>2228</v>
      </c>
      <c r="D22" s="7" t="s">
        <v>322</v>
      </c>
      <c r="E22" s="5"/>
      <c r="F22" s="5"/>
      <c r="G22" s="7">
        <v>2</v>
      </c>
      <c r="H22" s="5" t="s">
        <v>2230</v>
      </c>
      <c r="I22" s="5" t="s">
        <v>2231</v>
      </c>
      <c r="J22" s="5"/>
      <c r="K22" s="7" t="s">
        <v>7</v>
      </c>
      <c r="L22" s="7"/>
      <c r="M22" s="5"/>
      <c r="N22" s="5"/>
    </row>
    <row r="23" spans="1:14" customHeight="1" ht="30">
      <c r="A23" s="9" t="s">
        <v>2227</v>
      </c>
      <c r="B23" s="5" t="s">
        <v>2183</v>
      </c>
      <c r="C23" s="5" t="s">
        <v>2228</v>
      </c>
      <c r="D23" s="7" t="s">
        <v>322</v>
      </c>
      <c r="E23" s="5"/>
      <c r="F23" s="5"/>
      <c r="G23" s="7">
        <v>3</v>
      </c>
      <c r="H23" s="5" t="s">
        <v>1003</v>
      </c>
      <c r="I23" s="5" t="s">
        <v>2232</v>
      </c>
      <c r="J23" s="5"/>
      <c r="K23" s="7" t="s">
        <v>7</v>
      </c>
      <c r="L23" s="7"/>
      <c r="M23" s="5"/>
      <c r="N23" s="5"/>
    </row>
    <row r="24" spans="1:14" customHeight="1" ht="30">
      <c r="A24" s="9" t="s">
        <v>2227</v>
      </c>
      <c r="B24" s="5" t="s">
        <v>2183</v>
      </c>
      <c r="C24" s="5" t="s">
        <v>2228</v>
      </c>
      <c r="D24" s="7" t="s">
        <v>322</v>
      </c>
      <c r="E24" s="5"/>
      <c r="F24" s="5"/>
      <c r="G24" s="7">
        <v>4</v>
      </c>
      <c r="H24" s="5" t="s">
        <v>2191</v>
      </c>
      <c r="I24" s="5" t="s">
        <v>2233</v>
      </c>
      <c r="J24" s="5"/>
      <c r="K24" s="7" t="s">
        <v>7</v>
      </c>
      <c r="L24" s="7"/>
      <c r="M24" s="5"/>
      <c r="N24" s="5"/>
    </row>
    <row r="25" spans="1:14" customHeight="1" ht="30">
      <c r="A25" s="9" t="s">
        <v>2227</v>
      </c>
      <c r="B25" s="5" t="s">
        <v>2183</v>
      </c>
      <c r="C25" s="5" t="s">
        <v>2228</v>
      </c>
      <c r="D25" s="7" t="s">
        <v>322</v>
      </c>
      <c r="E25" s="5"/>
      <c r="F25" s="5"/>
      <c r="G25" s="7">
        <v>5</v>
      </c>
      <c r="H25" s="5" t="s">
        <v>2193</v>
      </c>
      <c r="I25" s="5" t="s">
        <v>2234</v>
      </c>
      <c r="J25" s="5"/>
      <c r="K25" s="7" t="s">
        <v>7</v>
      </c>
      <c r="L25" s="7"/>
      <c r="M25" s="5"/>
      <c r="N25" s="5"/>
    </row>
    <row r="26" spans="1:14" customHeight="1" ht="30">
      <c r="A26" s="8" t="s">
        <v>2235</v>
      </c>
      <c r="B26" s="4" t="s">
        <v>2183</v>
      </c>
      <c r="C26" s="4" t="s">
        <v>2236</v>
      </c>
      <c r="D26" s="6" t="s">
        <v>309</v>
      </c>
      <c r="E26" s="4" t="s">
        <v>2237</v>
      </c>
      <c r="F26" s="4" t="s">
        <v>2238</v>
      </c>
      <c r="G26" s="6">
        <v>1</v>
      </c>
      <c r="H26" s="4" t="s">
        <v>2239</v>
      </c>
      <c r="I26" s="4" t="s">
        <v>2240</v>
      </c>
      <c r="J26" s="4"/>
      <c r="K26" s="6" t="s">
        <v>7</v>
      </c>
      <c r="L26" s="6"/>
      <c r="M26" s="4"/>
      <c r="N26" s="4"/>
    </row>
    <row r="27" spans="1:14" customHeight="1" ht="40">
      <c r="A27" s="8" t="s">
        <v>2235</v>
      </c>
      <c r="B27" s="4" t="s">
        <v>2183</v>
      </c>
      <c r="C27" s="4" t="s">
        <v>2236</v>
      </c>
      <c r="D27" s="6" t="s">
        <v>309</v>
      </c>
      <c r="E27" s="4"/>
      <c r="F27" s="4"/>
      <c r="G27" s="6">
        <v>2</v>
      </c>
      <c r="H27" s="4" t="s">
        <v>2241</v>
      </c>
      <c r="I27" s="4" t="s">
        <v>2242</v>
      </c>
      <c r="J27" s="4"/>
      <c r="K27" s="6" t="s">
        <v>7</v>
      </c>
      <c r="L27" s="6"/>
      <c r="M27" s="4"/>
      <c r="N27" s="4"/>
    </row>
    <row r="28" spans="1:14" customHeight="1" ht="53">
      <c r="A28" s="8" t="s">
        <v>2235</v>
      </c>
      <c r="B28" s="4" t="s">
        <v>2183</v>
      </c>
      <c r="C28" s="4" t="s">
        <v>2236</v>
      </c>
      <c r="D28" s="6" t="s">
        <v>309</v>
      </c>
      <c r="E28" s="4"/>
      <c r="F28" s="4"/>
      <c r="G28" s="6">
        <v>3</v>
      </c>
      <c r="H28" s="4" t="s">
        <v>2243</v>
      </c>
      <c r="I28" s="4" t="s">
        <v>2244</v>
      </c>
      <c r="J28" s="4"/>
      <c r="K28" s="6" t="s">
        <v>7</v>
      </c>
      <c r="L28" s="6"/>
      <c r="M28" s="4"/>
      <c r="N28" s="4"/>
    </row>
    <row r="29" spans="1:14" customHeight="1" ht="53">
      <c r="A29" s="8" t="s">
        <v>2235</v>
      </c>
      <c r="B29" s="4" t="s">
        <v>2183</v>
      </c>
      <c r="C29" s="4" t="s">
        <v>2236</v>
      </c>
      <c r="D29" s="6" t="s">
        <v>309</v>
      </c>
      <c r="E29" s="4"/>
      <c r="F29" s="4"/>
      <c r="G29" s="6">
        <v>4</v>
      </c>
      <c r="H29" s="4" t="s">
        <v>2245</v>
      </c>
      <c r="I29" s="4" t="s">
        <v>2246</v>
      </c>
      <c r="J29" s="4"/>
      <c r="K29" s="6" t="s">
        <v>7</v>
      </c>
      <c r="L29" s="6"/>
      <c r="M29" s="4"/>
      <c r="N29" s="4"/>
    </row>
    <row r="30" spans="1:14" customHeight="1" ht="30">
      <c r="A30" s="8" t="s">
        <v>2235</v>
      </c>
      <c r="B30" s="4" t="s">
        <v>2183</v>
      </c>
      <c r="C30" s="4" t="s">
        <v>2236</v>
      </c>
      <c r="D30" s="6" t="s">
        <v>309</v>
      </c>
      <c r="E30" s="4"/>
      <c r="F30" s="4"/>
      <c r="G30" s="6">
        <v>5</v>
      </c>
      <c r="H30" s="4" t="s">
        <v>2209</v>
      </c>
      <c r="I30" s="4" t="s">
        <v>2247</v>
      </c>
      <c r="J30" s="4"/>
      <c r="K30" s="6" t="s">
        <v>7</v>
      </c>
      <c r="L30" s="6"/>
      <c r="M30" s="4"/>
      <c r="N30" s="4"/>
    </row>
    <row r="31" spans="1:14" customHeight="1" ht="30">
      <c r="A31" s="8" t="s">
        <v>2235</v>
      </c>
      <c r="B31" s="4" t="s">
        <v>2183</v>
      </c>
      <c r="C31" s="4" t="s">
        <v>2236</v>
      </c>
      <c r="D31" s="6" t="s">
        <v>309</v>
      </c>
      <c r="E31" s="4"/>
      <c r="F31" s="4"/>
      <c r="G31" s="6">
        <v>6</v>
      </c>
      <c r="H31" s="4" t="s">
        <v>2213</v>
      </c>
      <c r="I31" s="4" t="s">
        <v>2248</v>
      </c>
      <c r="J31" s="4"/>
      <c r="K31" s="6" t="s">
        <v>7</v>
      </c>
      <c r="L31" s="6"/>
      <c r="M31" s="4"/>
      <c r="N31" s="4"/>
    </row>
    <row r="32" spans="1:14" customHeight="1" ht="30">
      <c r="A32" s="8" t="s">
        <v>2235</v>
      </c>
      <c r="B32" s="4" t="s">
        <v>2183</v>
      </c>
      <c r="C32" s="4" t="s">
        <v>2236</v>
      </c>
      <c r="D32" s="6" t="s">
        <v>309</v>
      </c>
      <c r="E32" s="4"/>
      <c r="F32" s="4"/>
      <c r="G32" s="6">
        <v>7</v>
      </c>
      <c r="H32" s="4" t="s">
        <v>2249</v>
      </c>
      <c r="I32" s="4" t="s">
        <v>2250</v>
      </c>
      <c r="J32" s="4"/>
      <c r="K32" s="6" t="s">
        <v>7</v>
      </c>
      <c r="L32" s="6"/>
      <c r="M32" s="4"/>
      <c r="N32" s="4"/>
    </row>
    <row r="33" spans="1:14" customHeight="1" ht="30">
      <c r="A33" s="9" t="s">
        <v>2251</v>
      </c>
      <c r="B33" s="5" t="s">
        <v>2183</v>
      </c>
      <c r="C33" s="5" t="s">
        <v>2252</v>
      </c>
      <c r="D33" s="7" t="s">
        <v>322</v>
      </c>
      <c r="E33" s="5" t="s">
        <v>2237</v>
      </c>
      <c r="F33" s="5" t="s">
        <v>2222</v>
      </c>
      <c r="G33" s="7">
        <v>1</v>
      </c>
      <c r="H33" s="5" t="s">
        <v>2253</v>
      </c>
      <c r="I33" s="5" t="s">
        <v>2254</v>
      </c>
      <c r="J33" s="5"/>
      <c r="K33" s="7" t="s">
        <v>7</v>
      </c>
      <c r="L33" s="7"/>
      <c r="M33" s="5"/>
      <c r="N33" s="5"/>
    </row>
    <row r="34" spans="1:14" customHeight="1" ht="30">
      <c r="A34" s="9" t="s">
        <v>2251</v>
      </c>
      <c r="B34" s="5" t="s">
        <v>2183</v>
      </c>
      <c r="C34" s="5" t="s">
        <v>2252</v>
      </c>
      <c r="D34" s="7" t="s">
        <v>322</v>
      </c>
      <c r="E34" s="5"/>
      <c r="F34" s="5"/>
      <c r="G34" s="7">
        <v>2</v>
      </c>
      <c r="H34" s="5" t="s">
        <v>2225</v>
      </c>
      <c r="I34" s="5" t="s">
        <v>2255</v>
      </c>
      <c r="J34" s="5"/>
      <c r="K34" s="7" t="s">
        <v>7</v>
      </c>
      <c r="L34" s="7"/>
      <c r="M34" s="5"/>
      <c r="N34" s="5"/>
    </row>
    <row r="35" spans="1:14" customHeight="1" ht="30">
      <c r="A35" s="9" t="s">
        <v>2251</v>
      </c>
      <c r="B35" s="5" t="s">
        <v>2183</v>
      </c>
      <c r="C35" s="5" t="s">
        <v>2252</v>
      </c>
      <c r="D35" s="7" t="s">
        <v>322</v>
      </c>
      <c r="E35" s="5"/>
      <c r="F35" s="5"/>
      <c r="G35" s="7">
        <v>3</v>
      </c>
      <c r="H35" s="5" t="s">
        <v>2256</v>
      </c>
      <c r="I35" s="5" t="s">
        <v>2257</v>
      </c>
      <c r="J35" s="5"/>
      <c r="K35" s="7" t="s">
        <v>7</v>
      </c>
      <c r="L35" s="7"/>
      <c r="M35" s="5"/>
      <c r="N35" s="5"/>
    </row>
    <row r="36" spans="1:14" customHeight="1" ht="30">
      <c r="A36" s="8" t="s">
        <v>2258</v>
      </c>
      <c r="B36" s="4" t="s">
        <v>2183</v>
      </c>
      <c r="C36" s="4" t="s">
        <v>2259</v>
      </c>
      <c r="D36" s="6" t="s">
        <v>322</v>
      </c>
      <c r="E36" s="4" t="s">
        <v>2260</v>
      </c>
      <c r="F36" s="4" t="s">
        <v>2261</v>
      </c>
      <c r="G36" s="6">
        <v>1</v>
      </c>
      <c r="H36" s="4" t="s">
        <v>2262</v>
      </c>
      <c r="I36" s="4" t="s">
        <v>2263</v>
      </c>
      <c r="J36" s="4"/>
      <c r="K36" s="6" t="s">
        <v>7</v>
      </c>
      <c r="L36" s="6"/>
      <c r="M36" s="4"/>
      <c r="N36" s="4"/>
    </row>
    <row r="37" spans="1:14" customHeight="1" ht="30">
      <c r="A37" s="8" t="s">
        <v>2258</v>
      </c>
      <c r="B37" s="4" t="s">
        <v>2183</v>
      </c>
      <c r="C37" s="4" t="s">
        <v>2259</v>
      </c>
      <c r="D37" s="6" t="s">
        <v>322</v>
      </c>
      <c r="E37" s="4"/>
      <c r="F37" s="4"/>
      <c r="G37" s="6">
        <v>2</v>
      </c>
      <c r="H37" s="4" t="s">
        <v>2264</v>
      </c>
      <c r="I37" s="4" t="s">
        <v>2263</v>
      </c>
      <c r="J37" s="4"/>
      <c r="K37" s="6" t="s">
        <v>7</v>
      </c>
      <c r="L37" s="6"/>
      <c r="M37" s="4"/>
      <c r="N37" s="4"/>
    </row>
    <row r="38" spans="1:14" customHeight="1" ht="40">
      <c r="A38" s="8" t="s">
        <v>2258</v>
      </c>
      <c r="B38" s="4" t="s">
        <v>2183</v>
      </c>
      <c r="C38" s="4" t="s">
        <v>2259</v>
      </c>
      <c r="D38" s="6" t="s">
        <v>322</v>
      </c>
      <c r="E38" s="4"/>
      <c r="F38" s="4"/>
      <c r="G38" s="6">
        <v>3</v>
      </c>
      <c r="H38" s="4" t="s">
        <v>2265</v>
      </c>
      <c r="I38" s="4" t="s">
        <v>2266</v>
      </c>
      <c r="J38" s="4"/>
      <c r="K38" s="6" t="s">
        <v>7</v>
      </c>
      <c r="L38" s="6"/>
      <c r="M38" s="4"/>
      <c r="N38" s="4"/>
    </row>
    <row r="39" spans="1:14" customHeight="1" ht="40">
      <c r="A39" s="8" t="s">
        <v>2258</v>
      </c>
      <c r="B39" s="4" t="s">
        <v>2183</v>
      </c>
      <c r="C39" s="4" t="s">
        <v>2259</v>
      </c>
      <c r="D39" s="6" t="s">
        <v>322</v>
      </c>
      <c r="E39" s="4"/>
      <c r="F39" s="4"/>
      <c r="G39" s="6">
        <v>4</v>
      </c>
      <c r="H39" s="4" t="s">
        <v>2267</v>
      </c>
      <c r="I39" s="4" t="s">
        <v>2268</v>
      </c>
      <c r="J39" s="4"/>
      <c r="K39" s="6" t="s">
        <v>7</v>
      </c>
      <c r="L39" s="6"/>
      <c r="M39" s="4"/>
      <c r="N39" s="4"/>
    </row>
    <row r="40" spans="1:14" customHeight="1" ht="40">
      <c r="A40" s="8" t="s">
        <v>2258</v>
      </c>
      <c r="B40" s="4" t="s">
        <v>2183</v>
      </c>
      <c r="C40" s="4" t="s">
        <v>2259</v>
      </c>
      <c r="D40" s="6" t="s">
        <v>322</v>
      </c>
      <c r="E40" s="4"/>
      <c r="F40" s="4"/>
      <c r="G40" s="6">
        <v>5</v>
      </c>
      <c r="H40" s="4" t="s">
        <v>2269</v>
      </c>
      <c r="I40" s="4" t="s">
        <v>2270</v>
      </c>
      <c r="J40" s="4"/>
      <c r="K40" s="6" t="s">
        <v>7</v>
      </c>
      <c r="L40" s="6"/>
      <c r="M40" s="4"/>
      <c r="N40" s="4"/>
    </row>
    <row r="41" spans="1:14" customHeight="1" ht="40">
      <c r="A41" s="9" t="s">
        <v>2271</v>
      </c>
      <c r="B41" s="5" t="s">
        <v>2183</v>
      </c>
      <c r="C41" s="5" t="s">
        <v>2272</v>
      </c>
      <c r="D41" s="7" t="s">
        <v>322</v>
      </c>
      <c r="E41" s="5" t="s">
        <v>2273</v>
      </c>
      <c r="F41" s="5" t="s">
        <v>2274</v>
      </c>
      <c r="G41" s="7">
        <v>1</v>
      </c>
      <c r="H41" s="5" t="s">
        <v>2275</v>
      </c>
      <c r="I41" s="5" t="s">
        <v>2276</v>
      </c>
      <c r="J41" s="5"/>
      <c r="K41" s="7" t="s">
        <v>7</v>
      </c>
      <c r="L41" s="7"/>
      <c r="M41" s="5"/>
      <c r="N41" s="5"/>
    </row>
    <row r="42" spans="1:14" customHeight="1" ht="53">
      <c r="A42" s="9" t="s">
        <v>2271</v>
      </c>
      <c r="B42" s="5" t="s">
        <v>2183</v>
      </c>
      <c r="C42" s="5" t="s">
        <v>2272</v>
      </c>
      <c r="D42" s="7" t="s">
        <v>322</v>
      </c>
      <c r="E42" s="5"/>
      <c r="F42" s="5"/>
      <c r="G42" s="7">
        <v>2</v>
      </c>
      <c r="H42" s="5" t="s">
        <v>2277</v>
      </c>
      <c r="I42" s="5" t="s">
        <v>2278</v>
      </c>
      <c r="J42" s="5"/>
      <c r="K42" s="7" t="s">
        <v>7</v>
      </c>
      <c r="L42" s="7"/>
      <c r="M42" s="5"/>
      <c r="N42" s="5"/>
    </row>
    <row r="43" spans="1:14" customHeight="1" ht="30">
      <c r="A43" s="9" t="s">
        <v>2271</v>
      </c>
      <c r="B43" s="5" t="s">
        <v>2183</v>
      </c>
      <c r="C43" s="5" t="s">
        <v>2272</v>
      </c>
      <c r="D43" s="7" t="s">
        <v>322</v>
      </c>
      <c r="E43" s="5"/>
      <c r="F43" s="5"/>
      <c r="G43" s="7">
        <v>3</v>
      </c>
      <c r="H43" s="5" t="s">
        <v>2279</v>
      </c>
      <c r="I43" s="5" t="s">
        <v>1038</v>
      </c>
      <c r="J43" s="5"/>
      <c r="K43" s="7" t="s">
        <v>7</v>
      </c>
      <c r="L43" s="7"/>
      <c r="M43" s="5"/>
      <c r="N43" s="5"/>
    </row>
    <row r="44" spans="1:14" customHeight="1" ht="40">
      <c r="A44" s="8" t="s">
        <v>2280</v>
      </c>
      <c r="B44" s="4" t="s">
        <v>2183</v>
      </c>
      <c r="C44" s="4" t="s">
        <v>2281</v>
      </c>
      <c r="D44" s="6" t="s">
        <v>322</v>
      </c>
      <c r="E44" s="4" t="s">
        <v>2282</v>
      </c>
      <c r="F44" s="4" t="s">
        <v>2283</v>
      </c>
      <c r="G44" s="6">
        <v>1</v>
      </c>
      <c r="H44" s="4" t="s">
        <v>2284</v>
      </c>
      <c r="I44" s="4" t="s">
        <v>2231</v>
      </c>
      <c r="J44" s="4"/>
      <c r="K44" s="6" t="s">
        <v>7</v>
      </c>
      <c r="L44" s="6"/>
      <c r="M44" s="4"/>
      <c r="N44" s="4"/>
    </row>
    <row r="45" spans="1:14" customHeight="1" ht="40">
      <c r="A45" s="8" t="s">
        <v>2280</v>
      </c>
      <c r="B45" s="4" t="s">
        <v>2183</v>
      </c>
      <c r="C45" s="4" t="s">
        <v>2281</v>
      </c>
      <c r="D45" s="6" t="s">
        <v>322</v>
      </c>
      <c r="E45" s="4"/>
      <c r="F45" s="4"/>
      <c r="G45" s="6">
        <v>2</v>
      </c>
      <c r="H45" s="4" t="s">
        <v>2285</v>
      </c>
      <c r="I45" s="4" t="s">
        <v>2286</v>
      </c>
      <c r="J45" s="4"/>
      <c r="K45" s="6" t="s">
        <v>7</v>
      </c>
      <c r="L45" s="6"/>
      <c r="M45" s="4"/>
      <c r="N45" s="4"/>
    </row>
    <row r="46" spans="1:14" customHeight="1" ht="30">
      <c r="A46" s="8" t="s">
        <v>2280</v>
      </c>
      <c r="B46" s="4" t="s">
        <v>2183</v>
      </c>
      <c r="C46" s="4" t="s">
        <v>2281</v>
      </c>
      <c r="D46" s="6" t="s">
        <v>322</v>
      </c>
      <c r="E46" s="4"/>
      <c r="F46" s="4"/>
      <c r="G46" s="6">
        <v>3</v>
      </c>
      <c r="H46" s="4" t="s">
        <v>2287</v>
      </c>
      <c r="I46" s="4" t="s">
        <v>2288</v>
      </c>
      <c r="J46" s="4"/>
      <c r="K46" s="6" t="s">
        <v>7</v>
      </c>
      <c r="L46" s="6"/>
      <c r="M46" s="4"/>
      <c r="N46" s="4"/>
    </row>
    <row r="47" spans="1:14" customHeight="1" ht="30">
      <c r="A47" s="8" t="s">
        <v>2280</v>
      </c>
      <c r="B47" s="4" t="s">
        <v>2183</v>
      </c>
      <c r="C47" s="4" t="s">
        <v>2281</v>
      </c>
      <c r="D47" s="6" t="s">
        <v>322</v>
      </c>
      <c r="E47" s="4"/>
      <c r="F47" s="4"/>
      <c r="G47" s="6">
        <v>4</v>
      </c>
      <c r="H47" s="4" t="s">
        <v>2289</v>
      </c>
      <c r="I47" s="4" t="s">
        <v>2290</v>
      </c>
      <c r="J47" s="4"/>
      <c r="K47" s="6" t="s">
        <v>7</v>
      </c>
      <c r="L47" s="6"/>
      <c r="M47" s="4"/>
      <c r="N47" s="4"/>
    </row>
    <row r="48" spans="1:14" customHeight="1" ht="30">
      <c r="A48" s="8" t="s">
        <v>2280</v>
      </c>
      <c r="B48" s="4" t="s">
        <v>2183</v>
      </c>
      <c r="C48" s="4" t="s">
        <v>2281</v>
      </c>
      <c r="D48" s="6" t="s">
        <v>322</v>
      </c>
      <c r="E48" s="4"/>
      <c r="F48" s="4"/>
      <c r="G48" s="6">
        <v>5</v>
      </c>
      <c r="H48" s="4" t="s">
        <v>2291</v>
      </c>
      <c r="I48" s="4" t="s">
        <v>2292</v>
      </c>
      <c r="J48" s="4"/>
      <c r="K48" s="6" t="s">
        <v>7</v>
      </c>
      <c r="L48" s="6"/>
      <c r="M48" s="4"/>
      <c r="N48" s="4"/>
    </row>
    <row r="49" spans="1:14" customHeight="1" ht="30">
      <c r="A49" s="8" t="s">
        <v>2280</v>
      </c>
      <c r="B49" s="4" t="s">
        <v>2183</v>
      </c>
      <c r="C49" s="4" t="s">
        <v>2281</v>
      </c>
      <c r="D49" s="6" t="s">
        <v>322</v>
      </c>
      <c r="E49" s="4"/>
      <c r="F49" s="4"/>
      <c r="G49" s="6">
        <v>6</v>
      </c>
      <c r="H49" s="4" t="s">
        <v>2293</v>
      </c>
      <c r="I49" s="4" t="s">
        <v>2294</v>
      </c>
      <c r="J49" s="4"/>
      <c r="K49" s="6" t="s">
        <v>7</v>
      </c>
      <c r="L49" s="6"/>
      <c r="M49" s="4"/>
      <c r="N49" s="4"/>
    </row>
    <row r="50" spans="1:14" customHeight="1" ht="40">
      <c r="A50" s="8" t="s">
        <v>2280</v>
      </c>
      <c r="B50" s="4" t="s">
        <v>2183</v>
      </c>
      <c r="C50" s="4" t="s">
        <v>2281</v>
      </c>
      <c r="D50" s="6" t="s">
        <v>322</v>
      </c>
      <c r="E50" s="4"/>
      <c r="F50" s="4"/>
      <c r="G50" s="6">
        <v>7</v>
      </c>
      <c r="H50" s="4" t="s">
        <v>2295</v>
      </c>
      <c r="I50" s="4" t="s">
        <v>2296</v>
      </c>
      <c r="J50" s="4"/>
      <c r="K50" s="6" t="s">
        <v>7</v>
      </c>
      <c r="L50" s="6"/>
      <c r="M50" s="4"/>
      <c r="N50" s="4"/>
    </row>
    <row r="51" spans="1:14" customHeight="1" ht="30">
      <c r="A51" s="9" t="s">
        <v>2297</v>
      </c>
      <c r="B51" s="5" t="s">
        <v>2183</v>
      </c>
      <c r="C51" s="5" t="s">
        <v>2298</v>
      </c>
      <c r="D51" s="7" t="s">
        <v>441</v>
      </c>
      <c r="E51" s="5" t="s">
        <v>2299</v>
      </c>
      <c r="F51" s="5" t="s">
        <v>2300</v>
      </c>
      <c r="G51" s="7">
        <v>1</v>
      </c>
      <c r="H51" s="5" t="s">
        <v>2301</v>
      </c>
      <c r="I51" s="5" t="s">
        <v>350</v>
      </c>
      <c r="J51" s="5"/>
      <c r="K51" s="7" t="s">
        <v>7</v>
      </c>
      <c r="L51" s="7"/>
      <c r="M51" s="5"/>
      <c r="N51" s="5"/>
    </row>
    <row r="52" spans="1:14" customHeight="1" ht="40">
      <c r="A52" s="9" t="s">
        <v>2297</v>
      </c>
      <c r="B52" s="5" t="s">
        <v>2183</v>
      </c>
      <c r="C52" s="5" t="s">
        <v>2298</v>
      </c>
      <c r="D52" s="7" t="s">
        <v>441</v>
      </c>
      <c r="E52" s="5"/>
      <c r="F52" s="5"/>
      <c r="G52" s="7">
        <v>2</v>
      </c>
      <c r="H52" s="5" t="s">
        <v>2302</v>
      </c>
      <c r="I52" s="5" t="s">
        <v>2303</v>
      </c>
      <c r="J52" s="5"/>
      <c r="K52" s="7" t="s">
        <v>7</v>
      </c>
      <c r="L52" s="7"/>
      <c r="M52" s="5"/>
      <c r="N52" s="5"/>
    </row>
    <row r="53" spans="1:14" customHeight="1" ht="30">
      <c r="A53" s="9" t="s">
        <v>2297</v>
      </c>
      <c r="B53" s="5" t="s">
        <v>2183</v>
      </c>
      <c r="C53" s="5" t="s">
        <v>2298</v>
      </c>
      <c r="D53" s="7" t="s">
        <v>441</v>
      </c>
      <c r="E53" s="5"/>
      <c r="F53" s="5"/>
      <c r="G53" s="7">
        <v>3</v>
      </c>
      <c r="H53" s="5" t="s">
        <v>2304</v>
      </c>
      <c r="I53" s="5" t="s">
        <v>2305</v>
      </c>
      <c r="J53" s="5"/>
      <c r="K53" s="7" t="s">
        <v>7</v>
      </c>
      <c r="L53" s="7"/>
      <c r="M53" s="5"/>
      <c r="N53" s="5"/>
    </row>
    <row r="54" spans="1:14" customHeight="1" ht="40">
      <c r="A54" s="9" t="s">
        <v>2297</v>
      </c>
      <c r="B54" s="5" t="s">
        <v>2183</v>
      </c>
      <c r="C54" s="5" t="s">
        <v>2298</v>
      </c>
      <c r="D54" s="7" t="s">
        <v>441</v>
      </c>
      <c r="E54" s="5"/>
      <c r="F54" s="5"/>
      <c r="G54" s="7">
        <v>4</v>
      </c>
      <c r="H54" s="5" t="s">
        <v>2306</v>
      </c>
      <c r="I54" s="5" t="s">
        <v>2307</v>
      </c>
      <c r="J54" s="5"/>
      <c r="K54" s="7" t="s">
        <v>7</v>
      </c>
      <c r="L54" s="7"/>
      <c r="M54" s="5"/>
      <c r="N54" s="5"/>
    </row>
    <row r="55" spans="1:14" customHeight="1" ht="40">
      <c r="A55" s="8" t="s">
        <v>2308</v>
      </c>
      <c r="B55" s="4" t="s">
        <v>2183</v>
      </c>
      <c r="C55" s="4" t="s">
        <v>2309</v>
      </c>
      <c r="D55" s="6" t="s">
        <v>322</v>
      </c>
      <c r="E55" s="4" t="s">
        <v>2310</v>
      </c>
      <c r="F55" s="4" t="s">
        <v>2311</v>
      </c>
      <c r="G55" s="6">
        <v>1</v>
      </c>
      <c r="H55" s="4" t="s">
        <v>2312</v>
      </c>
      <c r="I55" s="4" t="s">
        <v>2313</v>
      </c>
      <c r="J55" s="4"/>
      <c r="K55" s="6" t="s">
        <v>7</v>
      </c>
      <c r="L55" s="6"/>
      <c r="M55" s="4"/>
      <c r="N55" s="4"/>
    </row>
    <row r="56" spans="1:14" customHeight="1" ht="30">
      <c r="A56" s="8" t="s">
        <v>2308</v>
      </c>
      <c r="B56" s="4" t="s">
        <v>2183</v>
      </c>
      <c r="C56" s="4" t="s">
        <v>2309</v>
      </c>
      <c r="D56" s="6" t="s">
        <v>322</v>
      </c>
      <c r="E56" s="4"/>
      <c r="F56" s="4"/>
      <c r="G56" s="6">
        <v>2</v>
      </c>
      <c r="H56" s="4" t="s">
        <v>2314</v>
      </c>
      <c r="I56" s="4" t="s">
        <v>2315</v>
      </c>
      <c r="J56" s="4"/>
      <c r="K56" s="6" t="s">
        <v>7</v>
      </c>
      <c r="L56" s="6"/>
      <c r="M56" s="4"/>
      <c r="N56" s="4"/>
    </row>
    <row r="57" spans="1:14" customHeight="1" ht="40">
      <c r="A57" s="8" t="s">
        <v>2308</v>
      </c>
      <c r="B57" s="4" t="s">
        <v>2183</v>
      </c>
      <c r="C57" s="4" t="s">
        <v>2309</v>
      </c>
      <c r="D57" s="6" t="s">
        <v>322</v>
      </c>
      <c r="E57" s="4"/>
      <c r="F57" s="4"/>
      <c r="G57" s="6">
        <v>3</v>
      </c>
      <c r="H57" s="4" t="s">
        <v>2316</v>
      </c>
      <c r="I57" s="4" t="s">
        <v>2317</v>
      </c>
      <c r="J57" s="4"/>
      <c r="K57" s="6" t="s">
        <v>7</v>
      </c>
      <c r="L57" s="6"/>
      <c r="M57" s="4"/>
      <c r="N57" s="4"/>
    </row>
    <row r="58" spans="1:14" customHeight="1" ht="30">
      <c r="A58" s="8" t="s">
        <v>2308</v>
      </c>
      <c r="B58" s="4" t="s">
        <v>2183</v>
      </c>
      <c r="C58" s="4" t="s">
        <v>2309</v>
      </c>
      <c r="D58" s="6" t="s">
        <v>322</v>
      </c>
      <c r="E58" s="4"/>
      <c r="F58" s="4"/>
      <c r="G58" s="6">
        <v>4</v>
      </c>
      <c r="H58" s="4" t="s">
        <v>2318</v>
      </c>
      <c r="I58" s="4" t="s">
        <v>2319</v>
      </c>
      <c r="J58" s="4"/>
      <c r="K58" s="6" t="s">
        <v>7</v>
      </c>
      <c r="L58" s="6"/>
      <c r="M58" s="4"/>
      <c r="N58" s="4"/>
    </row>
    <row r="59" spans="1:14" customHeight="1" ht="30">
      <c r="A59" s="8" t="s">
        <v>2308</v>
      </c>
      <c r="B59" s="4" t="s">
        <v>2183</v>
      </c>
      <c r="C59" s="4" t="s">
        <v>2309</v>
      </c>
      <c r="D59" s="6" t="s">
        <v>322</v>
      </c>
      <c r="E59" s="4"/>
      <c r="F59" s="4"/>
      <c r="G59" s="6">
        <v>5</v>
      </c>
      <c r="H59" s="4" t="s">
        <v>2320</v>
      </c>
      <c r="I59" s="4" t="s">
        <v>2321</v>
      </c>
      <c r="J59" s="4"/>
      <c r="K59" s="6" t="s">
        <v>7</v>
      </c>
      <c r="L59" s="6"/>
      <c r="M59" s="4"/>
      <c r="N59" s="4"/>
    </row>
    <row r="60" spans="1:14" customHeight="1" ht="40">
      <c r="A60" s="9" t="s">
        <v>2322</v>
      </c>
      <c r="B60" s="5" t="s">
        <v>2183</v>
      </c>
      <c r="C60" s="5" t="s">
        <v>2323</v>
      </c>
      <c r="D60" s="7" t="s">
        <v>441</v>
      </c>
      <c r="E60" s="5" t="s">
        <v>2324</v>
      </c>
      <c r="F60" s="5" t="s">
        <v>2325</v>
      </c>
      <c r="G60" s="7">
        <v>1</v>
      </c>
      <c r="H60" s="5" t="s">
        <v>2326</v>
      </c>
      <c r="I60" s="5" t="s">
        <v>2327</v>
      </c>
      <c r="J60" s="5"/>
      <c r="K60" s="7" t="s">
        <v>7</v>
      </c>
      <c r="L60" s="7"/>
      <c r="M60" s="5"/>
      <c r="N60" s="5"/>
    </row>
    <row r="61" spans="1:14" customHeight="1" ht="30">
      <c r="A61" s="9" t="s">
        <v>2322</v>
      </c>
      <c r="B61" s="5" t="s">
        <v>2183</v>
      </c>
      <c r="C61" s="5" t="s">
        <v>2323</v>
      </c>
      <c r="D61" s="7" t="s">
        <v>441</v>
      </c>
      <c r="E61" s="5"/>
      <c r="F61" s="5"/>
      <c r="G61" s="7">
        <v>2</v>
      </c>
      <c r="H61" s="5" t="s">
        <v>2328</v>
      </c>
      <c r="I61" s="5" t="s">
        <v>2329</v>
      </c>
      <c r="J61" s="5"/>
      <c r="K61" s="7" t="s">
        <v>7</v>
      </c>
      <c r="L61" s="7"/>
      <c r="M61" s="5"/>
      <c r="N61" s="5"/>
    </row>
    <row r="62" spans="1:14" customHeight="1" ht="40">
      <c r="A62" s="9" t="s">
        <v>2322</v>
      </c>
      <c r="B62" s="5" t="s">
        <v>2183</v>
      </c>
      <c r="C62" s="5" t="s">
        <v>2323</v>
      </c>
      <c r="D62" s="7" t="s">
        <v>441</v>
      </c>
      <c r="E62" s="5"/>
      <c r="F62" s="5"/>
      <c r="G62" s="7">
        <v>3</v>
      </c>
      <c r="H62" s="5" t="s">
        <v>2330</v>
      </c>
      <c r="I62" s="5" t="s">
        <v>2331</v>
      </c>
      <c r="J62" s="5"/>
      <c r="K62" s="7" t="s">
        <v>7</v>
      </c>
      <c r="L62" s="7"/>
      <c r="M62" s="5"/>
      <c r="N62" s="5"/>
    </row>
    <row r="63" spans="1:14" customHeight="1" ht="30">
      <c r="A63" s="9" t="s">
        <v>2322</v>
      </c>
      <c r="B63" s="5" t="s">
        <v>2183</v>
      </c>
      <c r="C63" s="5" t="s">
        <v>2323</v>
      </c>
      <c r="D63" s="7" t="s">
        <v>441</v>
      </c>
      <c r="E63" s="5"/>
      <c r="F63" s="5"/>
      <c r="G63" s="7">
        <v>4</v>
      </c>
      <c r="H63" s="5" t="s">
        <v>2332</v>
      </c>
      <c r="I63" s="5" t="s">
        <v>2333</v>
      </c>
      <c r="J63" s="5"/>
      <c r="K63" s="7" t="s">
        <v>7</v>
      </c>
      <c r="L63" s="7"/>
      <c r="M63" s="5"/>
      <c r="N63" s="5"/>
    </row>
    <row r="64" spans="1:14" customHeight="1" ht="30">
      <c r="A64" s="8" t="s">
        <v>2334</v>
      </c>
      <c r="B64" s="4" t="s">
        <v>2183</v>
      </c>
      <c r="C64" s="4" t="s">
        <v>2335</v>
      </c>
      <c r="D64" s="6" t="s">
        <v>441</v>
      </c>
      <c r="E64" s="4" t="s">
        <v>2336</v>
      </c>
      <c r="F64" s="4" t="s">
        <v>2337</v>
      </c>
      <c r="G64" s="6">
        <v>1</v>
      </c>
      <c r="H64" s="4" t="s">
        <v>2338</v>
      </c>
      <c r="I64" s="4" t="s">
        <v>2339</v>
      </c>
      <c r="J64" s="4"/>
      <c r="K64" s="6" t="s">
        <v>7</v>
      </c>
      <c r="L64" s="6"/>
      <c r="M64" s="4"/>
      <c r="N64" s="4"/>
    </row>
    <row r="65" spans="1:14" customHeight="1" ht="30">
      <c r="A65" s="8" t="s">
        <v>2334</v>
      </c>
      <c r="B65" s="4" t="s">
        <v>2183</v>
      </c>
      <c r="C65" s="4" t="s">
        <v>2335</v>
      </c>
      <c r="D65" s="6" t="s">
        <v>441</v>
      </c>
      <c r="E65" s="4"/>
      <c r="F65" s="4"/>
      <c r="G65" s="6">
        <v>2</v>
      </c>
      <c r="H65" s="4" t="s">
        <v>2340</v>
      </c>
      <c r="I65" s="4" t="s">
        <v>2144</v>
      </c>
      <c r="J65" s="4"/>
      <c r="K65" s="6" t="s">
        <v>7</v>
      </c>
      <c r="L65" s="6"/>
      <c r="M65" s="4"/>
      <c r="N65" s="4"/>
    </row>
    <row r="66" spans="1:14" customHeight="1" ht="40">
      <c r="A66" s="8" t="s">
        <v>2334</v>
      </c>
      <c r="B66" s="4" t="s">
        <v>2183</v>
      </c>
      <c r="C66" s="4" t="s">
        <v>2335</v>
      </c>
      <c r="D66" s="6" t="s">
        <v>441</v>
      </c>
      <c r="E66" s="4"/>
      <c r="F66" s="4"/>
      <c r="G66" s="6">
        <v>3</v>
      </c>
      <c r="H66" s="4" t="s">
        <v>2341</v>
      </c>
      <c r="I66" s="4" t="s">
        <v>2342</v>
      </c>
      <c r="J66" s="4"/>
      <c r="K66" s="6" t="s">
        <v>7</v>
      </c>
      <c r="L66" s="6"/>
      <c r="M66" s="4"/>
      <c r="N66" s="4"/>
    </row>
    <row r="67" spans="1:14" customHeight="1" ht="40">
      <c r="A67" s="8" t="s">
        <v>2334</v>
      </c>
      <c r="B67" s="4" t="s">
        <v>2183</v>
      </c>
      <c r="C67" s="4" t="s">
        <v>2335</v>
      </c>
      <c r="D67" s="6" t="s">
        <v>441</v>
      </c>
      <c r="E67" s="4"/>
      <c r="F67" s="4"/>
      <c r="G67" s="6">
        <v>4</v>
      </c>
      <c r="H67" s="4" t="s">
        <v>2343</v>
      </c>
      <c r="I67" s="4" t="s">
        <v>2344</v>
      </c>
      <c r="J67" s="4"/>
      <c r="K67" s="6" t="s">
        <v>7</v>
      </c>
      <c r="L67" s="6"/>
      <c r="M67" s="4"/>
      <c r="N67" s="4"/>
    </row>
    <row r="68" spans="1:14" customHeight="1" ht="30">
      <c r="A68" s="8" t="s">
        <v>2334</v>
      </c>
      <c r="B68" s="4" t="s">
        <v>2183</v>
      </c>
      <c r="C68" s="4" t="s">
        <v>2335</v>
      </c>
      <c r="D68" s="6" t="s">
        <v>441</v>
      </c>
      <c r="E68" s="4"/>
      <c r="F68" s="4"/>
      <c r="G68" s="6">
        <v>5</v>
      </c>
      <c r="H68" s="4" t="s">
        <v>2345</v>
      </c>
      <c r="I68" s="4" t="s">
        <v>2346</v>
      </c>
      <c r="J68" s="4"/>
      <c r="K68" s="6" t="s">
        <v>7</v>
      </c>
      <c r="L68" s="6"/>
      <c r="M68" s="4"/>
      <c r="N68" s="4"/>
    </row>
  </sheetData>
  <autoFilter ref="A3:N68"/>
  <mergeCells>
    <mergeCell ref="A1:N1"/>
    <mergeCell ref="A2:N2"/>
  </mergeCells>
  <conditionalFormatting sqref="K4:K68">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68">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68">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68">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68">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55"/>
  <sheetViews>
    <sheetView tabSelected="0" workbookViewId="0" showGridLines="true" showRowColHeaders="1">
      <pane xSplit="2" ySplit="3" topLeftCell="C4" activePane="bottomRight" state="frozen"/>
      <selection pane="topRight"/>
      <selection pane="bottomLeft"/>
      <selection pane="bottomRight" activeCell="L4" sqref="L4:L55"/>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2347</v>
      </c>
    </row>
    <row r="2" spans="1:14" customHeight="1" ht="30">
      <c r="A2" s="2" t="s">
        <v>2348</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2349</v>
      </c>
      <c r="B4" s="4" t="s">
        <v>2347</v>
      </c>
      <c r="C4" s="4" t="s">
        <v>2350</v>
      </c>
      <c r="D4" s="6" t="s">
        <v>309</v>
      </c>
      <c r="E4" s="4" t="s">
        <v>2351</v>
      </c>
      <c r="F4" s="4" t="s">
        <v>2352</v>
      </c>
      <c r="G4" s="6">
        <v>1</v>
      </c>
      <c r="H4" s="4" t="s">
        <v>2353</v>
      </c>
      <c r="I4" s="4" t="s">
        <v>2354</v>
      </c>
      <c r="J4" s="4"/>
      <c r="K4" s="6" t="s">
        <v>7</v>
      </c>
      <c r="L4" s="6"/>
      <c r="M4" s="4"/>
      <c r="N4" s="4"/>
    </row>
    <row r="5" spans="1:14" customHeight="1" ht="40">
      <c r="A5" s="8" t="s">
        <v>2349</v>
      </c>
      <c r="B5" s="4" t="s">
        <v>2347</v>
      </c>
      <c r="C5" s="4" t="s">
        <v>2350</v>
      </c>
      <c r="D5" s="6" t="s">
        <v>309</v>
      </c>
      <c r="E5" s="4"/>
      <c r="F5" s="4"/>
      <c r="G5" s="6">
        <v>2</v>
      </c>
      <c r="H5" s="4" t="s">
        <v>2355</v>
      </c>
      <c r="I5" s="4" t="s">
        <v>2356</v>
      </c>
      <c r="J5" s="4"/>
      <c r="K5" s="6" t="s">
        <v>7</v>
      </c>
      <c r="L5" s="6"/>
      <c r="M5" s="4"/>
      <c r="N5" s="4"/>
    </row>
    <row r="6" spans="1:14" customHeight="1" ht="40">
      <c r="A6" s="8" t="s">
        <v>2349</v>
      </c>
      <c r="B6" s="4" t="s">
        <v>2347</v>
      </c>
      <c r="C6" s="4" t="s">
        <v>2350</v>
      </c>
      <c r="D6" s="6" t="s">
        <v>309</v>
      </c>
      <c r="E6" s="4"/>
      <c r="F6" s="4"/>
      <c r="G6" s="6">
        <v>3</v>
      </c>
      <c r="H6" s="4" t="s">
        <v>2357</v>
      </c>
      <c r="I6" s="4" t="s">
        <v>2358</v>
      </c>
      <c r="J6" s="4"/>
      <c r="K6" s="6" t="s">
        <v>7</v>
      </c>
      <c r="L6" s="6"/>
      <c r="M6" s="4"/>
      <c r="N6" s="4"/>
    </row>
    <row r="7" spans="1:14" customHeight="1" ht="30">
      <c r="A7" s="8" t="s">
        <v>2349</v>
      </c>
      <c r="B7" s="4" t="s">
        <v>2347</v>
      </c>
      <c r="C7" s="4" t="s">
        <v>2350</v>
      </c>
      <c r="D7" s="6" t="s">
        <v>309</v>
      </c>
      <c r="E7" s="4"/>
      <c r="F7" s="4"/>
      <c r="G7" s="6">
        <v>4</v>
      </c>
      <c r="H7" s="4" t="s">
        <v>2359</v>
      </c>
      <c r="I7" s="4" t="s">
        <v>2360</v>
      </c>
      <c r="J7" s="4"/>
      <c r="K7" s="6" t="s">
        <v>7</v>
      </c>
      <c r="L7" s="6"/>
      <c r="M7" s="4"/>
      <c r="N7" s="4"/>
    </row>
    <row r="8" spans="1:14" customHeight="1" ht="30">
      <c r="A8" s="8" t="s">
        <v>2349</v>
      </c>
      <c r="B8" s="4" t="s">
        <v>2347</v>
      </c>
      <c r="C8" s="4" t="s">
        <v>2350</v>
      </c>
      <c r="D8" s="6" t="s">
        <v>309</v>
      </c>
      <c r="E8" s="4"/>
      <c r="F8" s="4"/>
      <c r="G8" s="6">
        <v>5</v>
      </c>
      <c r="H8" s="4" t="s">
        <v>2361</v>
      </c>
      <c r="I8" s="4" t="s">
        <v>2362</v>
      </c>
      <c r="J8" s="4"/>
      <c r="K8" s="6" t="s">
        <v>7</v>
      </c>
      <c r="L8" s="6"/>
      <c r="M8" s="4"/>
      <c r="N8" s="4"/>
    </row>
    <row r="9" spans="1:14" customHeight="1" ht="30">
      <c r="A9" s="8" t="s">
        <v>2349</v>
      </c>
      <c r="B9" s="4" t="s">
        <v>2347</v>
      </c>
      <c r="C9" s="4" t="s">
        <v>2350</v>
      </c>
      <c r="D9" s="6" t="s">
        <v>309</v>
      </c>
      <c r="E9" s="4"/>
      <c r="F9" s="4"/>
      <c r="G9" s="6">
        <v>6</v>
      </c>
      <c r="H9" s="4" t="s">
        <v>2363</v>
      </c>
      <c r="I9" s="4" t="s">
        <v>2364</v>
      </c>
      <c r="J9" s="4"/>
      <c r="K9" s="6" t="s">
        <v>7</v>
      </c>
      <c r="L9" s="6"/>
      <c r="M9" s="4"/>
      <c r="N9" s="4"/>
    </row>
    <row r="10" spans="1:14" customHeight="1" ht="30">
      <c r="A10" s="8" t="s">
        <v>2349</v>
      </c>
      <c r="B10" s="4" t="s">
        <v>2347</v>
      </c>
      <c r="C10" s="4" t="s">
        <v>2350</v>
      </c>
      <c r="D10" s="6" t="s">
        <v>309</v>
      </c>
      <c r="E10" s="4"/>
      <c r="F10" s="4"/>
      <c r="G10" s="6">
        <v>7</v>
      </c>
      <c r="H10" s="4" t="s">
        <v>2365</v>
      </c>
      <c r="I10" s="4" t="s">
        <v>2366</v>
      </c>
      <c r="J10" s="4"/>
      <c r="K10" s="6" t="s">
        <v>7</v>
      </c>
      <c r="L10" s="6"/>
      <c r="M10" s="4"/>
      <c r="N10" s="4"/>
    </row>
    <row r="11" spans="1:14" customHeight="1" ht="30">
      <c r="A11" s="8" t="s">
        <v>2349</v>
      </c>
      <c r="B11" s="4" t="s">
        <v>2347</v>
      </c>
      <c r="C11" s="4" t="s">
        <v>2350</v>
      </c>
      <c r="D11" s="6" t="s">
        <v>309</v>
      </c>
      <c r="E11" s="4"/>
      <c r="F11" s="4"/>
      <c r="G11" s="6">
        <v>8</v>
      </c>
      <c r="H11" s="4" t="s">
        <v>2367</v>
      </c>
      <c r="I11" s="4" t="s">
        <v>2368</v>
      </c>
      <c r="J11" s="4"/>
      <c r="K11" s="6" t="s">
        <v>7</v>
      </c>
      <c r="L11" s="6"/>
      <c r="M11" s="4"/>
      <c r="N11" s="4"/>
    </row>
    <row r="12" spans="1:14" customHeight="1" ht="30">
      <c r="A12" s="9" t="s">
        <v>2369</v>
      </c>
      <c r="B12" s="5" t="s">
        <v>2347</v>
      </c>
      <c r="C12" s="5" t="s">
        <v>2370</v>
      </c>
      <c r="D12" s="7" t="s">
        <v>309</v>
      </c>
      <c r="E12" s="5" t="s">
        <v>2371</v>
      </c>
      <c r="F12" s="5" t="s">
        <v>2372</v>
      </c>
      <c r="G12" s="7">
        <v>1</v>
      </c>
      <c r="H12" s="5" t="s">
        <v>2373</v>
      </c>
      <c r="I12" s="5" t="s">
        <v>2374</v>
      </c>
      <c r="J12" s="5"/>
      <c r="K12" s="7" t="s">
        <v>7</v>
      </c>
      <c r="L12" s="7"/>
      <c r="M12" s="5"/>
      <c r="N12" s="5"/>
    </row>
    <row r="13" spans="1:14" customHeight="1" ht="40">
      <c r="A13" s="9" t="s">
        <v>2369</v>
      </c>
      <c r="B13" s="5" t="s">
        <v>2347</v>
      </c>
      <c r="C13" s="5" t="s">
        <v>2370</v>
      </c>
      <c r="D13" s="7" t="s">
        <v>309</v>
      </c>
      <c r="E13" s="5"/>
      <c r="F13" s="5"/>
      <c r="G13" s="7">
        <v>2</v>
      </c>
      <c r="H13" s="5" t="s">
        <v>2375</v>
      </c>
      <c r="I13" s="5" t="s">
        <v>2376</v>
      </c>
      <c r="J13" s="5"/>
      <c r="K13" s="7" t="s">
        <v>7</v>
      </c>
      <c r="L13" s="7"/>
      <c r="M13" s="5"/>
      <c r="N13" s="5"/>
    </row>
    <row r="14" spans="1:14" customHeight="1" ht="40">
      <c r="A14" s="9" t="s">
        <v>2369</v>
      </c>
      <c r="B14" s="5" t="s">
        <v>2347</v>
      </c>
      <c r="C14" s="5" t="s">
        <v>2370</v>
      </c>
      <c r="D14" s="7" t="s">
        <v>309</v>
      </c>
      <c r="E14" s="5"/>
      <c r="F14" s="5"/>
      <c r="G14" s="7">
        <v>3</v>
      </c>
      <c r="H14" s="5" t="s">
        <v>2377</v>
      </c>
      <c r="I14" s="5" t="s">
        <v>2378</v>
      </c>
      <c r="J14" s="5"/>
      <c r="K14" s="7" t="s">
        <v>7</v>
      </c>
      <c r="L14" s="7"/>
      <c r="M14" s="5"/>
      <c r="N14" s="5"/>
    </row>
    <row r="15" spans="1:14" customHeight="1" ht="30">
      <c r="A15" s="9" t="s">
        <v>2369</v>
      </c>
      <c r="B15" s="5" t="s">
        <v>2347</v>
      </c>
      <c r="C15" s="5" t="s">
        <v>2370</v>
      </c>
      <c r="D15" s="7" t="s">
        <v>309</v>
      </c>
      <c r="E15" s="5"/>
      <c r="F15" s="5"/>
      <c r="G15" s="7">
        <v>4</v>
      </c>
      <c r="H15" s="5" t="s">
        <v>2379</v>
      </c>
      <c r="I15" s="5" t="s">
        <v>2380</v>
      </c>
      <c r="J15" s="5"/>
      <c r="K15" s="7" t="s">
        <v>7</v>
      </c>
      <c r="L15" s="7"/>
      <c r="M15" s="5"/>
      <c r="N15" s="5"/>
    </row>
    <row r="16" spans="1:14" customHeight="1" ht="40">
      <c r="A16" s="9" t="s">
        <v>2369</v>
      </c>
      <c r="B16" s="5" t="s">
        <v>2347</v>
      </c>
      <c r="C16" s="5" t="s">
        <v>2370</v>
      </c>
      <c r="D16" s="7" t="s">
        <v>309</v>
      </c>
      <c r="E16" s="5"/>
      <c r="F16" s="5"/>
      <c r="G16" s="7">
        <v>5</v>
      </c>
      <c r="H16" s="5" t="s">
        <v>2381</v>
      </c>
      <c r="I16" s="5" t="s">
        <v>2382</v>
      </c>
      <c r="J16" s="5"/>
      <c r="K16" s="7" t="s">
        <v>7</v>
      </c>
      <c r="L16" s="7"/>
      <c r="M16" s="5"/>
      <c r="N16" s="5"/>
    </row>
    <row r="17" spans="1:14" customHeight="1" ht="40">
      <c r="A17" s="9" t="s">
        <v>2369</v>
      </c>
      <c r="B17" s="5" t="s">
        <v>2347</v>
      </c>
      <c r="C17" s="5" t="s">
        <v>2370</v>
      </c>
      <c r="D17" s="7" t="s">
        <v>309</v>
      </c>
      <c r="E17" s="5"/>
      <c r="F17" s="5"/>
      <c r="G17" s="7">
        <v>6</v>
      </c>
      <c r="H17" s="5" t="s">
        <v>2383</v>
      </c>
      <c r="I17" s="5" t="s">
        <v>2384</v>
      </c>
      <c r="J17" s="5"/>
      <c r="K17" s="7" t="s">
        <v>7</v>
      </c>
      <c r="L17" s="7"/>
      <c r="M17" s="5"/>
      <c r="N17" s="5"/>
    </row>
    <row r="18" spans="1:14" customHeight="1" ht="30">
      <c r="A18" s="8" t="s">
        <v>2385</v>
      </c>
      <c r="B18" s="4" t="s">
        <v>2347</v>
      </c>
      <c r="C18" s="4" t="s">
        <v>2386</v>
      </c>
      <c r="D18" s="6" t="s">
        <v>322</v>
      </c>
      <c r="E18" s="4" t="s">
        <v>2387</v>
      </c>
      <c r="F18" s="4" t="s">
        <v>915</v>
      </c>
      <c r="G18" s="6">
        <v>1</v>
      </c>
      <c r="H18" s="4" t="s">
        <v>918</v>
      </c>
      <c r="I18" s="4" t="s">
        <v>2388</v>
      </c>
      <c r="J18" s="4"/>
      <c r="K18" s="6" t="s">
        <v>7</v>
      </c>
      <c r="L18" s="6"/>
      <c r="M18" s="4"/>
      <c r="N18" s="4"/>
    </row>
    <row r="19" spans="1:14" customHeight="1" ht="30">
      <c r="A19" s="8" t="s">
        <v>2385</v>
      </c>
      <c r="B19" s="4" t="s">
        <v>2347</v>
      </c>
      <c r="C19" s="4" t="s">
        <v>2386</v>
      </c>
      <c r="D19" s="6" t="s">
        <v>322</v>
      </c>
      <c r="E19" s="4"/>
      <c r="F19" s="4"/>
      <c r="G19" s="6">
        <v>2</v>
      </c>
      <c r="H19" s="4" t="s">
        <v>2389</v>
      </c>
      <c r="I19" s="4" t="s">
        <v>2390</v>
      </c>
      <c r="J19" s="4"/>
      <c r="K19" s="6" t="s">
        <v>7</v>
      </c>
      <c r="L19" s="6"/>
      <c r="M19" s="4"/>
      <c r="N19" s="4"/>
    </row>
    <row r="20" spans="1:14" customHeight="1" ht="30">
      <c r="A20" s="8" t="s">
        <v>2385</v>
      </c>
      <c r="B20" s="4" t="s">
        <v>2347</v>
      </c>
      <c r="C20" s="4" t="s">
        <v>2386</v>
      </c>
      <c r="D20" s="6" t="s">
        <v>322</v>
      </c>
      <c r="E20" s="4"/>
      <c r="F20" s="4"/>
      <c r="G20" s="6">
        <v>3</v>
      </c>
      <c r="H20" s="4" t="s">
        <v>2391</v>
      </c>
      <c r="I20" s="4" t="s">
        <v>2392</v>
      </c>
      <c r="J20" s="4"/>
      <c r="K20" s="6" t="s">
        <v>7</v>
      </c>
      <c r="L20" s="6"/>
      <c r="M20" s="4"/>
      <c r="N20" s="4"/>
    </row>
    <row r="21" spans="1:14" customHeight="1" ht="30">
      <c r="A21" s="8" t="s">
        <v>2385</v>
      </c>
      <c r="B21" s="4" t="s">
        <v>2347</v>
      </c>
      <c r="C21" s="4" t="s">
        <v>2386</v>
      </c>
      <c r="D21" s="6" t="s">
        <v>322</v>
      </c>
      <c r="E21" s="4"/>
      <c r="F21" s="4"/>
      <c r="G21" s="6">
        <v>4</v>
      </c>
      <c r="H21" s="4" t="s">
        <v>2393</v>
      </c>
      <c r="I21" s="4" t="s">
        <v>2394</v>
      </c>
      <c r="J21" s="4"/>
      <c r="K21" s="6" t="s">
        <v>7</v>
      </c>
      <c r="L21" s="6"/>
      <c r="M21" s="4"/>
      <c r="N21" s="4"/>
    </row>
    <row r="22" spans="1:14" customHeight="1" ht="30">
      <c r="A22" s="8" t="s">
        <v>2385</v>
      </c>
      <c r="B22" s="4" t="s">
        <v>2347</v>
      </c>
      <c r="C22" s="4" t="s">
        <v>2386</v>
      </c>
      <c r="D22" s="6" t="s">
        <v>322</v>
      </c>
      <c r="E22" s="4"/>
      <c r="F22" s="4"/>
      <c r="G22" s="6">
        <v>5</v>
      </c>
      <c r="H22" s="4" t="s">
        <v>2395</v>
      </c>
      <c r="I22" s="4" t="s">
        <v>2396</v>
      </c>
      <c r="J22" s="4"/>
      <c r="K22" s="6" t="s">
        <v>7</v>
      </c>
      <c r="L22" s="6"/>
      <c r="M22" s="4"/>
      <c r="N22" s="4"/>
    </row>
    <row r="23" spans="1:14" customHeight="1" ht="30">
      <c r="A23" s="8" t="s">
        <v>2385</v>
      </c>
      <c r="B23" s="4" t="s">
        <v>2347</v>
      </c>
      <c r="C23" s="4" t="s">
        <v>2386</v>
      </c>
      <c r="D23" s="6" t="s">
        <v>322</v>
      </c>
      <c r="E23" s="4"/>
      <c r="F23" s="4"/>
      <c r="G23" s="6">
        <v>6</v>
      </c>
      <c r="H23" s="4" t="s">
        <v>2397</v>
      </c>
      <c r="I23" s="4" t="s">
        <v>2398</v>
      </c>
      <c r="J23" s="4"/>
      <c r="K23" s="6" t="s">
        <v>7</v>
      </c>
      <c r="L23" s="6"/>
      <c r="M23" s="4"/>
      <c r="N23" s="4"/>
    </row>
    <row r="24" spans="1:14" customHeight="1" ht="30">
      <c r="A24" s="8" t="s">
        <v>2385</v>
      </c>
      <c r="B24" s="4" t="s">
        <v>2347</v>
      </c>
      <c r="C24" s="4" t="s">
        <v>2386</v>
      </c>
      <c r="D24" s="6" t="s">
        <v>322</v>
      </c>
      <c r="E24" s="4"/>
      <c r="F24" s="4"/>
      <c r="G24" s="6">
        <v>7</v>
      </c>
      <c r="H24" s="4" t="s">
        <v>2399</v>
      </c>
      <c r="I24" s="4" t="s">
        <v>2400</v>
      </c>
      <c r="J24" s="4"/>
      <c r="K24" s="6" t="s">
        <v>7</v>
      </c>
      <c r="L24" s="6"/>
      <c r="M24" s="4"/>
      <c r="N24" s="4"/>
    </row>
    <row r="25" spans="1:14" customHeight="1" ht="30">
      <c r="A25" s="8" t="s">
        <v>2385</v>
      </c>
      <c r="B25" s="4" t="s">
        <v>2347</v>
      </c>
      <c r="C25" s="4" t="s">
        <v>2386</v>
      </c>
      <c r="D25" s="6" t="s">
        <v>322</v>
      </c>
      <c r="E25" s="4"/>
      <c r="F25" s="4"/>
      <c r="G25" s="6">
        <v>8</v>
      </c>
      <c r="H25" s="4" t="s">
        <v>2401</v>
      </c>
      <c r="I25" s="4" t="s">
        <v>2400</v>
      </c>
      <c r="J25" s="4"/>
      <c r="K25" s="6" t="s">
        <v>7</v>
      </c>
      <c r="L25" s="6"/>
      <c r="M25" s="4"/>
      <c r="N25" s="4"/>
    </row>
    <row r="26" spans="1:14" customHeight="1" ht="40">
      <c r="A26" s="8" t="s">
        <v>2385</v>
      </c>
      <c r="B26" s="4" t="s">
        <v>2347</v>
      </c>
      <c r="C26" s="4" t="s">
        <v>2386</v>
      </c>
      <c r="D26" s="6" t="s">
        <v>322</v>
      </c>
      <c r="E26" s="4"/>
      <c r="F26" s="4"/>
      <c r="G26" s="6">
        <v>9</v>
      </c>
      <c r="H26" s="4" t="s">
        <v>2402</v>
      </c>
      <c r="I26" s="4" t="s">
        <v>2403</v>
      </c>
      <c r="J26" s="4"/>
      <c r="K26" s="6" t="s">
        <v>7</v>
      </c>
      <c r="L26" s="6"/>
      <c r="M26" s="4"/>
      <c r="N26" s="4"/>
    </row>
    <row r="27" spans="1:14" customHeight="1" ht="30">
      <c r="A27" s="9" t="s">
        <v>2404</v>
      </c>
      <c r="B27" s="5" t="s">
        <v>2347</v>
      </c>
      <c r="C27" s="5" t="s">
        <v>2405</v>
      </c>
      <c r="D27" s="7" t="s">
        <v>309</v>
      </c>
      <c r="E27" s="5" t="s">
        <v>2406</v>
      </c>
      <c r="F27" s="5" t="s">
        <v>2407</v>
      </c>
      <c r="G27" s="7">
        <v>1</v>
      </c>
      <c r="H27" s="5" t="s">
        <v>2373</v>
      </c>
      <c r="I27" s="5" t="s">
        <v>2408</v>
      </c>
      <c r="J27" s="5"/>
      <c r="K27" s="7" t="s">
        <v>7</v>
      </c>
      <c r="L27" s="7"/>
      <c r="M27" s="5"/>
      <c r="N27" s="5"/>
    </row>
    <row r="28" spans="1:14" customHeight="1" ht="40">
      <c r="A28" s="9" t="s">
        <v>2404</v>
      </c>
      <c r="B28" s="5" t="s">
        <v>2347</v>
      </c>
      <c r="C28" s="5" t="s">
        <v>2405</v>
      </c>
      <c r="D28" s="7" t="s">
        <v>309</v>
      </c>
      <c r="E28" s="5"/>
      <c r="F28" s="5"/>
      <c r="G28" s="7">
        <v>2</v>
      </c>
      <c r="H28" s="5" t="s">
        <v>2409</v>
      </c>
      <c r="I28" s="5" t="s">
        <v>350</v>
      </c>
      <c r="J28" s="5"/>
      <c r="K28" s="7" t="s">
        <v>7</v>
      </c>
      <c r="L28" s="7"/>
      <c r="M28" s="5"/>
      <c r="N28" s="5"/>
    </row>
    <row r="29" spans="1:14" customHeight="1" ht="30">
      <c r="A29" s="9" t="s">
        <v>2404</v>
      </c>
      <c r="B29" s="5" t="s">
        <v>2347</v>
      </c>
      <c r="C29" s="5" t="s">
        <v>2405</v>
      </c>
      <c r="D29" s="7" t="s">
        <v>309</v>
      </c>
      <c r="E29" s="5"/>
      <c r="F29" s="5"/>
      <c r="G29" s="7">
        <v>3</v>
      </c>
      <c r="H29" s="5" t="s">
        <v>646</v>
      </c>
      <c r="I29" s="5" t="s">
        <v>2410</v>
      </c>
      <c r="J29" s="5"/>
      <c r="K29" s="7" t="s">
        <v>7</v>
      </c>
      <c r="L29" s="7"/>
      <c r="M29" s="5"/>
      <c r="N29" s="5"/>
    </row>
    <row r="30" spans="1:14" customHeight="1" ht="40">
      <c r="A30" s="9" t="s">
        <v>2404</v>
      </c>
      <c r="B30" s="5" t="s">
        <v>2347</v>
      </c>
      <c r="C30" s="5" t="s">
        <v>2405</v>
      </c>
      <c r="D30" s="7" t="s">
        <v>309</v>
      </c>
      <c r="E30" s="5"/>
      <c r="F30" s="5"/>
      <c r="G30" s="7">
        <v>4</v>
      </c>
      <c r="H30" s="5" t="s">
        <v>2411</v>
      </c>
      <c r="I30" s="5" t="s">
        <v>2412</v>
      </c>
      <c r="J30" s="5"/>
      <c r="K30" s="7" t="s">
        <v>7</v>
      </c>
      <c r="L30" s="7"/>
      <c r="M30" s="5"/>
      <c r="N30" s="5"/>
    </row>
    <row r="31" spans="1:14" customHeight="1" ht="30">
      <c r="A31" s="9" t="s">
        <v>2404</v>
      </c>
      <c r="B31" s="5" t="s">
        <v>2347</v>
      </c>
      <c r="C31" s="5" t="s">
        <v>2405</v>
      </c>
      <c r="D31" s="7" t="s">
        <v>309</v>
      </c>
      <c r="E31" s="5"/>
      <c r="F31" s="5"/>
      <c r="G31" s="7">
        <v>5</v>
      </c>
      <c r="H31" s="5" t="s">
        <v>2413</v>
      </c>
      <c r="I31" s="5" t="s">
        <v>2414</v>
      </c>
      <c r="J31" s="5"/>
      <c r="K31" s="7" t="s">
        <v>7</v>
      </c>
      <c r="L31" s="7"/>
      <c r="M31" s="5"/>
      <c r="N31" s="5"/>
    </row>
    <row r="32" spans="1:14" customHeight="1" ht="40">
      <c r="A32" s="9" t="s">
        <v>2404</v>
      </c>
      <c r="B32" s="5" t="s">
        <v>2347</v>
      </c>
      <c r="C32" s="5" t="s">
        <v>2405</v>
      </c>
      <c r="D32" s="7" t="s">
        <v>309</v>
      </c>
      <c r="E32" s="5"/>
      <c r="F32" s="5"/>
      <c r="G32" s="7">
        <v>6</v>
      </c>
      <c r="H32" s="5" t="s">
        <v>2415</v>
      </c>
      <c r="I32" s="5" t="s">
        <v>2416</v>
      </c>
      <c r="J32" s="5"/>
      <c r="K32" s="7" t="s">
        <v>7</v>
      </c>
      <c r="L32" s="7"/>
      <c r="M32" s="5"/>
      <c r="N32" s="5"/>
    </row>
    <row r="33" spans="1:14" customHeight="1" ht="40">
      <c r="A33" s="8" t="s">
        <v>2417</v>
      </c>
      <c r="B33" s="4" t="s">
        <v>2347</v>
      </c>
      <c r="C33" s="4" t="s">
        <v>2418</v>
      </c>
      <c r="D33" s="6" t="s">
        <v>322</v>
      </c>
      <c r="E33" s="4" t="s">
        <v>2419</v>
      </c>
      <c r="F33" s="4" t="s">
        <v>2420</v>
      </c>
      <c r="G33" s="6">
        <v>1</v>
      </c>
      <c r="H33" s="4" t="s">
        <v>2421</v>
      </c>
      <c r="I33" s="4" t="s">
        <v>2422</v>
      </c>
      <c r="J33" s="4"/>
      <c r="K33" s="6" t="s">
        <v>7</v>
      </c>
      <c r="L33" s="6"/>
      <c r="M33" s="4"/>
      <c r="N33" s="4"/>
    </row>
    <row r="34" spans="1:14" customHeight="1" ht="30">
      <c r="A34" s="8" t="s">
        <v>2417</v>
      </c>
      <c r="B34" s="4" t="s">
        <v>2347</v>
      </c>
      <c r="C34" s="4" t="s">
        <v>2418</v>
      </c>
      <c r="D34" s="6" t="s">
        <v>322</v>
      </c>
      <c r="E34" s="4"/>
      <c r="F34" s="4"/>
      <c r="G34" s="6">
        <v>2</v>
      </c>
      <c r="H34" s="4" t="s">
        <v>2423</v>
      </c>
      <c r="I34" s="4" t="s">
        <v>2424</v>
      </c>
      <c r="J34" s="4"/>
      <c r="K34" s="6" t="s">
        <v>7</v>
      </c>
      <c r="L34" s="6"/>
      <c r="M34" s="4"/>
      <c r="N34" s="4"/>
    </row>
    <row r="35" spans="1:14" customHeight="1" ht="30">
      <c r="A35" s="8" t="s">
        <v>2417</v>
      </c>
      <c r="B35" s="4" t="s">
        <v>2347</v>
      </c>
      <c r="C35" s="4" t="s">
        <v>2418</v>
      </c>
      <c r="D35" s="6" t="s">
        <v>322</v>
      </c>
      <c r="E35" s="4"/>
      <c r="F35" s="4"/>
      <c r="G35" s="6">
        <v>3</v>
      </c>
      <c r="H35" s="4" t="s">
        <v>2425</v>
      </c>
      <c r="I35" s="4" t="s">
        <v>350</v>
      </c>
      <c r="J35" s="4"/>
      <c r="K35" s="6" t="s">
        <v>7</v>
      </c>
      <c r="L35" s="6"/>
      <c r="M35" s="4"/>
      <c r="N35" s="4"/>
    </row>
    <row r="36" spans="1:14" customHeight="1" ht="30">
      <c r="A36" s="8" t="s">
        <v>2417</v>
      </c>
      <c r="B36" s="4" t="s">
        <v>2347</v>
      </c>
      <c r="C36" s="4" t="s">
        <v>2418</v>
      </c>
      <c r="D36" s="6" t="s">
        <v>322</v>
      </c>
      <c r="E36" s="4"/>
      <c r="F36" s="4"/>
      <c r="G36" s="6">
        <v>4</v>
      </c>
      <c r="H36" s="4" t="s">
        <v>2426</v>
      </c>
      <c r="I36" s="4" t="s">
        <v>2172</v>
      </c>
      <c r="J36" s="4"/>
      <c r="K36" s="6" t="s">
        <v>7</v>
      </c>
      <c r="L36" s="6"/>
      <c r="M36" s="4"/>
      <c r="N36" s="4"/>
    </row>
    <row r="37" spans="1:14" customHeight="1" ht="30">
      <c r="A37" s="8" t="s">
        <v>2417</v>
      </c>
      <c r="B37" s="4" t="s">
        <v>2347</v>
      </c>
      <c r="C37" s="4" t="s">
        <v>2418</v>
      </c>
      <c r="D37" s="6" t="s">
        <v>322</v>
      </c>
      <c r="E37" s="4"/>
      <c r="F37" s="4"/>
      <c r="G37" s="6">
        <v>5</v>
      </c>
      <c r="H37" s="4" t="s">
        <v>2427</v>
      </c>
      <c r="I37" s="4" t="s">
        <v>2172</v>
      </c>
      <c r="J37" s="4"/>
      <c r="K37" s="6" t="s">
        <v>7</v>
      </c>
      <c r="L37" s="6"/>
      <c r="M37" s="4"/>
      <c r="N37" s="4"/>
    </row>
    <row r="38" spans="1:14" customHeight="1" ht="40">
      <c r="A38" s="8" t="s">
        <v>2417</v>
      </c>
      <c r="B38" s="4" t="s">
        <v>2347</v>
      </c>
      <c r="C38" s="4" t="s">
        <v>2418</v>
      </c>
      <c r="D38" s="6" t="s">
        <v>322</v>
      </c>
      <c r="E38" s="4"/>
      <c r="F38" s="4"/>
      <c r="G38" s="6">
        <v>6</v>
      </c>
      <c r="H38" s="4" t="s">
        <v>2428</v>
      </c>
      <c r="I38" s="4" t="s">
        <v>2429</v>
      </c>
      <c r="J38" s="4"/>
      <c r="K38" s="6" t="s">
        <v>7</v>
      </c>
      <c r="L38" s="6"/>
      <c r="M38" s="4"/>
      <c r="N38" s="4"/>
    </row>
    <row r="39" spans="1:14" customHeight="1" ht="40">
      <c r="A39" s="9" t="s">
        <v>2430</v>
      </c>
      <c r="B39" s="5" t="s">
        <v>2347</v>
      </c>
      <c r="C39" s="5" t="s">
        <v>2431</v>
      </c>
      <c r="D39" s="7" t="s">
        <v>309</v>
      </c>
      <c r="E39" s="5" t="s">
        <v>2432</v>
      </c>
      <c r="F39" s="5" t="s">
        <v>1278</v>
      </c>
      <c r="G39" s="7">
        <v>1</v>
      </c>
      <c r="H39" s="5" t="s">
        <v>1279</v>
      </c>
      <c r="I39" s="5" t="s">
        <v>2433</v>
      </c>
      <c r="J39" s="5"/>
      <c r="K39" s="7" t="s">
        <v>7</v>
      </c>
      <c r="L39" s="7"/>
      <c r="M39" s="5"/>
      <c r="N39" s="5"/>
    </row>
    <row r="40" spans="1:14" customHeight="1" ht="30">
      <c r="A40" s="9" t="s">
        <v>2430</v>
      </c>
      <c r="B40" s="5" t="s">
        <v>2347</v>
      </c>
      <c r="C40" s="5" t="s">
        <v>2431</v>
      </c>
      <c r="D40" s="7" t="s">
        <v>309</v>
      </c>
      <c r="E40" s="5"/>
      <c r="F40" s="5"/>
      <c r="G40" s="7">
        <v>2</v>
      </c>
      <c r="H40" s="5" t="s">
        <v>2434</v>
      </c>
      <c r="I40" s="5" t="s">
        <v>2435</v>
      </c>
      <c r="J40" s="5"/>
      <c r="K40" s="7" t="s">
        <v>7</v>
      </c>
      <c r="L40" s="7"/>
      <c r="M40" s="5"/>
      <c r="N40" s="5"/>
    </row>
    <row r="41" spans="1:14" customHeight="1" ht="30">
      <c r="A41" s="9" t="s">
        <v>2430</v>
      </c>
      <c r="B41" s="5" t="s">
        <v>2347</v>
      </c>
      <c r="C41" s="5" t="s">
        <v>2431</v>
      </c>
      <c r="D41" s="7" t="s">
        <v>309</v>
      </c>
      <c r="E41" s="5"/>
      <c r="F41" s="5"/>
      <c r="G41" s="7">
        <v>3</v>
      </c>
      <c r="H41" s="5" t="s">
        <v>2436</v>
      </c>
      <c r="I41" s="5" t="s">
        <v>2437</v>
      </c>
      <c r="J41" s="5"/>
      <c r="K41" s="7" t="s">
        <v>7</v>
      </c>
      <c r="L41" s="7"/>
      <c r="M41" s="5"/>
      <c r="N41" s="5"/>
    </row>
    <row r="42" spans="1:14" customHeight="1" ht="30">
      <c r="A42" s="9" t="s">
        <v>2430</v>
      </c>
      <c r="B42" s="5" t="s">
        <v>2347</v>
      </c>
      <c r="C42" s="5" t="s">
        <v>2431</v>
      </c>
      <c r="D42" s="7" t="s">
        <v>309</v>
      </c>
      <c r="E42" s="5"/>
      <c r="F42" s="5"/>
      <c r="G42" s="7">
        <v>4</v>
      </c>
      <c r="H42" s="5" t="s">
        <v>2438</v>
      </c>
      <c r="I42" s="5" t="s">
        <v>2439</v>
      </c>
      <c r="J42" s="5"/>
      <c r="K42" s="7" t="s">
        <v>7</v>
      </c>
      <c r="L42" s="7"/>
      <c r="M42" s="5"/>
      <c r="N42" s="5"/>
    </row>
    <row r="43" spans="1:14" customHeight="1" ht="40">
      <c r="A43" s="9" t="s">
        <v>2430</v>
      </c>
      <c r="B43" s="5" t="s">
        <v>2347</v>
      </c>
      <c r="C43" s="5" t="s">
        <v>2431</v>
      </c>
      <c r="D43" s="7" t="s">
        <v>309</v>
      </c>
      <c r="E43" s="5"/>
      <c r="F43" s="5"/>
      <c r="G43" s="7">
        <v>5</v>
      </c>
      <c r="H43" s="5" t="s">
        <v>2440</v>
      </c>
      <c r="I43" s="5" t="s">
        <v>2441</v>
      </c>
      <c r="J43" s="5"/>
      <c r="K43" s="7" t="s">
        <v>7</v>
      </c>
      <c r="L43" s="7"/>
      <c r="M43" s="5"/>
      <c r="N43" s="5"/>
    </row>
    <row r="44" spans="1:14" customHeight="1" ht="30">
      <c r="A44" s="9" t="s">
        <v>2430</v>
      </c>
      <c r="B44" s="5" t="s">
        <v>2347</v>
      </c>
      <c r="C44" s="5" t="s">
        <v>2431</v>
      </c>
      <c r="D44" s="7" t="s">
        <v>309</v>
      </c>
      <c r="E44" s="5"/>
      <c r="F44" s="5"/>
      <c r="G44" s="7">
        <v>6</v>
      </c>
      <c r="H44" s="5" t="s">
        <v>2442</v>
      </c>
      <c r="I44" s="5" t="s">
        <v>2443</v>
      </c>
      <c r="J44" s="5"/>
      <c r="K44" s="7" t="s">
        <v>7</v>
      </c>
      <c r="L44" s="7"/>
      <c r="M44" s="5"/>
      <c r="N44" s="5"/>
    </row>
    <row r="45" spans="1:14" customHeight="1" ht="30">
      <c r="A45" s="9" t="s">
        <v>2430</v>
      </c>
      <c r="B45" s="5" t="s">
        <v>2347</v>
      </c>
      <c r="C45" s="5" t="s">
        <v>2431</v>
      </c>
      <c r="D45" s="7" t="s">
        <v>309</v>
      </c>
      <c r="E45" s="5"/>
      <c r="F45" s="5"/>
      <c r="G45" s="7">
        <v>7</v>
      </c>
      <c r="H45" s="5" t="s">
        <v>2444</v>
      </c>
      <c r="I45" s="5" t="s">
        <v>2445</v>
      </c>
      <c r="J45" s="5"/>
      <c r="K45" s="7" t="s">
        <v>7</v>
      </c>
      <c r="L45" s="7"/>
      <c r="M45" s="5"/>
      <c r="N45" s="5"/>
    </row>
    <row r="46" spans="1:14" customHeight="1" ht="30">
      <c r="A46" s="8" t="s">
        <v>2446</v>
      </c>
      <c r="B46" s="4" t="s">
        <v>2347</v>
      </c>
      <c r="C46" s="4" t="s">
        <v>2447</v>
      </c>
      <c r="D46" s="6" t="s">
        <v>514</v>
      </c>
      <c r="E46" s="4" t="s">
        <v>2448</v>
      </c>
      <c r="F46" s="4" t="s">
        <v>2449</v>
      </c>
      <c r="G46" s="6">
        <v>1</v>
      </c>
      <c r="H46" s="4" t="s">
        <v>2450</v>
      </c>
      <c r="I46" s="4" t="s">
        <v>2451</v>
      </c>
      <c r="J46" s="4"/>
      <c r="K46" s="6" t="s">
        <v>7</v>
      </c>
      <c r="L46" s="6"/>
      <c r="M46" s="4"/>
      <c r="N46" s="4"/>
    </row>
    <row r="47" spans="1:14" customHeight="1" ht="30">
      <c r="A47" s="8" t="s">
        <v>2446</v>
      </c>
      <c r="B47" s="4" t="s">
        <v>2347</v>
      </c>
      <c r="C47" s="4" t="s">
        <v>2447</v>
      </c>
      <c r="D47" s="6" t="s">
        <v>514</v>
      </c>
      <c r="E47" s="4"/>
      <c r="F47" s="4"/>
      <c r="G47" s="6">
        <v>2</v>
      </c>
      <c r="H47" s="4" t="s">
        <v>2452</v>
      </c>
      <c r="I47" s="4" t="s">
        <v>2453</v>
      </c>
      <c r="J47" s="4"/>
      <c r="K47" s="6" t="s">
        <v>7</v>
      </c>
      <c r="L47" s="6"/>
      <c r="M47" s="4"/>
      <c r="N47" s="4"/>
    </row>
    <row r="48" spans="1:14" customHeight="1" ht="53">
      <c r="A48" s="8" t="s">
        <v>2446</v>
      </c>
      <c r="B48" s="4" t="s">
        <v>2347</v>
      </c>
      <c r="C48" s="4" t="s">
        <v>2447</v>
      </c>
      <c r="D48" s="6" t="s">
        <v>514</v>
      </c>
      <c r="E48" s="4"/>
      <c r="F48" s="4"/>
      <c r="G48" s="6">
        <v>3</v>
      </c>
      <c r="H48" s="4" t="s">
        <v>2454</v>
      </c>
      <c r="I48" s="4" t="s">
        <v>2455</v>
      </c>
      <c r="J48" s="4"/>
      <c r="K48" s="6" t="s">
        <v>7</v>
      </c>
      <c r="L48" s="6"/>
      <c r="M48" s="4"/>
      <c r="N48" s="4"/>
    </row>
    <row r="49" spans="1:14" customHeight="1" ht="30">
      <c r="A49" s="8" t="s">
        <v>2446</v>
      </c>
      <c r="B49" s="4" t="s">
        <v>2347</v>
      </c>
      <c r="C49" s="4" t="s">
        <v>2447</v>
      </c>
      <c r="D49" s="6" t="s">
        <v>514</v>
      </c>
      <c r="E49" s="4"/>
      <c r="F49" s="4"/>
      <c r="G49" s="6">
        <v>4</v>
      </c>
      <c r="H49" s="4" t="s">
        <v>2456</v>
      </c>
      <c r="I49" s="4" t="s">
        <v>2457</v>
      </c>
      <c r="J49" s="4"/>
      <c r="K49" s="6" t="s">
        <v>7</v>
      </c>
      <c r="L49" s="6"/>
      <c r="M49" s="4"/>
      <c r="N49" s="4"/>
    </row>
    <row r="50" spans="1:14" customHeight="1" ht="40">
      <c r="A50" s="9" t="s">
        <v>2458</v>
      </c>
      <c r="B50" s="5" t="s">
        <v>2347</v>
      </c>
      <c r="C50" s="5" t="s">
        <v>2459</v>
      </c>
      <c r="D50" s="7" t="s">
        <v>322</v>
      </c>
      <c r="E50" s="5" t="s">
        <v>2460</v>
      </c>
      <c r="F50" s="5" t="s">
        <v>2461</v>
      </c>
      <c r="G50" s="7">
        <v>1</v>
      </c>
      <c r="H50" s="5" t="s">
        <v>2462</v>
      </c>
      <c r="I50" s="5" t="s">
        <v>2463</v>
      </c>
      <c r="J50" s="5"/>
      <c r="K50" s="7" t="s">
        <v>7</v>
      </c>
      <c r="L50" s="7"/>
      <c r="M50" s="5"/>
      <c r="N50" s="5"/>
    </row>
    <row r="51" spans="1:14" customHeight="1" ht="30">
      <c r="A51" s="9" t="s">
        <v>2458</v>
      </c>
      <c r="B51" s="5" t="s">
        <v>2347</v>
      </c>
      <c r="C51" s="5" t="s">
        <v>2459</v>
      </c>
      <c r="D51" s="7" t="s">
        <v>322</v>
      </c>
      <c r="E51" s="5"/>
      <c r="F51" s="5"/>
      <c r="G51" s="7">
        <v>2</v>
      </c>
      <c r="H51" s="5" t="s">
        <v>2464</v>
      </c>
      <c r="I51" s="5" t="s">
        <v>2465</v>
      </c>
      <c r="J51" s="5"/>
      <c r="K51" s="7" t="s">
        <v>7</v>
      </c>
      <c r="L51" s="7"/>
      <c r="M51" s="5"/>
      <c r="N51" s="5"/>
    </row>
    <row r="52" spans="1:14" customHeight="1" ht="30">
      <c r="A52" s="9" t="s">
        <v>2458</v>
      </c>
      <c r="B52" s="5" t="s">
        <v>2347</v>
      </c>
      <c r="C52" s="5" t="s">
        <v>2459</v>
      </c>
      <c r="D52" s="7" t="s">
        <v>322</v>
      </c>
      <c r="E52" s="5"/>
      <c r="F52" s="5"/>
      <c r="G52" s="7">
        <v>3</v>
      </c>
      <c r="H52" s="5" t="s">
        <v>2466</v>
      </c>
      <c r="I52" s="5" t="s">
        <v>2467</v>
      </c>
      <c r="J52" s="5"/>
      <c r="K52" s="7" t="s">
        <v>7</v>
      </c>
      <c r="L52" s="7"/>
      <c r="M52" s="5"/>
      <c r="N52" s="5"/>
    </row>
    <row r="53" spans="1:14" customHeight="1" ht="30">
      <c r="A53" s="9" t="s">
        <v>2458</v>
      </c>
      <c r="B53" s="5" t="s">
        <v>2347</v>
      </c>
      <c r="C53" s="5" t="s">
        <v>2459</v>
      </c>
      <c r="D53" s="7" t="s">
        <v>322</v>
      </c>
      <c r="E53" s="5"/>
      <c r="F53" s="5"/>
      <c r="G53" s="7">
        <v>4</v>
      </c>
      <c r="H53" s="5" t="s">
        <v>2468</v>
      </c>
      <c r="I53" s="5" t="s">
        <v>2172</v>
      </c>
      <c r="J53" s="5"/>
      <c r="K53" s="7" t="s">
        <v>7</v>
      </c>
      <c r="L53" s="7"/>
      <c r="M53" s="5"/>
      <c r="N53" s="5"/>
    </row>
    <row r="54" spans="1:14" customHeight="1" ht="30">
      <c r="A54" s="9" t="s">
        <v>2458</v>
      </c>
      <c r="B54" s="5" t="s">
        <v>2347</v>
      </c>
      <c r="C54" s="5" t="s">
        <v>2459</v>
      </c>
      <c r="D54" s="7" t="s">
        <v>322</v>
      </c>
      <c r="E54" s="5"/>
      <c r="F54" s="5"/>
      <c r="G54" s="7">
        <v>5</v>
      </c>
      <c r="H54" s="5" t="s">
        <v>2469</v>
      </c>
      <c r="I54" s="5" t="s">
        <v>2172</v>
      </c>
      <c r="J54" s="5"/>
      <c r="K54" s="7" t="s">
        <v>7</v>
      </c>
      <c r="L54" s="7"/>
      <c r="M54" s="5"/>
      <c r="N54" s="5"/>
    </row>
    <row r="55" spans="1:14" customHeight="1" ht="40">
      <c r="A55" s="9" t="s">
        <v>2458</v>
      </c>
      <c r="B55" s="5" t="s">
        <v>2347</v>
      </c>
      <c r="C55" s="5" t="s">
        <v>2459</v>
      </c>
      <c r="D55" s="7" t="s">
        <v>322</v>
      </c>
      <c r="E55" s="5"/>
      <c r="F55" s="5"/>
      <c r="G55" s="7">
        <v>6</v>
      </c>
      <c r="H55" s="5" t="s">
        <v>2470</v>
      </c>
      <c r="I55" s="5" t="s">
        <v>2471</v>
      </c>
      <c r="J55" s="5"/>
      <c r="K55" s="7" t="s">
        <v>7</v>
      </c>
      <c r="L55" s="7"/>
      <c r="M55" s="5"/>
      <c r="N55" s="5"/>
    </row>
  </sheetData>
  <autoFilter ref="A3:N55"/>
  <mergeCells>
    <mergeCell ref="A1:N1"/>
    <mergeCell ref="A2:N2"/>
  </mergeCells>
  <conditionalFormatting sqref="K4:K55">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55">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55">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55">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55">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55"/>
  <sheetViews>
    <sheetView tabSelected="0" workbookViewId="0" showGridLines="true" showRowColHeaders="1">
      <pane xSplit="2" ySplit="3" topLeftCell="C4" activePane="bottomRight" state="frozen"/>
      <selection pane="topRight"/>
      <selection pane="bottomLeft"/>
      <selection pane="bottomRight" activeCell="L4" sqref="L4:L55"/>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2472</v>
      </c>
    </row>
    <row r="2" spans="1:14" customHeight="1" ht="30">
      <c r="A2" s="2" t="s">
        <v>2473</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2474</v>
      </c>
      <c r="B4" s="4" t="s">
        <v>2472</v>
      </c>
      <c r="C4" s="4" t="s">
        <v>2475</v>
      </c>
      <c r="D4" s="6" t="s">
        <v>322</v>
      </c>
      <c r="E4" s="4" t="s">
        <v>2476</v>
      </c>
      <c r="F4" s="4" t="s">
        <v>2477</v>
      </c>
      <c r="G4" s="6">
        <v>1</v>
      </c>
      <c r="H4" s="4" t="s">
        <v>2478</v>
      </c>
      <c r="I4" s="4" t="s">
        <v>2479</v>
      </c>
      <c r="J4" s="4"/>
      <c r="K4" s="6" t="s">
        <v>7</v>
      </c>
      <c r="L4" s="6"/>
      <c r="M4" s="4"/>
      <c r="N4" s="4"/>
    </row>
    <row r="5" spans="1:14" customHeight="1" ht="30">
      <c r="A5" s="8" t="s">
        <v>2474</v>
      </c>
      <c r="B5" s="4" t="s">
        <v>2472</v>
      </c>
      <c r="C5" s="4" t="s">
        <v>2475</v>
      </c>
      <c r="D5" s="6" t="s">
        <v>322</v>
      </c>
      <c r="E5" s="4"/>
      <c r="F5" s="4"/>
      <c r="G5" s="6">
        <v>2</v>
      </c>
      <c r="H5" s="4" t="s">
        <v>2480</v>
      </c>
      <c r="I5" s="4" t="s">
        <v>2172</v>
      </c>
      <c r="J5" s="4"/>
      <c r="K5" s="6" t="s">
        <v>7</v>
      </c>
      <c r="L5" s="6"/>
      <c r="M5" s="4"/>
      <c r="N5" s="4"/>
    </row>
    <row r="6" spans="1:14" customHeight="1" ht="30">
      <c r="A6" s="8" t="s">
        <v>2474</v>
      </c>
      <c r="B6" s="4" t="s">
        <v>2472</v>
      </c>
      <c r="C6" s="4" t="s">
        <v>2475</v>
      </c>
      <c r="D6" s="6" t="s">
        <v>322</v>
      </c>
      <c r="E6" s="4"/>
      <c r="F6" s="4"/>
      <c r="G6" s="6">
        <v>3</v>
      </c>
      <c r="H6" s="4" t="s">
        <v>2481</v>
      </c>
      <c r="I6" s="4" t="s">
        <v>2172</v>
      </c>
      <c r="J6" s="4"/>
      <c r="K6" s="6" t="s">
        <v>7</v>
      </c>
      <c r="L6" s="6"/>
      <c r="M6" s="4"/>
      <c r="N6" s="4"/>
    </row>
    <row r="7" spans="1:14" customHeight="1" ht="30">
      <c r="A7" s="8" t="s">
        <v>2474</v>
      </c>
      <c r="B7" s="4" t="s">
        <v>2472</v>
      </c>
      <c r="C7" s="4" t="s">
        <v>2475</v>
      </c>
      <c r="D7" s="6" t="s">
        <v>322</v>
      </c>
      <c r="E7" s="4"/>
      <c r="F7" s="4"/>
      <c r="G7" s="6">
        <v>4</v>
      </c>
      <c r="H7" s="4" t="s">
        <v>2482</v>
      </c>
      <c r="I7" s="4" t="s">
        <v>2172</v>
      </c>
      <c r="J7" s="4"/>
      <c r="K7" s="6" t="s">
        <v>7</v>
      </c>
      <c r="L7" s="6"/>
      <c r="M7" s="4"/>
      <c r="N7" s="4"/>
    </row>
    <row r="8" spans="1:14" customHeight="1" ht="40">
      <c r="A8" s="8" t="s">
        <v>2474</v>
      </c>
      <c r="B8" s="4" t="s">
        <v>2472</v>
      </c>
      <c r="C8" s="4" t="s">
        <v>2475</v>
      </c>
      <c r="D8" s="6" t="s">
        <v>322</v>
      </c>
      <c r="E8" s="4"/>
      <c r="F8" s="4"/>
      <c r="G8" s="6">
        <v>5</v>
      </c>
      <c r="H8" s="4" t="s">
        <v>2483</v>
      </c>
      <c r="I8" s="4" t="s">
        <v>2484</v>
      </c>
      <c r="J8" s="4"/>
      <c r="K8" s="6" t="s">
        <v>7</v>
      </c>
      <c r="L8" s="6"/>
      <c r="M8" s="4"/>
      <c r="N8" s="4"/>
    </row>
    <row r="9" spans="1:14" customHeight="1" ht="40">
      <c r="A9" s="8" t="s">
        <v>2474</v>
      </c>
      <c r="B9" s="4" t="s">
        <v>2472</v>
      </c>
      <c r="C9" s="4" t="s">
        <v>2475</v>
      </c>
      <c r="D9" s="6" t="s">
        <v>322</v>
      </c>
      <c r="E9" s="4"/>
      <c r="F9" s="4"/>
      <c r="G9" s="6">
        <v>6</v>
      </c>
      <c r="H9" s="4" t="s">
        <v>2485</v>
      </c>
      <c r="I9" s="4" t="s">
        <v>2486</v>
      </c>
      <c r="J9" s="4"/>
      <c r="K9" s="6" t="s">
        <v>7</v>
      </c>
      <c r="L9" s="6"/>
      <c r="M9" s="4"/>
      <c r="N9" s="4"/>
    </row>
    <row r="10" spans="1:14" customHeight="1" ht="40">
      <c r="A10" s="8" t="s">
        <v>2474</v>
      </c>
      <c r="B10" s="4" t="s">
        <v>2472</v>
      </c>
      <c r="C10" s="4" t="s">
        <v>2475</v>
      </c>
      <c r="D10" s="6" t="s">
        <v>322</v>
      </c>
      <c r="E10" s="4"/>
      <c r="F10" s="4"/>
      <c r="G10" s="6">
        <v>7</v>
      </c>
      <c r="H10" s="4" t="s">
        <v>2487</v>
      </c>
      <c r="I10" s="4" t="s">
        <v>2486</v>
      </c>
      <c r="J10" s="4"/>
      <c r="K10" s="6" t="s">
        <v>7</v>
      </c>
      <c r="L10" s="6"/>
      <c r="M10" s="4"/>
      <c r="N10" s="4"/>
    </row>
    <row r="11" spans="1:14" customHeight="1" ht="40">
      <c r="A11" s="9" t="s">
        <v>2488</v>
      </c>
      <c r="B11" s="5" t="s">
        <v>2472</v>
      </c>
      <c r="C11" s="5" t="s">
        <v>2489</v>
      </c>
      <c r="D11" s="7" t="s">
        <v>322</v>
      </c>
      <c r="E11" s="5" t="s">
        <v>2490</v>
      </c>
      <c r="F11" s="5" t="s">
        <v>2491</v>
      </c>
      <c r="G11" s="7">
        <v>1</v>
      </c>
      <c r="H11" s="5" t="s">
        <v>2492</v>
      </c>
      <c r="I11" s="5" t="s">
        <v>2493</v>
      </c>
      <c r="J11" s="5"/>
      <c r="K11" s="7" t="s">
        <v>7</v>
      </c>
      <c r="L11" s="7"/>
      <c r="M11" s="5"/>
      <c r="N11" s="5"/>
    </row>
    <row r="12" spans="1:14" customHeight="1" ht="40">
      <c r="A12" s="9" t="s">
        <v>2488</v>
      </c>
      <c r="B12" s="5" t="s">
        <v>2472</v>
      </c>
      <c r="C12" s="5" t="s">
        <v>2489</v>
      </c>
      <c r="D12" s="7" t="s">
        <v>322</v>
      </c>
      <c r="E12" s="5"/>
      <c r="F12" s="5"/>
      <c r="G12" s="7">
        <v>2</v>
      </c>
      <c r="H12" s="5" t="s">
        <v>2494</v>
      </c>
      <c r="I12" s="5" t="s">
        <v>2495</v>
      </c>
      <c r="J12" s="5"/>
      <c r="K12" s="7" t="s">
        <v>7</v>
      </c>
      <c r="L12" s="7"/>
      <c r="M12" s="5"/>
      <c r="N12" s="5"/>
    </row>
    <row r="13" spans="1:14" customHeight="1" ht="30">
      <c r="A13" s="9" t="s">
        <v>2488</v>
      </c>
      <c r="B13" s="5" t="s">
        <v>2472</v>
      </c>
      <c r="C13" s="5" t="s">
        <v>2489</v>
      </c>
      <c r="D13" s="7" t="s">
        <v>322</v>
      </c>
      <c r="E13" s="5"/>
      <c r="F13" s="5"/>
      <c r="G13" s="7">
        <v>3</v>
      </c>
      <c r="H13" s="5" t="s">
        <v>2496</v>
      </c>
      <c r="I13" s="5" t="s">
        <v>2497</v>
      </c>
      <c r="J13" s="5"/>
      <c r="K13" s="7" t="s">
        <v>7</v>
      </c>
      <c r="L13" s="7"/>
      <c r="M13" s="5"/>
      <c r="N13" s="5"/>
    </row>
    <row r="14" spans="1:14" customHeight="1" ht="40">
      <c r="A14" s="9" t="s">
        <v>2488</v>
      </c>
      <c r="B14" s="5" t="s">
        <v>2472</v>
      </c>
      <c r="C14" s="5" t="s">
        <v>2489</v>
      </c>
      <c r="D14" s="7" t="s">
        <v>322</v>
      </c>
      <c r="E14" s="5"/>
      <c r="F14" s="5"/>
      <c r="G14" s="7">
        <v>4</v>
      </c>
      <c r="H14" s="5" t="s">
        <v>2498</v>
      </c>
      <c r="I14" s="5" t="s">
        <v>2499</v>
      </c>
      <c r="J14" s="5"/>
      <c r="K14" s="7" t="s">
        <v>7</v>
      </c>
      <c r="L14" s="7"/>
      <c r="M14" s="5"/>
      <c r="N14" s="5"/>
    </row>
    <row r="15" spans="1:14" customHeight="1" ht="30">
      <c r="A15" s="9" t="s">
        <v>2488</v>
      </c>
      <c r="B15" s="5" t="s">
        <v>2472</v>
      </c>
      <c r="C15" s="5" t="s">
        <v>2489</v>
      </c>
      <c r="D15" s="7" t="s">
        <v>322</v>
      </c>
      <c r="E15" s="5"/>
      <c r="F15" s="5"/>
      <c r="G15" s="7">
        <v>5</v>
      </c>
      <c r="H15" s="5" t="s">
        <v>2500</v>
      </c>
      <c r="I15" s="5" t="s">
        <v>2501</v>
      </c>
      <c r="J15" s="5"/>
      <c r="K15" s="7" t="s">
        <v>7</v>
      </c>
      <c r="L15" s="7"/>
      <c r="M15" s="5"/>
      <c r="N15" s="5"/>
    </row>
    <row r="16" spans="1:14" customHeight="1" ht="30">
      <c r="A16" s="9" t="s">
        <v>2488</v>
      </c>
      <c r="B16" s="5" t="s">
        <v>2472</v>
      </c>
      <c r="C16" s="5" t="s">
        <v>2489</v>
      </c>
      <c r="D16" s="7" t="s">
        <v>322</v>
      </c>
      <c r="E16" s="5"/>
      <c r="F16" s="5"/>
      <c r="G16" s="7">
        <v>6</v>
      </c>
      <c r="H16" s="5" t="s">
        <v>2502</v>
      </c>
      <c r="I16" s="5" t="s">
        <v>1129</v>
      </c>
      <c r="J16" s="5"/>
      <c r="K16" s="7" t="s">
        <v>7</v>
      </c>
      <c r="L16" s="7"/>
      <c r="M16" s="5"/>
      <c r="N16" s="5"/>
    </row>
    <row r="17" spans="1:14" customHeight="1" ht="30">
      <c r="A17" s="8" t="s">
        <v>2503</v>
      </c>
      <c r="B17" s="4" t="s">
        <v>2472</v>
      </c>
      <c r="C17" s="4" t="s">
        <v>2504</v>
      </c>
      <c r="D17" s="6" t="s">
        <v>322</v>
      </c>
      <c r="E17" s="4" t="s">
        <v>2505</v>
      </c>
      <c r="F17" s="4" t="s">
        <v>2506</v>
      </c>
      <c r="G17" s="6">
        <v>1</v>
      </c>
      <c r="H17" s="4" t="s">
        <v>2507</v>
      </c>
      <c r="I17" s="4" t="s">
        <v>2508</v>
      </c>
      <c r="J17" s="4"/>
      <c r="K17" s="6" t="s">
        <v>7</v>
      </c>
      <c r="L17" s="6"/>
      <c r="M17" s="4"/>
      <c r="N17" s="4"/>
    </row>
    <row r="18" spans="1:14" customHeight="1" ht="30">
      <c r="A18" s="8" t="s">
        <v>2503</v>
      </c>
      <c r="B18" s="4" t="s">
        <v>2472</v>
      </c>
      <c r="C18" s="4" t="s">
        <v>2504</v>
      </c>
      <c r="D18" s="6" t="s">
        <v>322</v>
      </c>
      <c r="E18" s="4"/>
      <c r="F18" s="4"/>
      <c r="G18" s="6">
        <v>2</v>
      </c>
      <c r="H18" s="4" t="s">
        <v>2509</v>
      </c>
      <c r="I18" s="4" t="s">
        <v>2510</v>
      </c>
      <c r="J18" s="4"/>
      <c r="K18" s="6" t="s">
        <v>7</v>
      </c>
      <c r="L18" s="6"/>
      <c r="M18" s="4"/>
      <c r="N18" s="4"/>
    </row>
    <row r="19" spans="1:14" customHeight="1" ht="30">
      <c r="A19" s="8" t="s">
        <v>2503</v>
      </c>
      <c r="B19" s="4" t="s">
        <v>2472</v>
      </c>
      <c r="C19" s="4" t="s">
        <v>2504</v>
      </c>
      <c r="D19" s="6" t="s">
        <v>322</v>
      </c>
      <c r="E19" s="4"/>
      <c r="F19" s="4"/>
      <c r="G19" s="6">
        <v>3</v>
      </c>
      <c r="H19" s="4" t="s">
        <v>2511</v>
      </c>
      <c r="I19" s="4" t="s">
        <v>2512</v>
      </c>
      <c r="J19" s="4"/>
      <c r="K19" s="6" t="s">
        <v>7</v>
      </c>
      <c r="L19" s="6"/>
      <c r="M19" s="4"/>
      <c r="N19" s="4"/>
    </row>
    <row r="20" spans="1:14" customHeight="1" ht="30">
      <c r="A20" s="8" t="s">
        <v>2503</v>
      </c>
      <c r="B20" s="4" t="s">
        <v>2472</v>
      </c>
      <c r="C20" s="4" t="s">
        <v>2504</v>
      </c>
      <c r="D20" s="6" t="s">
        <v>322</v>
      </c>
      <c r="E20" s="4"/>
      <c r="F20" s="4"/>
      <c r="G20" s="6">
        <v>4</v>
      </c>
      <c r="H20" s="4" t="s">
        <v>2513</v>
      </c>
      <c r="I20" s="4" t="s">
        <v>2514</v>
      </c>
      <c r="J20" s="4"/>
      <c r="K20" s="6" t="s">
        <v>7</v>
      </c>
      <c r="L20" s="6"/>
      <c r="M20" s="4"/>
      <c r="N20" s="4"/>
    </row>
    <row r="21" spans="1:14" customHeight="1" ht="53">
      <c r="A21" s="8" t="s">
        <v>2503</v>
      </c>
      <c r="B21" s="4" t="s">
        <v>2472</v>
      </c>
      <c r="C21" s="4" t="s">
        <v>2504</v>
      </c>
      <c r="D21" s="6" t="s">
        <v>322</v>
      </c>
      <c r="E21" s="4"/>
      <c r="F21" s="4"/>
      <c r="G21" s="6">
        <v>5</v>
      </c>
      <c r="H21" s="4" t="s">
        <v>2515</v>
      </c>
      <c r="I21" s="4" t="s">
        <v>2516</v>
      </c>
      <c r="J21" s="4"/>
      <c r="K21" s="6" t="s">
        <v>7</v>
      </c>
      <c r="L21" s="6"/>
      <c r="M21" s="4"/>
      <c r="N21" s="4"/>
    </row>
    <row r="22" spans="1:14" customHeight="1" ht="30">
      <c r="A22" s="8" t="s">
        <v>2503</v>
      </c>
      <c r="B22" s="4" t="s">
        <v>2472</v>
      </c>
      <c r="C22" s="4" t="s">
        <v>2504</v>
      </c>
      <c r="D22" s="6" t="s">
        <v>322</v>
      </c>
      <c r="E22" s="4"/>
      <c r="F22" s="4"/>
      <c r="G22" s="6">
        <v>6</v>
      </c>
      <c r="H22" s="4" t="s">
        <v>2517</v>
      </c>
      <c r="I22" s="4" t="s">
        <v>2518</v>
      </c>
      <c r="J22" s="4"/>
      <c r="K22" s="6" t="s">
        <v>7</v>
      </c>
      <c r="L22" s="6"/>
      <c r="M22" s="4"/>
      <c r="N22" s="4"/>
    </row>
    <row r="23" spans="1:14" customHeight="1" ht="40">
      <c r="A23" s="9" t="s">
        <v>2519</v>
      </c>
      <c r="B23" s="5" t="s">
        <v>2472</v>
      </c>
      <c r="C23" s="5" t="s">
        <v>2520</v>
      </c>
      <c r="D23" s="7" t="s">
        <v>322</v>
      </c>
      <c r="E23" s="5" t="s">
        <v>2521</v>
      </c>
      <c r="F23" s="5" t="s">
        <v>2522</v>
      </c>
      <c r="G23" s="7">
        <v>1</v>
      </c>
      <c r="H23" s="5" t="s">
        <v>2523</v>
      </c>
      <c r="I23" s="5" t="s">
        <v>2524</v>
      </c>
      <c r="J23" s="5"/>
      <c r="K23" s="7" t="s">
        <v>7</v>
      </c>
      <c r="L23" s="7"/>
      <c r="M23" s="5"/>
      <c r="N23" s="5"/>
    </row>
    <row r="24" spans="1:14" customHeight="1" ht="40">
      <c r="A24" s="9" t="s">
        <v>2519</v>
      </c>
      <c r="B24" s="5" t="s">
        <v>2472</v>
      </c>
      <c r="C24" s="5" t="s">
        <v>2520</v>
      </c>
      <c r="D24" s="7" t="s">
        <v>322</v>
      </c>
      <c r="E24" s="5"/>
      <c r="F24" s="5"/>
      <c r="G24" s="7">
        <v>2</v>
      </c>
      <c r="H24" s="5" t="s">
        <v>2525</v>
      </c>
      <c r="I24" s="5" t="s">
        <v>2526</v>
      </c>
      <c r="J24" s="5"/>
      <c r="K24" s="7" t="s">
        <v>7</v>
      </c>
      <c r="L24" s="7"/>
      <c r="M24" s="5"/>
      <c r="N24" s="5"/>
    </row>
    <row r="25" spans="1:14" customHeight="1" ht="30">
      <c r="A25" s="9" t="s">
        <v>2519</v>
      </c>
      <c r="B25" s="5" t="s">
        <v>2472</v>
      </c>
      <c r="C25" s="5" t="s">
        <v>2520</v>
      </c>
      <c r="D25" s="7" t="s">
        <v>322</v>
      </c>
      <c r="E25" s="5"/>
      <c r="F25" s="5"/>
      <c r="G25" s="7">
        <v>3</v>
      </c>
      <c r="H25" s="5" t="s">
        <v>2527</v>
      </c>
      <c r="I25" s="5" t="s">
        <v>2528</v>
      </c>
      <c r="J25" s="5"/>
      <c r="K25" s="7" t="s">
        <v>7</v>
      </c>
      <c r="L25" s="7"/>
      <c r="M25" s="5"/>
      <c r="N25" s="5"/>
    </row>
    <row r="26" spans="1:14" customHeight="1" ht="30">
      <c r="A26" s="9" t="s">
        <v>2519</v>
      </c>
      <c r="B26" s="5" t="s">
        <v>2472</v>
      </c>
      <c r="C26" s="5" t="s">
        <v>2520</v>
      </c>
      <c r="D26" s="7" t="s">
        <v>322</v>
      </c>
      <c r="E26" s="5"/>
      <c r="F26" s="5"/>
      <c r="G26" s="7">
        <v>4</v>
      </c>
      <c r="H26" s="5" t="s">
        <v>2529</v>
      </c>
      <c r="I26" s="5" t="s">
        <v>2528</v>
      </c>
      <c r="J26" s="5"/>
      <c r="K26" s="7" t="s">
        <v>7</v>
      </c>
      <c r="L26" s="7"/>
      <c r="M26" s="5"/>
      <c r="N26" s="5"/>
    </row>
    <row r="27" spans="1:14" customHeight="1" ht="30">
      <c r="A27" s="9" t="s">
        <v>2519</v>
      </c>
      <c r="B27" s="5" t="s">
        <v>2472</v>
      </c>
      <c r="C27" s="5" t="s">
        <v>2520</v>
      </c>
      <c r="D27" s="7" t="s">
        <v>322</v>
      </c>
      <c r="E27" s="5"/>
      <c r="F27" s="5"/>
      <c r="G27" s="7">
        <v>5</v>
      </c>
      <c r="H27" s="5" t="s">
        <v>2530</v>
      </c>
      <c r="I27" s="5" t="s">
        <v>2531</v>
      </c>
      <c r="J27" s="5"/>
      <c r="K27" s="7" t="s">
        <v>7</v>
      </c>
      <c r="L27" s="7"/>
      <c r="M27" s="5"/>
      <c r="N27" s="5"/>
    </row>
    <row r="28" spans="1:14" customHeight="1" ht="30">
      <c r="A28" s="9" t="s">
        <v>2519</v>
      </c>
      <c r="B28" s="5" t="s">
        <v>2472</v>
      </c>
      <c r="C28" s="5" t="s">
        <v>2520</v>
      </c>
      <c r="D28" s="7" t="s">
        <v>322</v>
      </c>
      <c r="E28" s="5"/>
      <c r="F28" s="5"/>
      <c r="G28" s="7">
        <v>6</v>
      </c>
      <c r="H28" s="5" t="s">
        <v>2532</v>
      </c>
      <c r="I28" s="5" t="s">
        <v>2533</v>
      </c>
      <c r="J28" s="5"/>
      <c r="K28" s="7" t="s">
        <v>7</v>
      </c>
      <c r="L28" s="7"/>
      <c r="M28" s="5"/>
      <c r="N28" s="5"/>
    </row>
    <row r="29" spans="1:14" customHeight="1" ht="30">
      <c r="A29" s="8" t="s">
        <v>2534</v>
      </c>
      <c r="B29" s="4" t="s">
        <v>2472</v>
      </c>
      <c r="C29" s="4" t="s">
        <v>2535</v>
      </c>
      <c r="D29" s="6" t="s">
        <v>322</v>
      </c>
      <c r="E29" s="4" t="s">
        <v>1305</v>
      </c>
      <c r="F29" s="4" t="s">
        <v>2536</v>
      </c>
      <c r="G29" s="6">
        <v>1</v>
      </c>
      <c r="H29" s="4" t="s">
        <v>2537</v>
      </c>
      <c r="I29" s="4" t="s">
        <v>2538</v>
      </c>
      <c r="J29" s="4"/>
      <c r="K29" s="6" t="s">
        <v>7</v>
      </c>
      <c r="L29" s="6"/>
      <c r="M29" s="4"/>
      <c r="N29" s="4"/>
    </row>
    <row r="30" spans="1:14" customHeight="1" ht="30">
      <c r="A30" s="8" t="s">
        <v>2534</v>
      </c>
      <c r="B30" s="4" t="s">
        <v>2472</v>
      </c>
      <c r="C30" s="4" t="s">
        <v>2535</v>
      </c>
      <c r="D30" s="6" t="s">
        <v>322</v>
      </c>
      <c r="E30" s="4"/>
      <c r="F30" s="4"/>
      <c r="G30" s="6">
        <v>2</v>
      </c>
      <c r="H30" s="4" t="s">
        <v>2539</v>
      </c>
      <c r="I30" s="4" t="s">
        <v>2540</v>
      </c>
      <c r="J30" s="4"/>
      <c r="K30" s="6" t="s">
        <v>7</v>
      </c>
      <c r="L30" s="6"/>
      <c r="M30" s="4"/>
      <c r="N30" s="4"/>
    </row>
    <row r="31" spans="1:14" customHeight="1" ht="40">
      <c r="A31" s="8" t="s">
        <v>2534</v>
      </c>
      <c r="B31" s="4" t="s">
        <v>2472</v>
      </c>
      <c r="C31" s="4" t="s">
        <v>2535</v>
      </c>
      <c r="D31" s="6" t="s">
        <v>322</v>
      </c>
      <c r="E31" s="4"/>
      <c r="F31" s="4"/>
      <c r="G31" s="6">
        <v>3</v>
      </c>
      <c r="H31" s="4" t="s">
        <v>2541</v>
      </c>
      <c r="I31" s="4" t="s">
        <v>2542</v>
      </c>
      <c r="J31" s="4"/>
      <c r="K31" s="6" t="s">
        <v>7</v>
      </c>
      <c r="L31" s="6"/>
      <c r="M31" s="4"/>
      <c r="N31" s="4"/>
    </row>
    <row r="32" spans="1:14" customHeight="1" ht="40">
      <c r="A32" s="8" t="s">
        <v>2534</v>
      </c>
      <c r="B32" s="4" t="s">
        <v>2472</v>
      </c>
      <c r="C32" s="4" t="s">
        <v>2535</v>
      </c>
      <c r="D32" s="6" t="s">
        <v>322</v>
      </c>
      <c r="E32" s="4"/>
      <c r="F32" s="4"/>
      <c r="G32" s="6">
        <v>4</v>
      </c>
      <c r="H32" s="4" t="s">
        <v>2543</v>
      </c>
      <c r="I32" s="4" t="s">
        <v>2544</v>
      </c>
      <c r="J32" s="4"/>
      <c r="K32" s="6" t="s">
        <v>7</v>
      </c>
      <c r="L32" s="6"/>
      <c r="M32" s="4"/>
      <c r="N32" s="4"/>
    </row>
    <row r="33" spans="1:14" customHeight="1" ht="30">
      <c r="A33" s="8" t="s">
        <v>2534</v>
      </c>
      <c r="B33" s="4" t="s">
        <v>2472</v>
      </c>
      <c r="C33" s="4" t="s">
        <v>2535</v>
      </c>
      <c r="D33" s="6" t="s">
        <v>322</v>
      </c>
      <c r="E33" s="4"/>
      <c r="F33" s="4"/>
      <c r="G33" s="6">
        <v>5</v>
      </c>
      <c r="H33" s="4" t="s">
        <v>2545</v>
      </c>
      <c r="I33" s="4" t="s">
        <v>2546</v>
      </c>
      <c r="J33" s="4"/>
      <c r="K33" s="6" t="s">
        <v>7</v>
      </c>
      <c r="L33" s="6"/>
      <c r="M33" s="4"/>
      <c r="N33" s="4"/>
    </row>
    <row r="34" spans="1:14" customHeight="1" ht="30">
      <c r="A34" s="8" t="s">
        <v>2534</v>
      </c>
      <c r="B34" s="4" t="s">
        <v>2472</v>
      </c>
      <c r="C34" s="4" t="s">
        <v>2535</v>
      </c>
      <c r="D34" s="6" t="s">
        <v>322</v>
      </c>
      <c r="E34" s="4"/>
      <c r="F34" s="4"/>
      <c r="G34" s="6">
        <v>6</v>
      </c>
      <c r="H34" s="4" t="s">
        <v>2547</v>
      </c>
      <c r="I34" s="4" t="s">
        <v>2548</v>
      </c>
      <c r="J34" s="4"/>
      <c r="K34" s="6" t="s">
        <v>7</v>
      </c>
      <c r="L34" s="6"/>
      <c r="M34" s="4"/>
      <c r="N34" s="4"/>
    </row>
    <row r="35" spans="1:14" customHeight="1" ht="40">
      <c r="A35" s="8" t="s">
        <v>2534</v>
      </c>
      <c r="B35" s="4" t="s">
        <v>2472</v>
      </c>
      <c r="C35" s="4" t="s">
        <v>2535</v>
      </c>
      <c r="D35" s="6" t="s">
        <v>322</v>
      </c>
      <c r="E35" s="4"/>
      <c r="F35" s="4"/>
      <c r="G35" s="6">
        <v>7</v>
      </c>
      <c r="H35" s="4" t="s">
        <v>2549</v>
      </c>
      <c r="I35" s="4" t="s">
        <v>2550</v>
      </c>
      <c r="J35" s="4"/>
      <c r="K35" s="6" t="s">
        <v>7</v>
      </c>
      <c r="L35" s="6"/>
      <c r="M35" s="4"/>
      <c r="N35" s="4"/>
    </row>
    <row r="36" spans="1:14" customHeight="1" ht="40">
      <c r="A36" s="9" t="s">
        <v>2551</v>
      </c>
      <c r="B36" s="5" t="s">
        <v>2472</v>
      </c>
      <c r="C36" s="5" t="s">
        <v>2552</v>
      </c>
      <c r="D36" s="7" t="s">
        <v>309</v>
      </c>
      <c r="E36" s="5" t="s">
        <v>2553</v>
      </c>
      <c r="F36" s="5" t="s">
        <v>2554</v>
      </c>
      <c r="G36" s="7">
        <v>1</v>
      </c>
      <c r="H36" s="5" t="s">
        <v>2555</v>
      </c>
      <c r="I36" s="5" t="s">
        <v>2556</v>
      </c>
      <c r="J36" s="5"/>
      <c r="K36" s="7" t="s">
        <v>7</v>
      </c>
      <c r="L36" s="7"/>
      <c r="M36" s="5"/>
      <c r="N36" s="5"/>
    </row>
    <row r="37" spans="1:14" customHeight="1" ht="30">
      <c r="A37" s="9" t="s">
        <v>2551</v>
      </c>
      <c r="B37" s="5" t="s">
        <v>2472</v>
      </c>
      <c r="C37" s="5" t="s">
        <v>2552</v>
      </c>
      <c r="D37" s="7" t="s">
        <v>309</v>
      </c>
      <c r="E37" s="5"/>
      <c r="F37" s="5"/>
      <c r="G37" s="7">
        <v>2</v>
      </c>
      <c r="H37" s="5" t="s">
        <v>2557</v>
      </c>
      <c r="I37" s="5" t="s">
        <v>2172</v>
      </c>
      <c r="J37" s="5"/>
      <c r="K37" s="7" t="s">
        <v>7</v>
      </c>
      <c r="L37" s="7"/>
      <c r="M37" s="5"/>
      <c r="N37" s="5"/>
    </row>
    <row r="38" spans="1:14" customHeight="1" ht="30">
      <c r="A38" s="9" t="s">
        <v>2551</v>
      </c>
      <c r="B38" s="5" t="s">
        <v>2472</v>
      </c>
      <c r="C38" s="5" t="s">
        <v>2552</v>
      </c>
      <c r="D38" s="7" t="s">
        <v>309</v>
      </c>
      <c r="E38" s="5"/>
      <c r="F38" s="5"/>
      <c r="G38" s="7">
        <v>3</v>
      </c>
      <c r="H38" s="5" t="s">
        <v>2558</v>
      </c>
      <c r="I38" s="5" t="s">
        <v>2559</v>
      </c>
      <c r="J38" s="5"/>
      <c r="K38" s="7" t="s">
        <v>7</v>
      </c>
      <c r="L38" s="7"/>
      <c r="M38" s="5"/>
      <c r="N38" s="5"/>
    </row>
    <row r="39" spans="1:14" customHeight="1" ht="30">
      <c r="A39" s="9" t="s">
        <v>2551</v>
      </c>
      <c r="B39" s="5" t="s">
        <v>2472</v>
      </c>
      <c r="C39" s="5" t="s">
        <v>2552</v>
      </c>
      <c r="D39" s="7" t="s">
        <v>309</v>
      </c>
      <c r="E39" s="5"/>
      <c r="F39" s="5"/>
      <c r="G39" s="7">
        <v>4</v>
      </c>
      <c r="H39" s="5" t="s">
        <v>2560</v>
      </c>
      <c r="I39" s="5" t="s">
        <v>2561</v>
      </c>
      <c r="J39" s="5"/>
      <c r="K39" s="7" t="s">
        <v>7</v>
      </c>
      <c r="L39" s="7"/>
      <c r="M39" s="5"/>
      <c r="N39" s="5"/>
    </row>
    <row r="40" spans="1:14" customHeight="1" ht="30">
      <c r="A40" s="9" t="s">
        <v>2551</v>
      </c>
      <c r="B40" s="5" t="s">
        <v>2472</v>
      </c>
      <c r="C40" s="5" t="s">
        <v>2552</v>
      </c>
      <c r="D40" s="7" t="s">
        <v>309</v>
      </c>
      <c r="E40" s="5"/>
      <c r="F40" s="5"/>
      <c r="G40" s="7">
        <v>5</v>
      </c>
      <c r="H40" s="5" t="s">
        <v>2562</v>
      </c>
      <c r="I40" s="5" t="s">
        <v>2563</v>
      </c>
      <c r="J40" s="5"/>
      <c r="K40" s="7" t="s">
        <v>7</v>
      </c>
      <c r="L40" s="7"/>
      <c r="M40" s="5"/>
      <c r="N40" s="5"/>
    </row>
    <row r="41" spans="1:14" customHeight="1" ht="40">
      <c r="A41" s="8" t="s">
        <v>2564</v>
      </c>
      <c r="B41" s="4" t="s">
        <v>2472</v>
      </c>
      <c r="C41" s="4" t="s">
        <v>2565</v>
      </c>
      <c r="D41" s="6" t="s">
        <v>322</v>
      </c>
      <c r="E41" s="4" t="s">
        <v>2566</v>
      </c>
      <c r="F41" s="4" t="s">
        <v>2567</v>
      </c>
      <c r="G41" s="6">
        <v>1</v>
      </c>
      <c r="H41" s="4" t="s">
        <v>2568</v>
      </c>
      <c r="I41" s="4" t="s">
        <v>2172</v>
      </c>
      <c r="J41" s="4"/>
      <c r="K41" s="6" t="s">
        <v>7</v>
      </c>
      <c r="L41" s="6"/>
      <c r="M41" s="4"/>
      <c r="N41" s="4"/>
    </row>
    <row r="42" spans="1:14" customHeight="1" ht="30">
      <c r="A42" s="8" t="s">
        <v>2564</v>
      </c>
      <c r="B42" s="4" t="s">
        <v>2472</v>
      </c>
      <c r="C42" s="4" t="s">
        <v>2565</v>
      </c>
      <c r="D42" s="6" t="s">
        <v>322</v>
      </c>
      <c r="E42" s="4"/>
      <c r="F42" s="4"/>
      <c r="G42" s="6">
        <v>2</v>
      </c>
      <c r="H42" s="4" t="s">
        <v>2569</v>
      </c>
      <c r="I42" s="4" t="s">
        <v>2172</v>
      </c>
      <c r="J42" s="4"/>
      <c r="K42" s="6" t="s">
        <v>7</v>
      </c>
      <c r="L42" s="6"/>
      <c r="M42" s="4"/>
      <c r="N42" s="4"/>
    </row>
    <row r="43" spans="1:14" customHeight="1" ht="40">
      <c r="A43" s="8" t="s">
        <v>2564</v>
      </c>
      <c r="B43" s="4" t="s">
        <v>2472</v>
      </c>
      <c r="C43" s="4" t="s">
        <v>2565</v>
      </c>
      <c r="D43" s="6" t="s">
        <v>322</v>
      </c>
      <c r="E43" s="4"/>
      <c r="F43" s="4"/>
      <c r="G43" s="6">
        <v>3</v>
      </c>
      <c r="H43" s="4" t="s">
        <v>2570</v>
      </c>
      <c r="I43" s="4" t="s">
        <v>2571</v>
      </c>
      <c r="J43" s="4"/>
      <c r="K43" s="6" t="s">
        <v>7</v>
      </c>
      <c r="L43" s="6"/>
      <c r="M43" s="4"/>
      <c r="N43" s="4"/>
    </row>
    <row r="44" spans="1:14" customHeight="1" ht="30">
      <c r="A44" s="8" t="s">
        <v>2564</v>
      </c>
      <c r="B44" s="4" t="s">
        <v>2472</v>
      </c>
      <c r="C44" s="4" t="s">
        <v>2565</v>
      </c>
      <c r="D44" s="6" t="s">
        <v>322</v>
      </c>
      <c r="E44" s="4"/>
      <c r="F44" s="4"/>
      <c r="G44" s="6">
        <v>4</v>
      </c>
      <c r="H44" s="4" t="s">
        <v>2572</v>
      </c>
      <c r="I44" s="4" t="s">
        <v>2573</v>
      </c>
      <c r="J44" s="4"/>
      <c r="K44" s="6" t="s">
        <v>7</v>
      </c>
      <c r="L44" s="6"/>
      <c r="M44" s="4"/>
      <c r="N44" s="4"/>
    </row>
    <row r="45" spans="1:14" customHeight="1" ht="30">
      <c r="A45" s="8" t="s">
        <v>2564</v>
      </c>
      <c r="B45" s="4" t="s">
        <v>2472</v>
      </c>
      <c r="C45" s="4" t="s">
        <v>2565</v>
      </c>
      <c r="D45" s="6" t="s">
        <v>322</v>
      </c>
      <c r="E45" s="4"/>
      <c r="F45" s="4"/>
      <c r="G45" s="6">
        <v>5</v>
      </c>
      <c r="H45" s="4" t="s">
        <v>2574</v>
      </c>
      <c r="I45" s="4" t="s">
        <v>2575</v>
      </c>
      <c r="J45" s="4"/>
      <c r="K45" s="6" t="s">
        <v>7</v>
      </c>
      <c r="L45" s="6"/>
      <c r="M45" s="4"/>
      <c r="N45" s="4"/>
    </row>
    <row r="46" spans="1:14" customHeight="1" ht="53">
      <c r="A46" s="9" t="s">
        <v>2576</v>
      </c>
      <c r="B46" s="5" t="s">
        <v>2472</v>
      </c>
      <c r="C46" s="5" t="s">
        <v>2577</v>
      </c>
      <c r="D46" s="7" t="s">
        <v>309</v>
      </c>
      <c r="E46" s="5" t="s">
        <v>2578</v>
      </c>
      <c r="F46" s="5" t="s">
        <v>2579</v>
      </c>
      <c r="G46" s="7">
        <v>1</v>
      </c>
      <c r="H46" s="5" t="s">
        <v>2580</v>
      </c>
      <c r="I46" s="5" t="s">
        <v>2581</v>
      </c>
      <c r="J46" s="5"/>
      <c r="K46" s="7" t="s">
        <v>7</v>
      </c>
      <c r="L46" s="7"/>
      <c r="M46" s="5"/>
      <c r="N46" s="5"/>
    </row>
    <row r="47" spans="1:14" customHeight="1" ht="40">
      <c r="A47" s="9" t="s">
        <v>2576</v>
      </c>
      <c r="B47" s="5" t="s">
        <v>2472</v>
      </c>
      <c r="C47" s="5" t="s">
        <v>2577</v>
      </c>
      <c r="D47" s="7" t="s">
        <v>309</v>
      </c>
      <c r="E47" s="5"/>
      <c r="F47" s="5"/>
      <c r="G47" s="7">
        <v>2</v>
      </c>
      <c r="H47" s="5" t="s">
        <v>2582</v>
      </c>
      <c r="I47" s="5" t="s">
        <v>2583</v>
      </c>
      <c r="J47" s="5"/>
      <c r="K47" s="7" t="s">
        <v>7</v>
      </c>
      <c r="L47" s="7"/>
      <c r="M47" s="5"/>
      <c r="N47" s="5"/>
    </row>
    <row r="48" spans="1:14" customHeight="1" ht="40">
      <c r="A48" s="9" t="s">
        <v>2576</v>
      </c>
      <c r="B48" s="5" t="s">
        <v>2472</v>
      </c>
      <c r="C48" s="5" t="s">
        <v>2577</v>
      </c>
      <c r="D48" s="7" t="s">
        <v>309</v>
      </c>
      <c r="E48" s="5"/>
      <c r="F48" s="5"/>
      <c r="G48" s="7">
        <v>3</v>
      </c>
      <c r="H48" s="5" t="s">
        <v>2584</v>
      </c>
      <c r="I48" s="5" t="s">
        <v>2583</v>
      </c>
      <c r="J48" s="5"/>
      <c r="K48" s="7" t="s">
        <v>7</v>
      </c>
      <c r="L48" s="7"/>
      <c r="M48" s="5"/>
      <c r="N48" s="5"/>
    </row>
    <row r="49" spans="1:14" customHeight="1" ht="40">
      <c r="A49" s="9" t="s">
        <v>2576</v>
      </c>
      <c r="B49" s="5" t="s">
        <v>2472</v>
      </c>
      <c r="C49" s="5" t="s">
        <v>2577</v>
      </c>
      <c r="D49" s="7" t="s">
        <v>309</v>
      </c>
      <c r="E49" s="5"/>
      <c r="F49" s="5"/>
      <c r="G49" s="7">
        <v>4</v>
      </c>
      <c r="H49" s="5" t="s">
        <v>2585</v>
      </c>
      <c r="I49" s="5" t="s">
        <v>2586</v>
      </c>
      <c r="J49" s="5"/>
      <c r="K49" s="7" t="s">
        <v>7</v>
      </c>
      <c r="L49" s="7"/>
      <c r="M49" s="5"/>
      <c r="N49" s="5"/>
    </row>
    <row r="50" spans="1:14" customHeight="1" ht="40">
      <c r="A50" s="9" t="s">
        <v>2576</v>
      </c>
      <c r="B50" s="5" t="s">
        <v>2472</v>
      </c>
      <c r="C50" s="5" t="s">
        <v>2577</v>
      </c>
      <c r="D50" s="7" t="s">
        <v>309</v>
      </c>
      <c r="E50" s="5"/>
      <c r="F50" s="5"/>
      <c r="G50" s="7">
        <v>5</v>
      </c>
      <c r="H50" s="5" t="s">
        <v>2587</v>
      </c>
      <c r="I50" s="5" t="s">
        <v>2588</v>
      </c>
      <c r="J50" s="5"/>
      <c r="K50" s="7" t="s">
        <v>7</v>
      </c>
      <c r="L50" s="7"/>
      <c r="M50" s="5"/>
      <c r="N50" s="5"/>
    </row>
    <row r="51" spans="1:14" customHeight="1" ht="40">
      <c r="A51" s="9" t="s">
        <v>2576</v>
      </c>
      <c r="B51" s="5" t="s">
        <v>2472</v>
      </c>
      <c r="C51" s="5" t="s">
        <v>2577</v>
      </c>
      <c r="D51" s="7" t="s">
        <v>309</v>
      </c>
      <c r="E51" s="5"/>
      <c r="F51" s="5"/>
      <c r="G51" s="7">
        <v>6</v>
      </c>
      <c r="H51" s="5" t="s">
        <v>2589</v>
      </c>
      <c r="I51" s="5" t="s">
        <v>2590</v>
      </c>
      <c r="J51" s="5"/>
      <c r="K51" s="7" t="s">
        <v>7</v>
      </c>
      <c r="L51" s="7"/>
      <c r="M51" s="5"/>
      <c r="N51" s="5"/>
    </row>
    <row r="52" spans="1:14" customHeight="1" ht="40">
      <c r="A52" s="8" t="s">
        <v>2591</v>
      </c>
      <c r="B52" s="4" t="s">
        <v>2472</v>
      </c>
      <c r="C52" s="4" t="s">
        <v>2592</v>
      </c>
      <c r="D52" s="6" t="s">
        <v>309</v>
      </c>
      <c r="E52" s="4" t="s">
        <v>2593</v>
      </c>
      <c r="F52" s="4" t="s">
        <v>2594</v>
      </c>
      <c r="G52" s="6">
        <v>1</v>
      </c>
      <c r="H52" s="4" t="s">
        <v>2595</v>
      </c>
      <c r="I52" s="4" t="s">
        <v>2596</v>
      </c>
      <c r="J52" s="4"/>
      <c r="K52" s="6" t="s">
        <v>7</v>
      </c>
      <c r="L52" s="6"/>
      <c r="M52" s="4"/>
      <c r="N52" s="4"/>
    </row>
    <row r="53" spans="1:14" customHeight="1" ht="30">
      <c r="A53" s="8" t="s">
        <v>2591</v>
      </c>
      <c r="B53" s="4" t="s">
        <v>2472</v>
      </c>
      <c r="C53" s="4" t="s">
        <v>2592</v>
      </c>
      <c r="D53" s="6" t="s">
        <v>309</v>
      </c>
      <c r="E53" s="4"/>
      <c r="F53" s="4"/>
      <c r="G53" s="6">
        <v>2</v>
      </c>
      <c r="H53" s="4" t="s">
        <v>2597</v>
      </c>
      <c r="I53" s="4" t="s">
        <v>2598</v>
      </c>
      <c r="J53" s="4"/>
      <c r="K53" s="6" t="s">
        <v>7</v>
      </c>
      <c r="L53" s="6"/>
      <c r="M53" s="4"/>
      <c r="N53" s="4"/>
    </row>
    <row r="54" spans="1:14" customHeight="1" ht="40">
      <c r="A54" s="8" t="s">
        <v>2591</v>
      </c>
      <c r="B54" s="4" t="s">
        <v>2472</v>
      </c>
      <c r="C54" s="4" t="s">
        <v>2592</v>
      </c>
      <c r="D54" s="6" t="s">
        <v>309</v>
      </c>
      <c r="E54" s="4"/>
      <c r="F54" s="4"/>
      <c r="G54" s="6">
        <v>3</v>
      </c>
      <c r="H54" s="4" t="s">
        <v>2599</v>
      </c>
      <c r="I54" s="4" t="s">
        <v>2600</v>
      </c>
      <c r="J54" s="4"/>
      <c r="K54" s="6" t="s">
        <v>7</v>
      </c>
      <c r="L54" s="6"/>
      <c r="M54" s="4"/>
      <c r="N54" s="4"/>
    </row>
    <row r="55" spans="1:14" customHeight="1" ht="40">
      <c r="A55" s="8" t="s">
        <v>2591</v>
      </c>
      <c r="B55" s="4" t="s">
        <v>2472</v>
      </c>
      <c r="C55" s="4" t="s">
        <v>2592</v>
      </c>
      <c r="D55" s="6" t="s">
        <v>309</v>
      </c>
      <c r="E55" s="4"/>
      <c r="F55" s="4"/>
      <c r="G55" s="6">
        <v>4</v>
      </c>
      <c r="H55" s="4" t="s">
        <v>2601</v>
      </c>
      <c r="I55" s="4" t="s">
        <v>2602</v>
      </c>
      <c r="J55" s="4"/>
      <c r="K55" s="6" t="s">
        <v>7</v>
      </c>
      <c r="L55" s="6"/>
      <c r="M55" s="4"/>
      <c r="N55" s="4"/>
    </row>
  </sheetData>
  <autoFilter ref="A3:N55"/>
  <mergeCells>
    <mergeCell ref="A1:N1"/>
    <mergeCell ref="A2:N2"/>
  </mergeCells>
  <conditionalFormatting sqref="K4:K55">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55">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55">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55">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55">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8"/>
  <sheetViews>
    <sheetView tabSelected="0" workbookViewId="0" showGridLines="true" showRowColHeaders="1">
      <pane xSplit="2" ySplit="3" topLeftCell="C4" activePane="bottomRight" state="frozen"/>
      <selection pane="topRight"/>
      <selection pane="bottomLeft"/>
      <selection pane="bottomRight" activeCell="L4" sqref="L4:L48"/>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2603</v>
      </c>
    </row>
    <row r="2" spans="1:14" customHeight="1" ht="30">
      <c r="A2" s="2" t="s">
        <v>2604</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40">
      <c r="A4" s="8" t="s">
        <v>2605</v>
      </c>
      <c r="B4" s="4" t="s">
        <v>2603</v>
      </c>
      <c r="C4" s="4" t="s">
        <v>2606</v>
      </c>
      <c r="D4" s="6" t="s">
        <v>309</v>
      </c>
      <c r="E4" s="4" t="s">
        <v>2607</v>
      </c>
      <c r="F4" s="4" t="s">
        <v>2608</v>
      </c>
      <c r="G4" s="6">
        <v>1</v>
      </c>
      <c r="H4" s="4" t="s">
        <v>2609</v>
      </c>
      <c r="I4" s="4" t="s">
        <v>2610</v>
      </c>
      <c r="J4" s="4"/>
      <c r="K4" s="6" t="s">
        <v>7</v>
      </c>
      <c r="L4" s="6"/>
      <c r="M4" s="4"/>
      <c r="N4" s="4"/>
    </row>
    <row r="5" spans="1:14" customHeight="1" ht="30">
      <c r="A5" s="8" t="s">
        <v>2605</v>
      </c>
      <c r="B5" s="4" t="s">
        <v>2603</v>
      </c>
      <c r="C5" s="4" t="s">
        <v>2606</v>
      </c>
      <c r="D5" s="6" t="s">
        <v>309</v>
      </c>
      <c r="E5" s="4"/>
      <c r="F5" s="4"/>
      <c r="G5" s="6">
        <v>2</v>
      </c>
      <c r="H5" s="4" t="s">
        <v>2611</v>
      </c>
      <c r="I5" s="4" t="s">
        <v>2612</v>
      </c>
      <c r="J5" s="4"/>
      <c r="K5" s="6" t="s">
        <v>7</v>
      </c>
      <c r="L5" s="6"/>
      <c r="M5" s="4"/>
      <c r="N5" s="4"/>
    </row>
    <row r="6" spans="1:14" customHeight="1" ht="30">
      <c r="A6" s="8" t="s">
        <v>2605</v>
      </c>
      <c r="B6" s="4" t="s">
        <v>2603</v>
      </c>
      <c r="C6" s="4" t="s">
        <v>2606</v>
      </c>
      <c r="D6" s="6" t="s">
        <v>309</v>
      </c>
      <c r="E6" s="4"/>
      <c r="F6" s="4"/>
      <c r="G6" s="6">
        <v>3</v>
      </c>
      <c r="H6" s="4" t="s">
        <v>2613</v>
      </c>
      <c r="I6" s="4" t="s">
        <v>2614</v>
      </c>
      <c r="J6" s="4"/>
      <c r="K6" s="6" t="s">
        <v>7</v>
      </c>
      <c r="L6" s="6"/>
      <c r="M6" s="4"/>
      <c r="N6" s="4"/>
    </row>
    <row r="7" spans="1:14" customHeight="1" ht="30">
      <c r="A7" s="8" t="s">
        <v>2605</v>
      </c>
      <c r="B7" s="4" t="s">
        <v>2603</v>
      </c>
      <c r="C7" s="4" t="s">
        <v>2606</v>
      </c>
      <c r="D7" s="6" t="s">
        <v>309</v>
      </c>
      <c r="E7" s="4"/>
      <c r="F7" s="4"/>
      <c r="G7" s="6">
        <v>4</v>
      </c>
      <c r="H7" s="4" t="s">
        <v>2615</v>
      </c>
      <c r="I7" s="4" t="s">
        <v>2616</v>
      </c>
      <c r="J7" s="4"/>
      <c r="K7" s="6" t="s">
        <v>7</v>
      </c>
      <c r="L7" s="6"/>
      <c r="M7" s="4"/>
      <c r="N7" s="4"/>
    </row>
    <row r="8" spans="1:14" customHeight="1" ht="40">
      <c r="A8" s="8" t="s">
        <v>2605</v>
      </c>
      <c r="B8" s="4" t="s">
        <v>2603</v>
      </c>
      <c r="C8" s="4" t="s">
        <v>2606</v>
      </c>
      <c r="D8" s="6" t="s">
        <v>309</v>
      </c>
      <c r="E8" s="4"/>
      <c r="F8" s="4"/>
      <c r="G8" s="6">
        <v>5</v>
      </c>
      <c r="H8" s="4" t="s">
        <v>2617</v>
      </c>
      <c r="I8" s="4" t="s">
        <v>2618</v>
      </c>
      <c r="J8" s="4"/>
      <c r="K8" s="6" t="s">
        <v>7</v>
      </c>
      <c r="L8" s="6"/>
      <c r="M8" s="4"/>
      <c r="N8" s="4"/>
    </row>
    <row r="9" spans="1:14" customHeight="1" ht="40">
      <c r="A9" s="8" t="s">
        <v>2605</v>
      </c>
      <c r="B9" s="4" t="s">
        <v>2603</v>
      </c>
      <c r="C9" s="4" t="s">
        <v>2606</v>
      </c>
      <c r="D9" s="6" t="s">
        <v>309</v>
      </c>
      <c r="E9" s="4"/>
      <c r="F9" s="4"/>
      <c r="G9" s="6">
        <v>6</v>
      </c>
      <c r="H9" s="4" t="s">
        <v>2619</v>
      </c>
      <c r="I9" s="4" t="s">
        <v>2620</v>
      </c>
      <c r="J9" s="4"/>
      <c r="K9" s="6" t="s">
        <v>7</v>
      </c>
      <c r="L9" s="6"/>
      <c r="M9" s="4"/>
      <c r="N9" s="4"/>
    </row>
    <row r="10" spans="1:14" customHeight="1" ht="40">
      <c r="A10" s="8" t="s">
        <v>2605</v>
      </c>
      <c r="B10" s="4" t="s">
        <v>2603</v>
      </c>
      <c r="C10" s="4" t="s">
        <v>2606</v>
      </c>
      <c r="D10" s="6" t="s">
        <v>309</v>
      </c>
      <c r="E10" s="4"/>
      <c r="F10" s="4"/>
      <c r="G10" s="6">
        <v>7</v>
      </c>
      <c r="H10" s="4" t="s">
        <v>2621</v>
      </c>
      <c r="I10" s="4" t="s">
        <v>2622</v>
      </c>
      <c r="J10" s="4"/>
      <c r="K10" s="6" t="s">
        <v>7</v>
      </c>
      <c r="L10" s="6"/>
      <c r="M10" s="4"/>
      <c r="N10" s="4"/>
    </row>
    <row r="11" spans="1:14" customHeight="1" ht="30">
      <c r="A11" s="8" t="s">
        <v>2605</v>
      </c>
      <c r="B11" s="4" t="s">
        <v>2603</v>
      </c>
      <c r="C11" s="4" t="s">
        <v>2606</v>
      </c>
      <c r="D11" s="6" t="s">
        <v>309</v>
      </c>
      <c r="E11" s="4"/>
      <c r="F11" s="4"/>
      <c r="G11" s="6">
        <v>8</v>
      </c>
      <c r="H11" s="4" t="s">
        <v>2623</v>
      </c>
      <c r="I11" s="4" t="s">
        <v>2624</v>
      </c>
      <c r="J11" s="4"/>
      <c r="K11" s="6" t="s">
        <v>7</v>
      </c>
      <c r="L11" s="6"/>
      <c r="M11" s="4"/>
      <c r="N11" s="4"/>
    </row>
    <row r="12" spans="1:14" customHeight="1" ht="30">
      <c r="A12" s="9" t="s">
        <v>2625</v>
      </c>
      <c r="B12" s="5" t="s">
        <v>2603</v>
      </c>
      <c r="C12" s="5" t="s">
        <v>2626</v>
      </c>
      <c r="D12" s="7" t="s">
        <v>309</v>
      </c>
      <c r="E12" s="5" t="s">
        <v>2627</v>
      </c>
      <c r="F12" s="5" t="s">
        <v>2628</v>
      </c>
      <c r="G12" s="7">
        <v>1</v>
      </c>
      <c r="H12" s="5" t="s">
        <v>2629</v>
      </c>
      <c r="I12" s="5" t="s">
        <v>2630</v>
      </c>
      <c r="J12" s="5"/>
      <c r="K12" s="7" t="s">
        <v>7</v>
      </c>
      <c r="L12" s="7"/>
      <c r="M12" s="5"/>
      <c r="N12" s="5"/>
    </row>
    <row r="13" spans="1:14" customHeight="1" ht="30">
      <c r="A13" s="9" t="s">
        <v>2625</v>
      </c>
      <c r="B13" s="5" t="s">
        <v>2603</v>
      </c>
      <c r="C13" s="5" t="s">
        <v>2626</v>
      </c>
      <c r="D13" s="7" t="s">
        <v>309</v>
      </c>
      <c r="E13" s="5"/>
      <c r="F13" s="5"/>
      <c r="G13" s="7">
        <v>2</v>
      </c>
      <c r="H13" s="5" t="s">
        <v>2631</v>
      </c>
      <c r="I13" s="5" t="s">
        <v>2632</v>
      </c>
      <c r="J13" s="5"/>
      <c r="K13" s="7" t="s">
        <v>7</v>
      </c>
      <c r="L13" s="7"/>
      <c r="M13" s="5"/>
      <c r="N13" s="5"/>
    </row>
    <row r="14" spans="1:14" customHeight="1" ht="30">
      <c r="A14" s="9" t="s">
        <v>2625</v>
      </c>
      <c r="B14" s="5" t="s">
        <v>2603</v>
      </c>
      <c r="C14" s="5" t="s">
        <v>2626</v>
      </c>
      <c r="D14" s="7" t="s">
        <v>309</v>
      </c>
      <c r="E14" s="5"/>
      <c r="F14" s="5"/>
      <c r="G14" s="7">
        <v>3</v>
      </c>
      <c r="H14" s="5" t="s">
        <v>748</v>
      </c>
      <c r="I14" s="5" t="s">
        <v>2633</v>
      </c>
      <c r="J14" s="5"/>
      <c r="K14" s="7" t="s">
        <v>7</v>
      </c>
      <c r="L14" s="7"/>
      <c r="M14" s="5"/>
      <c r="N14" s="5"/>
    </row>
    <row r="15" spans="1:14" customHeight="1" ht="30">
      <c r="A15" s="9" t="s">
        <v>2625</v>
      </c>
      <c r="B15" s="5" t="s">
        <v>2603</v>
      </c>
      <c r="C15" s="5" t="s">
        <v>2626</v>
      </c>
      <c r="D15" s="7" t="s">
        <v>309</v>
      </c>
      <c r="E15" s="5"/>
      <c r="F15" s="5"/>
      <c r="G15" s="7">
        <v>4</v>
      </c>
      <c r="H15" s="5" t="s">
        <v>2634</v>
      </c>
      <c r="I15" s="5" t="s">
        <v>2635</v>
      </c>
      <c r="J15" s="5"/>
      <c r="K15" s="7" t="s">
        <v>7</v>
      </c>
      <c r="L15" s="7"/>
      <c r="M15" s="5"/>
      <c r="N15" s="5"/>
    </row>
    <row r="16" spans="1:14" customHeight="1" ht="30">
      <c r="A16" s="9" t="s">
        <v>2625</v>
      </c>
      <c r="B16" s="5" t="s">
        <v>2603</v>
      </c>
      <c r="C16" s="5" t="s">
        <v>2626</v>
      </c>
      <c r="D16" s="7" t="s">
        <v>309</v>
      </c>
      <c r="E16" s="5"/>
      <c r="F16" s="5"/>
      <c r="G16" s="7">
        <v>5</v>
      </c>
      <c r="H16" s="5" t="s">
        <v>2636</v>
      </c>
      <c r="I16" s="5" t="s">
        <v>2637</v>
      </c>
      <c r="J16" s="5"/>
      <c r="K16" s="7" t="s">
        <v>7</v>
      </c>
      <c r="L16" s="7"/>
      <c r="M16" s="5"/>
      <c r="N16" s="5"/>
    </row>
    <row r="17" spans="1:14" customHeight="1" ht="40">
      <c r="A17" s="8" t="s">
        <v>2638</v>
      </c>
      <c r="B17" s="4" t="s">
        <v>2603</v>
      </c>
      <c r="C17" s="4" t="s">
        <v>2639</v>
      </c>
      <c r="D17" s="6" t="s">
        <v>322</v>
      </c>
      <c r="E17" s="4" t="s">
        <v>2640</v>
      </c>
      <c r="F17" s="4" t="s">
        <v>2641</v>
      </c>
      <c r="G17" s="6">
        <v>1</v>
      </c>
      <c r="H17" s="4" t="s">
        <v>2642</v>
      </c>
      <c r="I17" s="4" t="s">
        <v>2643</v>
      </c>
      <c r="J17" s="4"/>
      <c r="K17" s="6" t="s">
        <v>7</v>
      </c>
      <c r="L17" s="6"/>
      <c r="M17" s="4"/>
      <c r="N17" s="4"/>
    </row>
    <row r="18" spans="1:14" customHeight="1" ht="53">
      <c r="A18" s="8" t="s">
        <v>2638</v>
      </c>
      <c r="B18" s="4" t="s">
        <v>2603</v>
      </c>
      <c r="C18" s="4" t="s">
        <v>2639</v>
      </c>
      <c r="D18" s="6" t="s">
        <v>322</v>
      </c>
      <c r="E18" s="4"/>
      <c r="F18" s="4"/>
      <c r="G18" s="6">
        <v>2</v>
      </c>
      <c r="H18" s="4" t="s">
        <v>2644</v>
      </c>
      <c r="I18" s="4" t="s">
        <v>2645</v>
      </c>
      <c r="J18" s="4"/>
      <c r="K18" s="6" t="s">
        <v>7</v>
      </c>
      <c r="L18" s="6"/>
      <c r="M18" s="4"/>
      <c r="N18" s="4"/>
    </row>
    <row r="19" spans="1:14" customHeight="1" ht="30">
      <c r="A19" s="8" t="s">
        <v>2638</v>
      </c>
      <c r="B19" s="4" t="s">
        <v>2603</v>
      </c>
      <c r="C19" s="4" t="s">
        <v>2639</v>
      </c>
      <c r="D19" s="6" t="s">
        <v>322</v>
      </c>
      <c r="E19" s="4"/>
      <c r="F19" s="4"/>
      <c r="G19" s="6">
        <v>3</v>
      </c>
      <c r="H19" s="4" t="s">
        <v>2646</v>
      </c>
      <c r="I19" s="4" t="s">
        <v>2647</v>
      </c>
      <c r="J19" s="4"/>
      <c r="K19" s="6" t="s">
        <v>7</v>
      </c>
      <c r="L19" s="6"/>
      <c r="M19" s="4"/>
      <c r="N19" s="4"/>
    </row>
    <row r="20" spans="1:14" customHeight="1" ht="30">
      <c r="A20" s="8" t="s">
        <v>2638</v>
      </c>
      <c r="B20" s="4" t="s">
        <v>2603</v>
      </c>
      <c r="C20" s="4" t="s">
        <v>2639</v>
      </c>
      <c r="D20" s="6" t="s">
        <v>322</v>
      </c>
      <c r="E20" s="4"/>
      <c r="F20" s="4"/>
      <c r="G20" s="6">
        <v>4</v>
      </c>
      <c r="H20" s="4" t="s">
        <v>2648</v>
      </c>
      <c r="I20" s="4" t="s">
        <v>2649</v>
      </c>
      <c r="J20" s="4"/>
      <c r="K20" s="6" t="s">
        <v>7</v>
      </c>
      <c r="L20" s="6"/>
      <c r="M20" s="4"/>
      <c r="N20" s="4"/>
    </row>
    <row r="21" spans="1:14" customHeight="1" ht="30">
      <c r="A21" s="8" t="s">
        <v>2638</v>
      </c>
      <c r="B21" s="4" t="s">
        <v>2603</v>
      </c>
      <c r="C21" s="4" t="s">
        <v>2639</v>
      </c>
      <c r="D21" s="6" t="s">
        <v>322</v>
      </c>
      <c r="E21" s="4"/>
      <c r="F21" s="4"/>
      <c r="G21" s="6">
        <v>5</v>
      </c>
      <c r="H21" s="4" t="s">
        <v>2650</v>
      </c>
      <c r="I21" s="4" t="s">
        <v>2651</v>
      </c>
      <c r="J21" s="4"/>
      <c r="K21" s="6" t="s">
        <v>7</v>
      </c>
      <c r="L21" s="6"/>
      <c r="M21" s="4"/>
      <c r="N21" s="4"/>
    </row>
    <row r="22" spans="1:14" customHeight="1" ht="40">
      <c r="A22" s="9" t="s">
        <v>2652</v>
      </c>
      <c r="B22" s="5" t="s">
        <v>2603</v>
      </c>
      <c r="C22" s="5" t="s">
        <v>2653</v>
      </c>
      <c r="D22" s="7" t="s">
        <v>322</v>
      </c>
      <c r="E22" s="5" t="s">
        <v>2640</v>
      </c>
      <c r="F22" s="5" t="s">
        <v>2654</v>
      </c>
      <c r="G22" s="7">
        <v>1</v>
      </c>
      <c r="H22" s="5" t="s">
        <v>2655</v>
      </c>
      <c r="I22" s="5" t="s">
        <v>2656</v>
      </c>
      <c r="J22" s="5"/>
      <c r="K22" s="7" t="s">
        <v>7</v>
      </c>
      <c r="L22" s="7"/>
      <c r="M22" s="5"/>
      <c r="N22" s="5"/>
    </row>
    <row r="23" spans="1:14" customHeight="1" ht="30">
      <c r="A23" s="9" t="s">
        <v>2652</v>
      </c>
      <c r="B23" s="5" t="s">
        <v>2603</v>
      </c>
      <c r="C23" s="5" t="s">
        <v>2653</v>
      </c>
      <c r="D23" s="7" t="s">
        <v>322</v>
      </c>
      <c r="E23" s="5"/>
      <c r="F23" s="5"/>
      <c r="G23" s="7">
        <v>2</v>
      </c>
      <c r="H23" s="5" t="s">
        <v>2657</v>
      </c>
      <c r="I23" s="5" t="s">
        <v>2658</v>
      </c>
      <c r="J23" s="5"/>
      <c r="K23" s="7" t="s">
        <v>7</v>
      </c>
      <c r="L23" s="7"/>
      <c r="M23" s="5"/>
      <c r="N23" s="5"/>
    </row>
    <row r="24" spans="1:14" customHeight="1" ht="30">
      <c r="A24" s="9" t="s">
        <v>2652</v>
      </c>
      <c r="B24" s="5" t="s">
        <v>2603</v>
      </c>
      <c r="C24" s="5" t="s">
        <v>2653</v>
      </c>
      <c r="D24" s="7" t="s">
        <v>322</v>
      </c>
      <c r="E24" s="5"/>
      <c r="F24" s="5"/>
      <c r="G24" s="7">
        <v>3</v>
      </c>
      <c r="H24" s="5" t="s">
        <v>1299</v>
      </c>
      <c r="I24" s="5" t="s">
        <v>2659</v>
      </c>
      <c r="J24" s="5"/>
      <c r="K24" s="7" t="s">
        <v>7</v>
      </c>
      <c r="L24" s="7"/>
      <c r="M24" s="5"/>
      <c r="N24" s="5"/>
    </row>
    <row r="25" spans="1:14" customHeight="1" ht="40">
      <c r="A25" s="9" t="s">
        <v>2652</v>
      </c>
      <c r="B25" s="5" t="s">
        <v>2603</v>
      </c>
      <c r="C25" s="5" t="s">
        <v>2653</v>
      </c>
      <c r="D25" s="7" t="s">
        <v>322</v>
      </c>
      <c r="E25" s="5"/>
      <c r="F25" s="5"/>
      <c r="G25" s="7">
        <v>4</v>
      </c>
      <c r="H25" s="5" t="s">
        <v>2660</v>
      </c>
      <c r="I25" s="5" t="s">
        <v>2661</v>
      </c>
      <c r="J25" s="5"/>
      <c r="K25" s="7" t="s">
        <v>7</v>
      </c>
      <c r="L25" s="7"/>
      <c r="M25" s="5"/>
      <c r="N25" s="5"/>
    </row>
    <row r="26" spans="1:14" customHeight="1" ht="30">
      <c r="A26" s="9" t="s">
        <v>2652</v>
      </c>
      <c r="B26" s="5" t="s">
        <v>2603</v>
      </c>
      <c r="C26" s="5" t="s">
        <v>2653</v>
      </c>
      <c r="D26" s="7" t="s">
        <v>322</v>
      </c>
      <c r="E26" s="5"/>
      <c r="F26" s="5"/>
      <c r="G26" s="7">
        <v>5</v>
      </c>
      <c r="H26" s="5" t="s">
        <v>2662</v>
      </c>
      <c r="I26" s="5" t="s">
        <v>2663</v>
      </c>
      <c r="J26" s="5"/>
      <c r="K26" s="7" t="s">
        <v>7</v>
      </c>
      <c r="L26" s="7"/>
      <c r="M26" s="5"/>
      <c r="N26" s="5"/>
    </row>
    <row r="27" spans="1:14" customHeight="1" ht="30">
      <c r="A27" s="9" t="s">
        <v>2652</v>
      </c>
      <c r="B27" s="5" t="s">
        <v>2603</v>
      </c>
      <c r="C27" s="5" t="s">
        <v>2653</v>
      </c>
      <c r="D27" s="7" t="s">
        <v>322</v>
      </c>
      <c r="E27" s="5"/>
      <c r="F27" s="5"/>
      <c r="G27" s="7">
        <v>6</v>
      </c>
      <c r="H27" s="5" t="s">
        <v>2664</v>
      </c>
      <c r="I27" s="5" t="s">
        <v>2665</v>
      </c>
      <c r="J27" s="5"/>
      <c r="K27" s="7" t="s">
        <v>7</v>
      </c>
      <c r="L27" s="7"/>
      <c r="M27" s="5"/>
      <c r="N27" s="5"/>
    </row>
    <row r="28" spans="1:14" customHeight="1" ht="30">
      <c r="A28" s="9" t="s">
        <v>2652</v>
      </c>
      <c r="B28" s="5" t="s">
        <v>2603</v>
      </c>
      <c r="C28" s="5" t="s">
        <v>2653</v>
      </c>
      <c r="D28" s="7" t="s">
        <v>322</v>
      </c>
      <c r="E28" s="5"/>
      <c r="F28" s="5"/>
      <c r="G28" s="7">
        <v>7</v>
      </c>
      <c r="H28" s="5" t="s">
        <v>2666</v>
      </c>
      <c r="I28" s="5" t="s">
        <v>2667</v>
      </c>
      <c r="J28" s="5"/>
      <c r="K28" s="7" t="s">
        <v>7</v>
      </c>
      <c r="L28" s="7"/>
      <c r="M28" s="5"/>
      <c r="N28" s="5"/>
    </row>
    <row r="29" spans="1:14" customHeight="1" ht="30">
      <c r="A29" s="9" t="s">
        <v>2652</v>
      </c>
      <c r="B29" s="5" t="s">
        <v>2603</v>
      </c>
      <c r="C29" s="5" t="s">
        <v>2653</v>
      </c>
      <c r="D29" s="7" t="s">
        <v>322</v>
      </c>
      <c r="E29" s="5"/>
      <c r="F29" s="5"/>
      <c r="G29" s="7">
        <v>8</v>
      </c>
      <c r="H29" s="5" t="s">
        <v>1901</v>
      </c>
      <c r="I29" s="5" t="s">
        <v>2668</v>
      </c>
      <c r="J29" s="5"/>
      <c r="K29" s="7" t="s">
        <v>7</v>
      </c>
      <c r="L29" s="7"/>
      <c r="M29" s="5"/>
      <c r="N29" s="5"/>
    </row>
    <row r="30" spans="1:14" customHeight="1" ht="40">
      <c r="A30" s="8" t="s">
        <v>2669</v>
      </c>
      <c r="B30" s="4" t="s">
        <v>2603</v>
      </c>
      <c r="C30" s="4" t="s">
        <v>2670</v>
      </c>
      <c r="D30" s="6" t="s">
        <v>309</v>
      </c>
      <c r="E30" s="4" t="s">
        <v>2671</v>
      </c>
      <c r="F30" s="4" t="s">
        <v>2672</v>
      </c>
      <c r="G30" s="6">
        <v>1</v>
      </c>
      <c r="H30" s="4" t="s">
        <v>2673</v>
      </c>
      <c r="I30" s="4" t="s">
        <v>2674</v>
      </c>
      <c r="J30" s="4"/>
      <c r="K30" s="6" t="s">
        <v>7</v>
      </c>
      <c r="L30" s="6"/>
      <c r="M30" s="4"/>
      <c r="N30" s="4"/>
    </row>
    <row r="31" spans="1:14" customHeight="1" ht="30">
      <c r="A31" s="8" t="s">
        <v>2669</v>
      </c>
      <c r="B31" s="4" t="s">
        <v>2603</v>
      </c>
      <c r="C31" s="4" t="s">
        <v>2670</v>
      </c>
      <c r="D31" s="6" t="s">
        <v>309</v>
      </c>
      <c r="E31" s="4"/>
      <c r="F31" s="4"/>
      <c r="G31" s="6">
        <v>2</v>
      </c>
      <c r="H31" s="4" t="s">
        <v>2675</v>
      </c>
      <c r="I31" s="4" t="s">
        <v>2676</v>
      </c>
      <c r="J31" s="4"/>
      <c r="K31" s="6" t="s">
        <v>7</v>
      </c>
      <c r="L31" s="6"/>
      <c r="M31" s="4"/>
      <c r="N31" s="4"/>
    </row>
    <row r="32" spans="1:14" customHeight="1" ht="30">
      <c r="A32" s="8" t="s">
        <v>2669</v>
      </c>
      <c r="B32" s="4" t="s">
        <v>2603</v>
      </c>
      <c r="C32" s="4" t="s">
        <v>2670</v>
      </c>
      <c r="D32" s="6" t="s">
        <v>309</v>
      </c>
      <c r="E32" s="4"/>
      <c r="F32" s="4"/>
      <c r="G32" s="6">
        <v>3</v>
      </c>
      <c r="H32" s="4" t="s">
        <v>2677</v>
      </c>
      <c r="I32" s="4" t="s">
        <v>2678</v>
      </c>
      <c r="J32" s="4"/>
      <c r="K32" s="6" t="s">
        <v>7</v>
      </c>
      <c r="L32" s="6"/>
      <c r="M32" s="4"/>
      <c r="N32" s="4"/>
    </row>
    <row r="33" spans="1:14" customHeight="1" ht="66">
      <c r="A33" s="8" t="s">
        <v>2669</v>
      </c>
      <c r="B33" s="4" t="s">
        <v>2603</v>
      </c>
      <c r="C33" s="4" t="s">
        <v>2670</v>
      </c>
      <c r="D33" s="6" t="s">
        <v>309</v>
      </c>
      <c r="E33" s="4"/>
      <c r="F33" s="4"/>
      <c r="G33" s="6">
        <v>4</v>
      </c>
      <c r="H33" s="4" t="s">
        <v>2679</v>
      </c>
      <c r="I33" s="4" t="s">
        <v>2680</v>
      </c>
      <c r="J33" s="4"/>
      <c r="K33" s="6" t="s">
        <v>7</v>
      </c>
      <c r="L33" s="6"/>
      <c r="M33" s="4"/>
      <c r="N33" s="4"/>
    </row>
    <row r="34" spans="1:14" customHeight="1" ht="30">
      <c r="A34" s="8" t="s">
        <v>2669</v>
      </c>
      <c r="B34" s="4" t="s">
        <v>2603</v>
      </c>
      <c r="C34" s="4" t="s">
        <v>2670</v>
      </c>
      <c r="D34" s="6" t="s">
        <v>309</v>
      </c>
      <c r="E34" s="4"/>
      <c r="F34" s="4"/>
      <c r="G34" s="6">
        <v>5</v>
      </c>
      <c r="H34" s="4" t="s">
        <v>2681</v>
      </c>
      <c r="I34" s="4" t="s">
        <v>2682</v>
      </c>
      <c r="J34" s="4"/>
      <c r="K34" s="6" t="s">
        <v>7</v>
      </c>
      <c r="L34" s="6"/>
      <c r="M34" s="4"/>
      <c r="N34" s="4"/>
    </row>
    <row r="35" spans="1:14" customHeight="1" ht="40">
      <c r="A35" s="9" t="s">
        <v>2683</v>
      </c>
      <c r="B35" s="5" t="s">
        <v>2603</v>
      </c>
      <c r="C35" s="5" t="s">
        <v>2684</v>
      </c>
      <c r="D35" s="7" t="s">
        <v>441</v>
      </c>
      <c r="E35" s="5" t="s">
        <v>2685</v>
      </c>
      <c r="F35" s="5" t="s">
        <v>2686</v>
      </c>
      <c r="G35" s="7">
        <v>1</v>
      </c>
      <c r="H35" s="5" t="s">
        <v>2687</v>
      </c>
      <c r="I35" s="5" t="s">
        <v>2688</v>
      </c>
      <c r="J35" s="5"/>
      <c r="K35" s="7" t="s">
        <v>7</v>
      </c>
      <c r="L35" s="7"/>
      <c r="M35" s="5"/>
      <c r="N35" s="5"/>
    </row>
    <row r="36" spans="1:14" customHeight="1" ht="30">
      <c r="A36" s="9" t="s">
        <v>2683</v>
      </c>
      <c r="B36" s="5" t="s">
        <v>2603</v>
      </c>
      <c r="C36" s="5" t="s">
        <v>2684</v>
      </c>
      <c r="D36" s="7" t="s">
        <v>441</v>
      </c>
      <c r="E36" s="5"/>
      <c r="F36" s="5"/>
      <c r="G36" s="7">
        <v>2</v>
      </c>
      <c r="H36" s="5" t="s">
        <v>2689</v>
      </c>
      <c r="I36" s="5" t="s">
        <v>2690</v>
      </c>
      <c r="J36" s="5"/>
      <c r="K36" s="7" t="s">
        <v>7</v>
      </c>
      <c r="L36" s="7"/>
      <c r="M36" s="5"/>
      <c r="N36" s="5"/>
    </row>
    <row r="37" spans="1:14" customHeight="1" ht="30">
      <c r="A37" s="9" t="s">
        <v>2683</v>
      </c>
      <c r="B37" s="5" t="s">
        <v>2603</v>
      </c>
      <c r="C37" s="5" t="s">
        <v>2684</v>
      </c>
      <c r="D37" s="7" t="s">
        <v>441</v>
      </c>
      <c r="E37" s="5"/>
      <c r="F37" s="5"/>
      <c r="G37" s="7">
        <v>3</v>
      </c>
      <c r="H37" s="5" t="s">
        <v>2691</v>
      </c>
      <c r="I37" s="5" t="s">
        <v>2692</v>
      </c>
      <c r="J37" s="5"/>
      <c r="K37" s="7" t="s">
        <v>7</v>
      </c>
      <c r="L37" s="7"/>
      <c r="M37" s="5"/>
      <c r="N37" s="5"/>
    </row>
    <row r="38" spans="1:14" customHeight="1" ht="30">
      <c r="A38" s="9" t="s">
        <v>2683</v>
      </c>
      <c r="B38" s="5" t="s">
        <v>2603</v>
      </c>
      <c r="C38" s="5" t="s">
        <v>2684</v>
      </c>
      <c r="D38" s="7" t="s">
        <v>441</v>
      </c>
      <c r="E38" s="5"/>
      <c r="F38" s="5"/>
      <c r="G38" s="7">
        <v>4</v>
      </c>
      <c r="H38" s="5" t="s">
        <v>2693</v>
      </c>
      <c r="I38" s="5" t="s">
        <v>2694</v>
      </c>
      <c r="J38" s="5"/>
      <c r="K38" s="7" t="s">
        <v>7</v>
      </c>
      <c r="L38" s="7"/>
      <c r="M38" s="5"/>
      <c r="N38" s="5"/>
    </row>
    <row r="39" spans="1:14" customHeight="1" ht="30">
      <c r="A39" s="8" t="s">
        <v>2695</v>
      </c>
      <c r="B39" s="4" t="s">
        <v>2603</v>
      </c>
      <c r="C39" s="4" t="s">
        <v>2696</v>
      </c>
      <c r="D39" s="6" t="s">
        <v>441</v>
      </c>
      <c r="E39" s="4" t="s">
        <v>2697</v>
      </c>
      <c r="F39" s="4" t="s">
        <v>2698</v>
      </c>
      <c r="G39" s="6">
        <v>1</v>
      </c>
      <c r="H39" s="4" t="s">
        <v>2699</v>
      </c>
      <c r="I39" s="4" t="s">
        <v>2700</v>
      </c>
      <c r="J39" s="4"/>
      <c r="K39" s="6" t="s">
        <v>7</v>
      </c>
      <c r="L39" s="6"/>
      <c r="M39" s="4"/>
      <c r="N39" s="4"/>
    </row>
    <row r="40" spans="1:14" customHeight="1" ht="30">
      <c r="A40" s="8" t="s">
        <v>2695</v>
      </c>
      <c r="B40" s="4" t="s">
        <v>2603</v>
      </c>
      <c r="C40" s="4" t="s">
        <v>2696</v>
      </c>
      <c r="D40" s="6" t="s">
        <v>441</v>
      </c>
      <c r="E40" s="4"/>
      <c r="F40" s="4"/>
      <c r="G40" s="6">
        <v>2</v>
      </c>
      <c r="H40" s="4" t="s">
        <v>2701</v>
      </c>
      <c r="I40" s="4" t="s">
        <v>2240</v>
      </c>
      <c r="J40" s="4"/>
      <c r="K40" s="6" t="s">
        <v>7</v>
      </c>
      <c r="L40" s="6"/>
      <c r="M40" s="4"/>
      <c r="N40" s="4"/>
    </row>
    <row r="41" spans="1:14" customHeight="1" ht="40">
      <c r="A41" s="8" t="s">
        <v>2695</v>
      </c>
      <c r="B41" s="4" t="s">
        <v>2603</v>
      </c>
      <c r="C41" s="4" t="s">
        <v>2696</v>
      </c>
      <c r="D41" s="6" t="s">
        <v>441</v>
      </c>
      <c r="E41" s="4"/>
      <c r="F41" s="4"/>
      <c r="G41" s="6">
        <v>3</v>
      </c>
      <c r="H41" s="4" t="s">
        <v>2702</v>
      </c>
      <c r="I41" s="4" t="s">
        <v>2703</v>
      </c>
      <c r="J41" s="4"/>
      <c r="K41" s="6" t="s">
        <v>7</v>
      </c>
      <c r="L41" s="6"/>
      <c r="M41" s="4"/>
      <c r="N41" s="4"/>
    </row>
    <row r="42" spans="1:14" customHeight="1" ht="30">
      <c r="A42" s="8" t="s">
        <v>2695</v>
      </c>
      <c r="B42" s="4" t="s">
        <v>2603</v>
      </c>
      <c r="C42" s="4" t="s">
        <v>2696</v>
      </c>
      <c r="D42" s="6" t="s">
        <v>441</v>
      </c>
      <c r="E42" s="4"/>
      <c r="F42" s="4"/>
      <c r="G42" s="6">
        <v>4</v>
      </c>
      <c r="H42" s="4" t="s">
        <v>2704</v>
      </c>
      <c r="I42" s="4" t="s">
        <v>2705</v>
      </c>
      <c r="J42" s="4"/>
      <c r="K42" s="6" t="s">
        <v>7</v>
      </c>
      <c r="L42" s="6"/>
      <c r="M42" s="4"/>
      <c r="N42" s="4"/>
    </row>
    <row r="43" spans="1:14" customHeight="1" ht="40">
      <c r="A43" s="8" t="s">
        <v>2695</v>
      </c>
      <c r="B43" s="4" t="s">
        <v>2603</v>
      </c>
      <c r="C43" s="4" t="s">
        <v>2696</v>
      </c>
      <c r="D43" s="6" t="s">
        <v>441</v>
      </c>
      <c r="E43" s="4"/>
      <c r="F43" s="4"/>
      <c r="G43" s="6">
        <v>5</v>
      </c>
      <c r="H43" s="4" t="s">
        <v>2706</v>
      </c>
      <c r="I43" s="4" t="s">
        <v>2707</v>
      </c>
      <c r="J43" s="4"/>
      <c r="K43" s="6" t="s">
        <v>7</v>
      </c>
      <c r="L43" s="6"/>
      <c r="M43" s="4"/>
      <c r="N43" s="4"/>
    </row>
    <row r="44" spans="1:14" customHeight="1" ht="40">
      <c r="A44" s="9" t="s">
        <v>2708</v>
      </c>
      <c r="B44" s="5" t="s">
        <v>2603</v>
      </c>
      <c r="C44" s="5" t="s">
        <v>2709</v>
      </c>
      <c r="D44" s="7" t="s">
        <v>441</v>
      </c>
      <c r="E44" s="5" t="s">
        <v>2710</v>
      </c>
      <c r="F44" s="5" t="s">
        <v>2711</v>
      </c>
      <c r="G44" s="7">
        <v>1</v>
      </c>
      <c r="H44" s="5" t="s">
        <v>2712</v>
      </c>
      <c r="I44" s="5" t="s">
        <v>2713</v>
      </c>
      <c r="J44" s="5"/>
      <c r="K44" s="7" t="s">
        <v>7</v>
      </c>
      <c r="L44" s="7"/>
      <c r="M44" s="5"/>
      <c r="N44" s="5"/>
    </row>
    <row r="45" spans="1:14" customHeight="1" ht="30">
      <c r="A45" s="9" t="s">
        <v>2708</v>
      </c>
      <c r="B45" s="5" t="s">
        <v>2603</v>
      </c>
      <c r="C45" s="5" t="s">
        <v>2709</v>
      </c>
      <c r="D45" s="7" t="s">
        <v>441</v>
      </c>
      <c r="E45" s="5"/>
      <c r="F45" s="5"/>
      <c r="G45" s="7">
        <v>2</v>
      </c>
      <c r="H45" s="5" t="s">
        <v>2714</v>
      </c>
      <c r="I45" s="5" t="s">
        <v>2715</v>
      </c>
      <c r="J45" s="5"/>
      <c r="K45" s="7" t="s">
        <v>7</v>
      </c>
      <c r="L45" s="7"/>
      <c r="M45" s="5"/>
      <c r="N45" s="5"/>
    </row>
    <row r="46" spans="1:14" customHeight="1" ht="40">
      <c r="A46" s="9" t="s">
        <v>2708</v>
      </c>
      <c r="B46" s="5" t="s">
        <v>2603</v>
      </c>
      <c r="C46" s="5" t="s">
        <v>2709</v>
      </c>
      <c r="D46" s="7" t="s">
        <v>441</v>
      </c>
      <c r="E46" s="5"/>
      <c r="F46" s="5"/>
      <c r="G46" s="7">
        <v>3</v>
      </c>
      <c r="H46" s="5" t="s">
        <v>2716</v>
      </c>
      <c r="I46" s="5" t="s">
        <v>2717</v>
      </c>
      <c r="J46" s="5"/>
      <c r="K46" s="7" t="s">
        <v>7</v>
      </c>
      <c r="L46" s="7"/>
      <c r="M46" s="5"/>
      <c r="N46" s="5"/>
    </row>
    <row r="47" spans="1:14" customHeight="1" ht="30">
      <c r="A47" s="9" t="s">
        <v>2708</v>
      </c>
      <c r="B47" s="5" t="s">
        <v>2603</v>
      </c>
      <c r="C47" s="5" t="s">
        <v>2709</v>
      </c>
      <c r="D47" s="7" t="s">
        <v>441</v>
      </c>
      <c r="E47" s="5"/>
      <c r="F47" s="5"/>
      <c r="G47" s="7">
        <v>4</v>
      </c>
      <c r="H47" s="5" t="s">
        <v>2718</v>
      </c>
      <c r="I47" s="5" t="s">
        <v>2719</v>
      </c>
      <c r="J47" s="5"/>
      <c r="K47" s="7" t="s">
        <v>7</v>
      </c>
      <c r="L47" s="7"/>
      <c r="M47" s="5"/>
      <c r="N47" s="5"/>
    </row>
    <row r="48" spans="1:14" customHeight="1" ht="40">
      <c r="A48" s="9" t="s">
        <v>2708</v>
      </c>
      <c r="B48" s="5" t="s">
        <v>2603</v>
      </c>
      <c r="C48" s="5" t="s">
        <v>2709</v>
      </c>
      <c r="D48" s="7" t="s">
        <v>441</v>
      </c>
      <c r="E48" s="5"/>
      <c r="F48" s="5"/>
      <c r="G48" s="7">
        <v>5</v>
      </c>
      <c r="H48" s="5" t="s">
        <v>2720</v>
      </c>
      <c r="I48" s="5" t="s">
        <v>2721</v>
      </c>
      <c r="J48" s="5"/>
      <c r="K48" s="7" t="s">
        <v>7</v>
      </c>
      <c r="L48" s="7"/>
      <c r="M48" s="5"/>
      <c r="N48" s="5"/>
    </row>
  </sheetData>
  <autoFilter ref="A3:N48"/>
  <mergeCells>
    <mergeCell ref="A1:N1"/>
    <mergeCell ref="A2:N2"/>
  </mergeCells>
  <conditionalFormatting sqref="K4:K48">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8">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8">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8">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8">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47"/>
  <sheetViews>
    <sheetView tabSelected="0" workbookViewId="0" showGridLines="true" showRowColHeaders="1">
      <pane xSplit="2" ySplit="3" topLeftCell="C4" activePane="bottomRight" state="frozen"/>
      <selection pane="topRight"/>
      <selection pane="bottomLeft"/>
      <selection pane="bottomRight" activeCell="L4" sqref="L4:L47"/>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2722</v>
      </c>
    </row>
    <row r="2" spans="1:14" customHeight="1" ht="30">
      <c r="A2" s="2" t="s">
        <v>2723</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53">
      <c r="A4" s="8" t="s">
        <v>2724</v>
      </c>
      <c r="B4" s="4" t="s">
        <v>2722</v>
      </c>
      <c r="C4" s="4" t="s">
        <v>2725</v>
      </c>
      <c r="D4" s="6" t="s">
        <v>322</v>
      </c>
      <c r="E4" s="4" t="s">
        <v>2726</v>
      </c>
      <c r="F4" s="4" t="s">
        <v>2727</v>
      </c>
      <c r="G4" s="6">
        <v>1</v>
      </c>
      <c r="H4" s="4" t="s">
        <v>2728</v>
      </c>
      <c r="I4" s="4" t="s">
        <v>2729</v>
      </c>
      <c r="J4" s="4"/>
      <c r="K4" s="6" t="s">
        <v>7</v>
      </c>
      <c r="L4" s="6"/>
      <c r="M4" s="4"/>
      <c r="N4" s="4"/>
    </row>
    <row r="5" spans="1:14" customHeight="1" ht="30">
      <c r="A5" s="8" t="s">
        <v>2724</v>
      </c>
      <c r="B5" s="4" t="s">
        <v>2722</v>
      </c>
      <c r="C5" s="4" t="s">
        <v>2725</v>
      </c>
      <c r="D5" s="6" t="s">
        <v>322</v>
      </c>
      <c r="E5" s="4"/>
      <c r="F5" s="4"/>
      <c r="G5" s="6">
        <v>2</v>
      </c>
      <c r="H5" s="4" t="s">
        <v>2730</v>
      </c>
      <c r="I5" s="4" t="s">
        <v>1071</v>
      </c>
      <c r="J5" s="4"/>
      <c r="K5" s="6" t="s">
        <v>7</v>
      </c>
      <c r="L5" s="6"/>
      <c r="M5" s="4"/>
      <c r="N5" s="4"/>
    </row>
    <row r="6" spans="1:14" customHeight="1" ht="30">
      <c r="A6" s="8" t="s">
        <v>2724</v>
      </c>
      <c r="B6" s="4" t="s">
        <v>2722</v>
      </c>
      <c r="C6" s="4" t="s">
        <v>2725</v>
      </c>
      <c r="D6" s="6" t="s">
        <v>322</v>
      </c>
      <c r="E6" s="4"/>
      <c r="F6" s="4"/>
      <c r="G6" s="6">
        <v>3</v>
      </c>
      <c r="H6" s="4" t="s">
        <v>2731</v>
      </c>
      <c r="I6" s="4" t="s">
        <v>2732</v>
      </c>
      <c r="J6" s="4"/>
      <c r="K6" s="6" t="s">
        <v>7</v>
      </c>
      <c r="L6" s="6"/>
      <c r="M6" s="4"/>
      <c r="N6" s="4"/>
    </row>
    <row r="7" spans="1:14" customHeight="1" ht="53">
      <c r="A7" s="8" t="s">
        <v>2724</v>
      </c>
      <c r="B7" s="4" t="s">
        <v>2722</v>
      </c>
      <c r="C7" s="4" t="s">
        <v>2725</v>
      </c>
      <c r="D7" s="6" t="s">
        <v>322</v>
      </c>
      <c r="E7" s="4"/>
      <c r="F7" s="4"/>
      <c r="G7" s="6">
        <v>4</v>
      </c>
      <c r="H7" s="4" t="s">
        <v>2733</v>
      </c>
      <c r="I7" s="4" t="s">
        <v>2734</v>
      </c>
      <c r="J7" s="4"/>
      <c r="K7" s="6" t="s">
        <v>7</v>
      </c>
      <c r="L7" s="6"/>
      <c r="M7" s="4"/>
      <c r="N7" s="4"/>
    </row>
    <row r="8" spans="1:14" customHeight="1" ht="30">
      <c r="A8" s="8" t="s">
        <v>2724</v>
      </c>
      <c r="B8" s="4" t="s">
        <v>2722</v>
      </c>
      <c r="C8" s="4" t="s">
        <v>2725</v>
      </c>
      <c r="D8" s="6" t="s">
        <v>322</v>
      </c>
      <c r="E8" s="4"/>
      <c r="F8" s="4"/>
      <c r="G8" s="6">
        <v>5</v>
      </c>
      <c r="H8" s="4" t="s">
        <v>2735</v>
      </c>
      <c r="I8" s="4" t="s">
        <v>2736</v>
      </c>
      <c r="J8" s="4"/>
      <c r="K8" s="6" t="s">
        <v>7</v>
      </c>
      <c r="L8" s="6"/>
      <c r="M8" s="4"/>
      <c r="N8" s="4"/>
    </row>
    <row r="9" spans="1:14" customHeight="1" ht="30">
      <c r="A9" s="9" t="s">
        <v>2737</v>
      </c>
      <c r="B9" s="5" t="s">
        <v>2722</v>
      </c>
      <c r="C9" s="5" t="s">
        <v>2738</v>
      </c>
      <c r="D9" s="7" t="s">
        <v>322</v>
      </c>
      <c r="E9" s="5" t="s">
        <v>2739</v>
      </c>
      <c r="F9" s="5" t="s">
        <v>2740</v>
      </c>
      <c r="G9" s="7">
        <v>1</v>
      </c>
      <c r="H9" s="5" t="s">
        <v>2741</v>
      </c>
      <c r="I9" s="5" t="s">
        <v>2742</v>
      </c>
      <c r="J9" s="5"/>
      <c r="K9" s="7" t="s">
        <v>7</v>
      </c>
      <c r="L9" s="7"/>
      <c r="M9" s="5"/>
      <c r="N9" s="5"/>
    </row>
    <row r="10" spans="1:14" customHeight="1" ht="30">
      <c r="A10" s="9" t="s">
        <v>2737</v>
      </c>
      <c r="B10" s="5" t="s">
        <v>2722</v>
      </c>
      <c r="C10" s="5" t="s">
        <v>2738</v>
      </c>
      <c r="D10" s="7" t="s">
        <v>322</v>
      </c>
      <c r="E10" s="5"/>
      <c r="F10" s="5"/>
      <c r="G10" s="7">
        <v>2</v>
      </c>
      <c r="H10" s="5" t="s">
        <v>2743</v>
      </c>
      <c r="I10" s="5" t="s">
        <v>2744</v>
      </c>
      <c r="J10" s="5"/>
      <c r="K10" s="7" t="s">
        <v>7</v>
      </c>
      <c r="L10" s="7"/>
      <c r="M10" s="5"/>
      <c r="N10" s="5"/>
    </row>
    <row r="11" spans="1:14" customHeight="1" ht="30">
      <c r="A11" s="9" t="s">
        <v>2737</v>
      </c>
      <c r="B11" s="5" t="s">
        <v>2722</v>
      </c>
      <c r="C11" s="5" t="s">
        <v>2738</v>
      </c>
      <c r="D11" s="7" t="s">
        <v>322</v>
      </c>
      <c r="E11" s="5"/>
      <c r="F11" s="5"/>
      <c r="G11" s="7">
        <v>3</v>
      </c>
      <c r="H11" s="5" t="s">
        <v>2745</v>
      </c>
      <c r="I11" s="5" t="s">
        <v>2746</v>
      </c>
      <c r="J11" s="5"/>
      <c r="K11" s="7" t="s">
        <v>7</v>
      </c>
      <c r="L11" s="7"/>
      <c r="M11" s="5"/>
      <c r="N11" s="5"/>
    </row>
    <row r="12" spans="1:14" customHeight="1" ht="30">
      <c r="A12" s="9" t="s">
        <v>2737</v>
      </c>
      <c r="B12" s="5" t="s">
        <v>2722</v>
      </c>
      <c r="C12" s="5" t="s">
        <v>2738</v>
      </c>
      <c r="D12" s="7" t="s">
        <v>322</v>
      </c>
      <c r="E12" s="5"/>
      <c r="F12" s="5"/>
      <c r="G12" s="7">
        <v>4</v>
      </c>
      <c r="H12" s="5" t="s">
        <v>2747</v>
      </c>
      <c r="I12" s="5" t="s">
        <v>2748</v>
      </c>
      <c r="J12" s="5"/>
      <c r="K12" s="7" t="s">
        <v>7</v>
      </c>
      <c r="L12" s="7"/>
      <c r="M12" s="5"/>
      <c r="N12" s="5"/>
    </row>
    <row r="13" spans="1:14" customHeight="1" ht="30">
      <c r="A13" s="9" t="s">
        <v>2737</v>
      </c>
      <c r="B13" s="5" t="s">
        <v>2722</v>
      </c>
      <c r="C13" s="5" t="s">
        <v>2738</v>
      </c>
      <c r="D13" s="7" t="s">
        <v>322</v>
      </c>
      <c r="E13" s="5"/>
      <c r="F13" s="5"/>
      <c r="G13" s="7">
        <v>5</v>
      </c>
      <c r="H13" s="5" t="s">
        <v>2749</v>
      </c>
      <c r="I13" s="5" t="s">
        <v>2750</v>
      </c>
      <c r="J13" s="5"/>
      <c r="K13" s="7" t="s">
        <v>7</v>
      </c>
      <c r="L13" s="7"/>
      <c r="M13" s="5"/>
      <c r="N13" s="5"/>
    </row>
    <row r="14" spans="1:14" customHeight="1" ht="30">
      <c r="A14" s="9" t="s">
        <v>2737</v>
      </c>
      <c r="B14" s="5" t="s">
        <v>2722</v>
      </c>
      <c r="C14" s="5" t="s">
        <v>2738</v>
      </c>
      <c r="D14" s="7" t="s">
        <v>322</v>
      </c>
      <c r="E14" s="5"/>
      <c r="F14" s="5"/>
      <c r="G14" s="7">
        <v>6</v>
      </c>
      <c r="H14" s="5" t="s">
        <v>2751</v>
      </c>
      <c r="I14" s="5" t="s">
        <v>2752</v>
      </c>
      <c r="J14" s="5"/>
      <c r="K14" s="7" t="s">
        <v>7</v>
      </c>
      <c r="L14" s="7"/>
      <c r="M14" s="5"/>
      <c r="N14" s="5"/>
    </row>
    <row r="15" spans="1:14" customHeight="1" ht="40">
      <c r="A15" s="8" t="s">
        <v>2753</v>
      </c>
      <c r="B15" s="4" t="s">
        <v>2722</v>
      </c>
      <c r="C15" s="4" t="s">
        <v>2754</v>
      </c>
      <c r="D15" s="6" t="s">
        <v>322</v>
      </c>
      <c r="E15" s="4" t="s">
        <v>2755</v>
      </c>
      <c r="F15" s="4" t="s">
        <v>2756</v>
      </c>
      <c r="G15" s="6">
        <v>1</v>
      </c>
      <c r="H15" s="4" t="s">
        <v>2757</v>
      </c>
      <c r="I15" s="4" t="s">
        <v>2758</v>
      </c>
      <c r="J15" s="4"/>
      <c r="K15" s="6" t="s">
        <v>7</v>
      </c>
      <c r="L15" s="6"/>
      <c r="M15" s="4"/>
      <c r="N15" s="4"/>
    </row>
    <row r="16" spans="1:14" customHeight="1" ht="30">
      <c r="A16" s="8" t="s">
        <v>2753</v>
      </c>
      <c r="B16" s="4" t="s">
        <v>2722</v>
      </c>
      <c r="C16" s="4" t="s">
        <v>2754</v>
      </c>
      <c r="D16" s="6" t="s">
        <v>322</v>
      </c>
      <c r="E16" s="4"/>
      <c r="F16" s="4"/>
      <c r="G16" s="6">
        <v>2</v>
      </c>
      <c r="H16" s="4" t="s">
        <v>2759</v>
      </c>
      <c r="I16" s="4" t="s">
        <v>2760</v>
      </c>
      <c r="J16" s="4"/>
      <c r="K16" s="6" t="s">
        <v>7</v>
      </c>
      <c r="L16" s="6"/>
      <c r="M16" s="4"/>
      <c r="N16" s="4"/>
    </row>
    <row r="17" spans="1:14" customHeight="1" ht="30">
      <c r="A17" s="8" t="s">
        <v>2753</v>
      </c>
      <c r="B17" s="4" t="s">
        <v>2722</v>
      </c>
      <c r="C17" s="4" t="s">
        <v>2754</v>
      </c>
      <c r="D17" s="6" t="s">
        <v>322</v>
      </c>
      <c r="E17" s="4"/>
      <c r="F17" s="4"/>
      <c r="G17" s="6">
        <v>3</v>
      </c>
      <c r="H17" s="4" t="s">
        <v>2761</v>
      </c>
      <c r="I17" s="4" t="s">
        <v>2762</v>
      </c>
      <c r="J17" s="4"/>
      <c r="K17" s="6" t="s">
        <v>7</v>
      </c>
      <c r="L17" s="6"/>
      <c r="M17" s="4"/>
      <c r="N17" s="4"/>
    </row>
    <row r="18" spans="1:14" customHeight="1" ht="40">
      <c r="A18" s="8" t="s">
        <v>2753</v>
      </c>
      <c r="B18" s="4" t="s">
        <v>2722</v>
      </c>
      <c r="C18" s="4" t="s">
        <v>2754</v>
      </c>
      <c r="D18" s="6" t="s">
        <v>322</v>
      </c>
      <c r="E18" s="4"/>
      <c r="F18" s="4"/>
      <c r="G18" s="6">
        <v>4</v>
      </c>
      <c r="H18" s="4" t="s">
        <v>2052</v>
      </c>
      <c r="I18" s="4" t="s">
        <v>2763</v>
      </c>
      <c r="J18" s="4"/>
      <c r="K18" s="6" t="s">
        <v>7</v>
      </c>
      <c r="L18" s="6"/>
      <c r="M18" s="4"/>
      <c r="N18" s="4"/>
    </row>
    <row r="19" spans="1:14" customHeight="1" ht="30">
      <c r="A19" s="8" t="s">
        <v>2753</v>
      </c>
      <c r="B19" s="4" t="s">
        <v>2722</v>
      </c>
      <c r="C19" s="4" t="s">
        <v>2754</v>
      </c>
      <c r="D19" s="6" t="s">
        <v>322</v>
      </c>
      <c r="E19" s="4"/>
      <c r="F19" s="4"/>
      <c r="G19" s="6">
        <v>5</v>
      </c>
      <c r="H19" s="4" t="s">
        <v>2764</v>
      </c>
      <c r="I19" s="4" t="s">
        <v>2765</v>
      </c>
      <c r="J19" s="4"/>
      <c r="K19" s="6" t="s">
        <v>7</v>
      </c>
      <c r="L19" s="6"/>
      <c r="M19" s="4"/>
      <c r="N19" s="4"/>
    </row>
    <row r="20" spans="1:14" customHeight="1" ht="30">
      <c r="A20" s="8" t="s">
        <v>2753</v>
      </c>
      <c r="B20" s="4" t="s">
        <v>2722</v>
      </c>
      <c r="C20" s="4" t="s">
        <v>2754</v>
      </c>
      <c r="D20" s="6" t="s">
        <v>322</v>
      </c>
      <c r="E20" s="4"/>
      <c r="F20" s="4"/>
      <c r="G20" s="6">
        <v>6</v>
      </c>
      <c r="H20" s="4" t="s">
        <v>2766</v>
      </c>
      <c r="I20" s="4" t="s">
        <v>2767</v>
      </c>
      <c r="J20" s="4"/>
      <c r="K20" s="6" t="s">
        <v>7</v>
      </c>
      <c r="L20" s="6"/>
      <c r="M20" s="4"/>
      <c r="N20" s="4"/>
    </row>
    <row r="21" spans="1:14" customHeight="1" ht="30">
      <c r="A21" s="9" t="s">
        <v>2768</v>
      </c>
      <c r="B21" s="5" t="s">
        <v>2722</v>
      </c>
      <c r="C21" s="5" t="s">
        <v>2769</v>
      </c>
      <c r="D21" s="7" t="s">
        <v>322</v>
      </c>
      <c r="E21" s="5" t="s">
        <v>988</v>
      </c>
      <c r="F21" s="5" t="s">
        <v>2076</v>
      </c>
      <c r="G21" s="7">
        <v>1</v>
      </c>
      <c r="H21" s="5" t="s">
        <v>2770</v>
      </c>
      <c r="I21" s="5" t="s">
        <v>2180</v>
      </c>
      <c r="J21" s="5"/>
      <c r="K21" s="7" t="s">
        <v>7</v>
      </c>
      <c r="L21" s="7"/>
      <c r="M21" s="5"/>
      <c r="N21" s="5"/>
    </row>
    <row r="22" spans="1:14" customHeight="1" ht="30">
      <c r="A22" s="9" t="s">
        <v>2768</v>
      </c>
      <c r="B22" s="5" t="s">
        <v>2722</v>
      </c>
      <c r="C22" s="5" t="s">
        <v>2769</v>
      </c>
      <c r="D22" s="7" t="s">
        <v>322</v>
      </c>
      <c r="E22" s="5"/>
      <c r="F22" s="5"/>
      <c r="G22" s="7">
        <v>2</v>
      </c>
      <c r="H22" s="5" t="s">
        <v>2771</v>
      </c>
      <c r="I22" s="5" t="s">
        <v>2772</v>
      </c>
      <c r="J22" s="5"/>
      <c r="K22" s="7" t="s">
        <v>7</v>
      </c>
      <c r="L22" s="7"/>
      <c r="M22" s="5"/>
      <c r="N22" s="5"/>
    </row>
    <row r="23" spans="1:14" customHeight="1" ht="40">
      <c r="A23" s="9" t="s">
        <v>2768</v>
      </c>
      <c r="B23" s="5" t="s">
        <v>2722</v>
      </c>
      <c r="C23" s="5" t="s">
        <v>2769</v>
      </c>
      <c r="D23" s="7" t="s">
        <v>322</v>
      </c>
      <c r="E23" s="5"/>
      <c r="F23" s="5"/>
      <c r="G23" s="7">
        <v>3</v>
      </c>
      <c r="H23" s="5" t="s">
        <v>1861</v>
      </c>
      <c r="I23" s="5" t="s">
        <v>2773</v>
      </c>
      <c r="J23" s="5"/>
      <c r="K23" s="7" t="s">
        <v>7</v>
      </c>
      <c r="L23" s="7"/>
      <c r="M23" s="5"/>
      <c r="N23" s="5"/>
    </row>
    <row r="24" spans="1:14" customHeight="1" ht="30">
      <c r="A24" s="9" t="s">
        <v>2768</v>
      </c>
      <c r="B24" s="5" t="s">
        <v>2722</v>
      </c>
      <c r="C24" s="5" t="s">
        <v>2769</v>
      </c>
      <c r="D24" s="7" t="s">
        <v>322</v>
      </c>
      <c r="E24" s="5"/>
      <c r="F24" s="5"/>
      <c r="G24" s="7">
        <v>4</v>
      </c>
      <c r="H24" s="5" t="s">
        <v>2774</v>
      </c>
      <c r="I24" s="5" t="s">
        <v>2775</v>
      </c>
      <c r="J24" s="5"/>
      <c r="K24" s="7" t="s">
        <v>7</v>
      </c>
      <c r="L24" s="7"/>
      <c r="M24" s="5"/>
      <c r="N24" s="5"/>
    </row>
    <row r="25" spans="1:14" customHeight="1" ht="30">
      <c r="A25" s="8" t="s">
        <v>2776</v>
      </c>
      <c r="B25" s="4" t="s">
        <v>2722</v>
      </c>
      <c r="C25" s="4" t="s">
        <v>2777</v>
      </c>
      <c r="D25" s="6" t="s">
        <v>309</v>
      </c>
      <c r="E25" s="4" t="s">
        <v>2778</v>
      </c>
      <c r="F25" s="4" t="s">
        <v>2779</v>
      </c>
      <c r="G25" s="6">
        <v>1</v>
      </c>
      <c r="H25" s="4" t="s">
        <v>2780</v>
      </c>
      <c r="I25" s="4" t="s">
        <v>2781</v>
      </c>
      <c r="J25" s="4"/>
      <c r="K25" s="6" t="s">
        <v>7</v>
      </c>
      <c r="L25" s="6"/>
      <c r="M25" s="4"/>
      <c r="N25" s="4"/>
    </row>
    <row r="26" spans="1:14" customHeight="1" ht="30">
      <c r="A26" s="8" t="s">
        <v>2776</v>
      </c>
      <c r="B26" s="4" t="s">
        <v>2722</v>
      </c>
      <c r="C26" s="4" t="s">
        <v>2777</v>
      </c>
      <c r="D26" s="6" t="s">
        <v>309</v>
      </c>
      <c r="E26" s="4"/>
      <c r="F26" s="4"/>
      <c r="G26" s="6">
        <v>2</v>
      </c>
      <c r="H26" s="4" t="s">
        <v>2782</v>
      </c>
      <c r="I26" s="4" t="s">
        <v>2783</v>
      </c>
      <c r="J26" s="4"/>
      <c r="K26" s="6" t="s">
        <v>7</v>
      </c>
      <c r="L26" s="6"/>
      <c r="M26" s="4"/>
      <c r="N26" s="4"/>
    </row>
    <row r="27" spans="1:14" customHeight="1" ht="30">
      <c r="A27" s="8" t="s">
        <v>2776</v>
      </c>
      <c r="B27" s="4" t="s">
        <v>2722</v>
      </c>
      <c r="C27" s="4" t="s">
        <v>2777</v>
      </c>
      <c r="D27" s="6" t="s">
        <v>309</v>
      </c>
      <c r="E27" s="4"/>
      <c r="F27" s="4"/>
      <c r="G27" s="6">
        <v>3</v>
      </c>
      <c r="H27" s="4" t="s">
        <v>2784</v>
      </c>
      <c r="I27" s="4" t="s">
        <v>2172</v>
      </c>
      <c r="J27" s="4"/>
      <c r="K27" s="6" t="s">
        <v>7</v>
      </c>
      <c r="L27" s="6"/>
      <c r="M27" s="4"/>
      <c r="N27" s="4"/>
    </row>
    <row r="28" spans="1:14" customHeight="1" ht="30">
      <c r="A28" s="8" t="s">
        <v>2776</v>
      </c>
      <c r="B28" s="4" t="s">
        <v>2722</v>
      </c>
      <c r="C28" s="4" t="s">
        <v>2777</v>
      </c>
      <c r="D28" s="6" t="s">
        <v>309</v>
      </c>
      <c r="E28" s="4"/>
      <c r="F28" s="4"/>
      <c r="G28" s="6">
        <v>4</v>
      </c>
      <c r="H28" s="4" t="s">
        <v>2785</v>
      </c>
      <c r="I28" s="4" t="s">
        <v>2172</v>
      </c>
      <c r="J28" s="4"/>
      <c r="K28" s="6" t="s">
        <v>7</v>
      </c>
      <c r="L28" s="6"/>
      <c r="M28" s="4"/>
      <c r="N28" s="4"/>
    </row>
    <row r="29" spans="1:14" customHeight="1" ht="53">
      <c r="A29" s="8" t="s">
        <v>2776</v>
      </c>
      <c r="B29" s="4" t="s">
        <v>2722</v>
      </c>
      <c r="C29" s="4" t="s">
        <v>2777</v>
      </c>
      <c r="D29" s="6" t="s">
        <v>309</v>
      </c>
      <c r="E29" s="4"/>
      <c r="F29" s="4"/>
      <c r="G29" s="6">
        <v>5</v>
      </c>
      <c r="H29" s="4" t="s">
        <v>2786</v>
      </c>
      <c r="I29" s="4" t="s">
        <v>2787</v>
      </c>
      <c r="J29" s="4"/>
      <c r="K29" s="6" t="s">
        <v>7</v>
      </c>
      <c r="L29" s="6"/>
      <c r="M29" s="4"/>
      <c r="N29" s="4"/>
    </row>
    <row r="30" spans="1:14" customHeight="1" ht="30">
      <c r="A30" s="8" t="s">
        <v>2776</v>
      </c>
      <c r="B30" s="4" t="s">
        <v>2722</v>
      </c>
      <c r="C30" s="4" t="s">
        <v>2777</v>
      </c>
      <c r="D30" s="6" t="s">
        <v>309</v>
      </c>
      <c r="E30" s="4"/>
      <c r="F30" s="4"/>
      <c r="G30" s="6">
        <v>6</v>
      </c>
      <c r="H30" s="4" t="s">
        <v>2788</v>
      </c>
      <c r="I30" s="4" t="s">
        <v>2789</v>
      </c>
      <c r="J30" s="4"/>
      <c r="K30" s="6" t="s">
        <v>7</v>
      </c>
      <c r="L30" s="6"/>
      <c r="M30" s="4"/>
      <c r="N30" s="4"/>
    </row>
    <row r="31" spans="1:14" customHeight="1" ht="30">
      <c r="A31" s="9" t="s">
        <v>2790</v>
      </c>
      <c r="B31" s="5" t="s">
        <v>2722</v>
      </c>
      <c r="C31" s="5" t="s">
        <v>2791</v>
      </c>
      <c r="D31" s="7" t="s">
        <v>309</v>
      </c>
      <c r="E31" s="5" t="s">
        <v>2792</v>
      </c>
      <c r="F31" s="5" t="s">
        <v>2793</v>
      </c>
      <c r="G31" s="7">
        <v>1</v>
      </c>
      <c r="H31" s="5" t="s">
        <v>2794</v>
      </c>
      <c r="I31" s="5" t="s">
        <v>2795</v>
      </c>
      <c r="J31" s="5"/>
      <c r="K31" s="7" t="s">
        <v>7</v>
      </c>
      <c r="L31" s="7"/>
      <c r="M31" s="5"/>
      <c r="N31" s="5"/>
    </row>
    <row r="32" spans="1:14" customHeight="1" ht="30">
      <c r="A32" s="9" t="s">
        <v>2790</v>
      </c>
      <c r="B32" s="5" t="s">
        <v>2722</v>
      </c>
      <c r="C32" s="5" t="s">
        <v>2791</v>
      </c>
      <c r="D32" s="7" t="s">
        <v>309</v>
      </c>
      <c r="E32" s="5"/>
      <c r="F32" s="5"/>
      <c r="G32" s="7">
        <v>2</v>
      </c>
      <c r="H32" s="5" t="s">
        <v>2796</v>
      </c>
      <c r="I32" s="5" t="s">
        <v>2797</v>
      </c>
      <c r="J32" s="5"/>
      <c r="K32" s="7" t="s">
        <v>7</v>
      </c>
      <c r="L32" s="7"/>
      <c r="M32" s="5"/>
      <c r="N32" s="5"/>
    </row>
    <row r="33" spans="1:14" customHeight="1" ht="30">
      <c r="A33" s="9" t="s">
        <v>2790</v>
      </c>
      <c r="B33" s="5" t="s">
        <v>2722</v>
      </c>
      <c r="C33" s="5" t="s">
        <v>2791</v>
      </c>
      <c r="D33" s="7" t="s">
        <v>309</v>
      </c>
      <c r="E33" s="5"/>
      <c r="F33" s="5"/>
      <c r="G33" s="7">
        <v>3</v>
      </c>
      <c r="H33" s="5" t="s">
        <v>2798</v>
      </c>
      <c r="I33" s="5" t="s">
        <v>2799</v>
      </c>
      <c r="J33" s="5"/>
      <c r="K33" s="7" t="s">
        <v>7</v>
      </c>
      <c r="L33" s="7"/>
      <c r="M33" s="5"/>
      <c r="N33" s="5"/>
    </row>
    <row r="34" spans="1:14" customHeight="1" ht="30">
      <c r="A34" s="9" t="s">
        <v>2790</v>
      </c>
      <c r="B34" s="5" t="s">
        <v>2722</v>
      </c>
      <c r="C34" s="5" t="s">
        <v>2791</v>
      </c>
      <c r="D34" s="7" t="s">
        <v>309</v>
      </c>
      <c r="E34" s="5"/>
      <c r="F34" s="5"/>
      <c r="G34" s="7">
        <v>4</v>
      </c>
      <c r="H34" s="5" t="s">
        <v>2800</v>
      </c>
      <c r="I34" s="5" t="s">
        <v>2801</v>
      </c>
      <c r="J34" s="5"/>
      <c r="K34" s="7" t="s">
        <v>7</v>
      </c>
      <c r="L34" s="7"/>
      <c r="M34" s="5"/>
      <c r="N34" s="5"/>
    </row>
    <row r="35" spans="1:14" customHeight="1" ht="40">
      <c r="A35" s="9" t="s">
        <v>2790</v>
      </c>
      <c r="B35" s="5" t="s">
        <v>2722</v>
      </c>
      <c r="C35" s="5" t="s">
        <v>2791</v>
      </c>
      <c r="D35" s="7" t="s">
        <v>309</v>
      </c>
      <c r="E35" s="5"/>
      <c r="F35" s="5"/>
      <c r="G35" s="7">
        <v>5</v>
      </c>
      <c r="H35" s="5" t="s">
        <v>2802</v>
      </c>
      <c r="I35" s="5" t="s">
        <v>2803</v>
      </c>
      <c r="J35" s="5"/>
      <c r="K35" s="7" t="s">
        <v>7</v>
      </c>
      <c r="L35" s="7"/>
      <c r="M35" s="5"/>
      <c r="N35" s="5"/>
    </row>
    <row r="36" spans="1:14" customHeight="1" ht="30">
      <c r="A36" s="8" t="s">
        <v>2804</v>
      </c>
      <c r="B36" s="4" t="s">
        <v>2722</v>
      </c>
      <c r="C36" s="4" t="s">
        <v>2805</v>
      </c>
      <c r="D36" s="6" t="s">
        <v>309</v>
      </c>
      <c r="E36" s="4" t="s">
        <v>2806</v>
      </c>
      <c r="F36" s="4" t="s">
        <v>2807</v>
      </c>
      <c r="G36" s="6">
        <v>1</v>
      </c>
      <c r="H36" s="4" t="s">
        <v>2808</v>
      </c>
      <c r="I36" s="4" t="s">
        <v>2809</v>
      </c>
      <c r="J36" s="4"/>
      <c r="K36" s="6" t="s">
        <v>7</v>
      </c>
      <c r="L36" s="6"/>
      <c r="M36" s="4"/>
      <c r="N36" s="4"/>
    </row>
    <row r="37" spans="1:14" customHeight="1" ht="30">
      <c r="A37" s="8" t="s">
        <v>2804</v>
      </c>
      <c r="B37" s="4" t="s">
        <v>2722</v>
      </c>
      <c r="C37" s="4" t="s">
        <v>2805</v>
      </c>
      <c r="D37" s="6" t="s">
        <v>309</v>
      </c>
      <c r="E37" s="4"/>
      <c r="F37" s="4"/>
      <c r="G37" s="6">
        <v>2</v>
      </c>
      <c r="H37" s="4" t="s">
        <v>2810</v>
      </c>
      <c r="I37" s="4" t="s">
        <v>1933</v>
      </c>
      <c r="J37" s="4"/>
      <c r="K37" s="6" t="s">
        <v>7</v>
      </c>
      <c r="L37" s="6"/>
      <c r="M37" s="4"/>
      <c r="N37" s="4"/>
    </row>
    <row r="38" spans="1:14" customHeight="1" ht="30">
      <c r="A38" s="8" t="s">
        <v>2804</v>
      </c>
      <c r="B38" s="4" t="s">
        <v>2722</v>
      </c>
      <c r="C38" s="4" t="s">
        <v>2805</v>
      </c>
      <c r="D38" s="6" t="s">
        <v>309</v>
      </c>
      <c r="E38" s="4"/>
      <c r="F38" s="4"/>
      <c r="G38" s="6">
        <v>3</v>
      </c>
      <c r="H38" s="4" t="s">
        <v>2811</v>
      </c>
      <c r="I38" s="4" t="s">
        <v>1933</v>
      </c>
      <c r="J38" s="4"/>
      <c r="K38" s="6" t="s">
        <v>7</v>
      </c>
      <c r="L38" s="6"/>
      <c r="M38" s="4"/>
      <c r="N38" s="4"/>
    </row>
    <row r="39" spans="1:14" customHeight="1" ht="30">
      <c r="A39" s="8" t="s">
        <v>2804</v>
      </c>
      <c r="B39" s="4" t="s">
        <v>2722</v>
      </c>
      <c r="C39" s="4" t="s">
        <v>2805</v>
      </c>
      <c r="D39" s="6" t="s">
        <v>309</v>
      </c>
      <c r="E39" s="4"/>
      <c r="F39" s="4"/>
      <c r="G39" s="6">
        <v>4</v>
      </c>
      <c r="H39" s="4" t="s">
        <v>2812</v>
      </c>
      <c r="I39" s="4" t="s">
        <v>2813</v>
      </c>
      <c r="J39" s="4"/>
      <c r="K39" s="6" t="s">
        <v>7</v>
      </c>
      <c r="L39" s="6"/>
      <c r="M39" s="4"/>
      <c r="N39" s="4"/>
    </row>
    <row r="40" spans="1:14" customHeight="1" ht="30">
      <c r="A40" s="8" t="s">
        <v>2804</v>
      </c>
      <c r="B40" s="4" t="s">
        <v>2722</v>
      </c>
      <c r="C40" s="4" t="s">
        <v>2805</v>
      </c>
      <c r="D40" s="6" t="s">
        <v>309</v>
      </c>
      <c r="E40" s="4"/>
      <c r="F40" s="4"/>
      <c r="G40" s="6">
        <v>5</v>
      </c>
      <c r="H40" s="4" t="s">
        <v>2814</v>
      </c>
      <c r="I40" s="4" t="s">
        <v>2815</v>
      </c>
      <c r="J40" s="4"/>
      <c r="K40" s="6" t="s">
        <v>7</v>
      </c>
      <c r="L40" s="6"/>
      <c r="M40" s="4"/>
      <c r="N40" s="4"/>
    </row>
    <row r="41" spans="1:14" customHeight="1" ht="40">
      <c r="A41" s="8" t="s">
        <v>2804</v>
      </c>
      <c r="B41" s="4" t="s">
        <v>2722</v>
      </c>
      <c r="C41" s="4" t="s">
        <v>2805</v>
      </c>
      <c r="D41" s="6" t="s">
        <v>309</v>
      </c>
      <c r="E41" s="4"/>
      <c r="F41" s="4"/>
      <c r="G41" s="6">
        <v>6</v>
      </c>
      <c r="H41" s="4" t="s">
        <v>2816</v>
      </c>
      <c r="I41" s="4" t="s">
        <v>2817</v>
      </c>
      <c r="J41" s="4"/>
      <c r="K41" s="6" t="s">
        <v>7</v>
      </c>
      <c r="L41" s="6"/>
      <c r="M41" s="4"/>
      <c r="N41" s="4"/>
    </row>
    <row r="42" spans="1:14" customHeight="1" ht="30">
      <c r="A42" s="9" t="s">
        <v>2818</v>
      </c>
      <c r="B42" s="5" t="s">
        <v>2722</v>
      </c>
      <c r="C42" s="5" t="s">
        <v>2819</v>
      </c>
      <c r="D42" s="7" t="s">
        <v>441</v>
      </c>
      <c r="E42" s="5" t="s">
        <v>2820</v>
      </c>
      <c r="F42" s="5" t="s">
        <v>2821</v>
      </c>
      <c r="G42" s="7">
        <v>1</v>
      </c>
      <c r="H42" s="5" t="s">
        <v>745</v>
      </c>
      <c r="I42" s="5" t="s">
        <v>2742</v>
      </c>
      <c r="J42" s="5"/>
      <c r="K42" s="7" t="s">
        <v>7</v>
      </c>
      <c r="L42" s="7"/>
      <c r="M42" s="5"/>
      <c r="N42" s="5"/>
    </row>
    <row r="43" spans="1:14" customHeight="1" ht="53">
      <c r="A43" s="9" t="s">
        <v>2818</v>
      </c>
      <c r="B43" s="5" t="s">
        <v>2722</v>
      </c>
      <c r="C43" s="5" t="s">
        <v>2819</v>
      </c>
      <c r="D43" s="7" t="s">
        <v>441</v>
      </c>
      <c r="E43" s="5"/>
      <c r="F43" s="5"/>
      <c r="G43" s="7">
        <v>2</v>
      </c>
      <c r="H43" s="5" t="s">
        <v>595</v>
      </c>
      <c r="I43" s="5" t="s">
        <v>2822</v>
      </c>
      <c r="J43" s="5"/>
      <c r="K43" s="7" t="s">
        <v>7</v>
      </c>
      <c r="L43" s="7"/>
      <c r="M43" s="5"/>
      <c r="N43" s="5"/>
    </row>
    <row r="44" spans="1:14" customHeight="1" ht="30">
      <c r="A44" s="9" t="s">
        <v>2818</v>
      </c>
      <c r="B44" s="5" t="s">
        <v>2722</v>
      </c>
      <c r="C44" s="5" t="s">
        <v>2819</v>
      </c>
      <c r="D44" s="7" t="s">
        <v>441</v>
      </c>
      <c r="E44" s="5"/>
      <c r="F44" s="5"/>
      <c r="G44" s="7">
        <v>3</v>
      </c>
      <c r="H44" s="5" t="s">
        <v>748</v>
      </c>
      <c r="I44" s="5" t="s">
        <v>2823</v>
      </c>
      <c r="J44" s="5"/>
      <c r="K44" s="7" t="s">
        <v>7</v>
      </c>
      <c r="L44" s="7"/>
      <c r="M44" s="5"/>
      <c r="N44" s="5"/>
    </row>
    <row r="45" spans="1:14" customHeight="1" ht="30">
      <c r="A45" s="9" t="s">
        <v>2818</v>
      </c>
      <c r="B45" s="5" t="s">
        <v>2722</v>
      </c>
      <c r="C45" s="5" t="s">
        <v>2819</v>
      </c>
      <c r="D45" s="7" t="s">
        <v>441</v>
      </c>
      <c r="E45" s="5"/>
      <c r="F45" s="5"/>
      <c r="G45" s="7">
        <v>4</v>
      </c>
      <c r="H45" s="5" t="s">
        <v>2824</v>
      </c>
      <c r="I45" s="5" t="s">
        <v>2825</v>
      </c>
      <c r="J45" s="5"/>
      <c r="K45" s="7" t="s">
        <v>7</v>
      </c>
      <c r="L45" s="7"/>
      <c r="M45" s="5"/>
      <c r="N45" s="5"/>
    </row>
    <row r="46" spans="1:14" customHeight="1" ht="30">
      <c r="A46" s="9" t="s">
        <v>2818</v>
      </c>
      <c r="B46" s="5" t="s">
        <v>2722</v>
      </c>
      <c r="C46" s="5" t="s">
        <v>2819</v>
      </c>
      <c r="D46" s="7" t="s">
        <v>441</v>
      </c>
      <c r="E46" s="5"/>
      <c r="F46" s="5"/>
      <c r="G46" s="7">
        <v>5</v>
      </c>
      <c r="H46" s="5" t="s">
        <v>1246</v>
      </c>
      <c r="I46" s="5" t="s">
        <v>2765</v>
      </c>
      <c r="J46" s="5"/>
      <c r="K46" s="7" t="s">
        <v>7</v>
      </c>
      <c r="L46" s="7"/>
      <c r="M46" s="5"/>
      <c r="N46" s="5"/>
    </row>
    <row r="47" spans="1:14" customHeight="1" ht="30">
      <c r="A47" s="9" t="s">
        <v>2818</v>
      </c>
      <c r="B47" s="5" t="s">
        <v>2722</v>
      </c>
      <c r="C47" s="5" t="s">
        <v>2819</v>
      </c>
      <c r="D47" s="7" t="s">
        <v>441</v>
      </c>
      <c r="E47" s="5"/>
      <c r="F47" s="5"/>
      <c r="G47" s="7">
        <v>6</v>
      </c>
      <c r="H47" s="5" t="s">
        <v>2826</v>
      </c>
      <c r="I47" s="5" t="s">
        <v>2827</v>
      </c>
      <c r="J47" s="5"/>
      <c r="K47" s="7" t="s">
        <v>7</v>
      </c>
      <c r="L47" s="7"/>
      <c r="M47" s="5"/>
      <c r="N47" s="5"/>
    </row>
  </sheetData>
  <autoFilter ref="A3:N47"/>
  <mergeCells>
    <mergeCell ref="A1:N1"/>
    <mergeCell ref="A2:N2"/>
  </mergeCells>
  <conditionalFormatting sqref="K4:K47">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47">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47">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47">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47">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80"/>
  <sheetViews>
    <sheetView tabSelected="0" workbookViewId="0" showGridLines="true" showRowColHeaders="1">
      <pane xSplit="2" ySplit="3" topLeftCell="C4" activePane="bottomRight" state="frozen"/>
      <selection pane="topRight"/>
      <selection pane="bottomLeft"/>
      <selection pane="bottomRight" activeCell="L4" sqref="L4:L80"/>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2828</v>
      </c>
    </row>
    <row r="2" spans="1:14" customHeight="1" ht="30">
      <c r="A2" s="2" t="s">
        <v>2829</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2830</v>
      </c>
      <c r="B4" s="4" t="s">
        <v>2828</v>
      </c>
      <c r="C4" s="4" t="s">
        <v>2831</v>
      </c>
      <c r="D4" s="6" t="s">
        <v>322</v>
      </c>
      <c r="E4" s="4" t="s">
        <v>2832</v>
      </c>
      <c r="F4" s="4" t="s">
        <v>2833</v>
      </c>
      <c r="G4" s="6">
        <v>1</v>
      </c>
      <c r="H4" s="4" t="s">
        <v>2834</v>
      </c>
      <c r="I4" s="4" t="s">
        <v>2835</v>
      </c>
      <c r="J4" s="4"/>
      <c r="K4" s="6" t="s">
        <v>7</v>
      </c>
      <c r="L4" s="6"/>
      <c r="M4" s="4"/>
      <c r="N4" s="4"/>
    </row>
    <row r="5" spans="1:14" customHeight="1" ht="30">
      <c r="A5" s="8" t="s">
        <v>2830</v>
      </c>
      <c r="B5" s="4" t="s">
        <v>2828</v>
      </c>
      <c r="C5" s="4" t="s">
        <v>2831</v>
      </c>
      <c r="D5" s="6" t="s">
        <v>322</v>
      </c>
      <c r="E5" s="4"/>
      <c r="F5" s="4"/>
      <c r="G5" s="6">
        <v>2</v>
      </c>
      <c r="H5" s="4" t="s">
        <v>2836</v>
      </c>
      <c r="I5" s="4" t="s">
        <v>2837</v>
      </c>
      <c r="J5" s="4"/>
      <c r="K5" s="6" t="s">
        <v>7</v>
      </c>
      <c r="L5" s="6"/>
      <c r="M5" s="4"/>
      <c r="N5" s="4"/>
    </row>
    <row r="6" spans="1:14" customHeight="1" ht="30">
      <c r="A6" s="8" t="s">
        <v>2830</v>
      </c>
      <c r="B6" s="4" t="s">
        <v>2828</v>
      </c>
      <c r="C6" s="4" t="s">
        <v>2831</v>
      </c>
      <c r="D6" s="6" t="s">
        <v>322</v>
      </c>
      <c r="E6" s="4"/>
      <c r="F6" s="4"/>
      <c r="G6" s="6">
        <v>3</v>
      </c>
      <c r="H6" s="4" t="s">
        <v>792</v>
      </c>
      <c r="I6" s="4" t="s">
        <v>1071</v>
      </c>
      <c r="J6" s="4"/>
      <c r="K6" s="6" t="s">
        <v>7</v>
      </c>
      <c r="L6" s="6"/>
      <c r="M6" s="4"/>
      <c r="N6" s="4"/>
    </row>
    <row r="7" spans="1:14" customHeight="1" ht="30">
      <c r="A7" s="8" t="s">
        <v>2830</v>
      </c>
      <c r="B7" s="4" t="s">
        <v>2828</v>
      </c>
      <c r="C7" s="4" t="s">
        <v>2831</v>
      </c>
      <c r="D7" s="6" t="s">
        <v>322</v>
      </c>
      <c r="E7" s="4"/>
      <c r="F7" s="4"/>
      <c r="G7" s="6">
        <v>4</v>
      </c>
      <c r="H7" s="4" t="s">
        <v>2731</v>
      </c>
      <c r="I7" s="4" t="s">
        <v>2838</v>
      </c>
      <c r="J7" s="4"/>
      <c r="K7" s="6" t="s">
        <v>7</v>
      </c>
      <c r="L7" s="6"/>
      <c r="M7" s="4"/>
      <c r="N7" s="4"/>
    </row>
    <row r="8" spans="1:14" customHeight="1" ht="40">
      <c r="A8" s="8" t="s">
        <v>2830</v>
      </c>
      <c r="B8" s="4" t="s">
        <v>2828</v>
      </c>
      <c r="C8" s="4" t="s">
        <v>2831</v>
      </c>
      <c r="D8" s="6" t="s">
        <v>322</v>
      </c>
      <c r="E8" s="4"/>
      <c r="F8" s="4"/>
      <c r="G8" s="6">
        <v>5</v>
      </c>
      <c r="H8" s="4" t="s">
        <v>2839</v>
      </c>
      <c r="I8" s="4" t="s">
        <v>2840</v>
      </c>
      <c r="J8" s="4"/>
      <c r="K8" s="6" t="s">
        <v>7</v>
      </c>
      <c r="L8" s="6"/>
      <c r="M8" s="4"/>
      <c r="N8" s="4"/>
    </row>
    <row r="9" spans="1:14" customHeight="1" ht="30">
      <c r="A9" s="8" t="s">
        <v>2830</v>
      </c>
      <c r="B9" s="4" t="s">
        <v>2828</v>
      </c>
      <c r="C9" s="4" t="s">
        <v>2831</v>
      </c>
      <c r="D9" s="6" t="s">
        <v>322</v>
      </c>
      <c r="E9" s="4"/>
      <c r="F9" s="4"/>
      <c r="G9" s="6">
        <v>6</v>
      </c>
      <c r="H9" s="4" t="s">
        <v>2841</v>
      </c>
      <c r="I9" s="4" t="s">
        <v>2842</v>
      </c>
      <c r="J9" s="4"/>
      <c r="K9" s="6" t="s">
        <v>7</v>
      </c>
      <c r="L9" s="6"/>
      <c r="M9" s="4"/>
      <c r="N9" s="4"/>
    </row>
    <row r="10" spans="1:14" customHeight="1" ht="40">
      <c r="A10" s="8" t="s">
        <v>2830</v>
      </c>
      <c r="B10" s="4" t="s">
        <v>2828</v>
      </c>
      <c r="C10" s="4" t="s">
        <v>2831</v>
      </c>
      <c r="D10" s="6" t="s">
        <v>322</v>
      </c>
      <c r="E10" s="4"/>
      <c r="F10" s="4"/>
      <c r="G10" s="6">
        <v>7</v>
      </c>
      <c r="H10" s="4" t="s">
        <v>2843</v>
      </c>
      <c r="I10" s="4" t="s">
        <v>2844</v>
      </c>
      <c r="J10" s="4"/>
      <c r="K10" s="6" t="s">
        <v>7</v>
      </c>
      <c r="L10" s="6"/>
      <c r="M10" s="4"/>
      <c r="N10" s="4"/>
    </row>
    <row r="11" spans="1:14" customHeight="1" ht="40">
      <c r="A11" s="8" t="s">
        <v>2830</v>
      </c>
      <c r="B11" s="4" t="s">
        <v>2828</v>
      </c>
      <c r="C11" s="4" t="s">
        <v>2831</v>
      </c>
      <c r="D11" s="6" t="s">
        <v>322</v>
      </c>
      <c r="E11" s="4"/>
      <c r="F11" s="4"/>
      <c r="G11" s="6">
        <v>8</v>
      </c>
      <c r="H11" s="4" t="s">
        <v>2845</v>
      </c>
      <c r="I11" s="4" t="s">
        <v>2846</v>
      </c>
      <c r="J11" s="4"/>
      <c r="K11" s="6" t="s">
        <v>7</v>
      </c>
      <c r="L11" s="6"/>
      <c r="M11" s="4"/>
      <c r="N11" s="4"/>
    </row>
    <row r="12" spans="1:14" customHeight="1" ht="30">
      <c r="A12" s="8" t="s">
        <v>2830</v>
      </c>
      <c r="B12" s="4" t="s">
        <v>2828</v>
      </c>
      <c r="C12" s="4" t="s">
        <v>2831</v>
      </c>
      <c r="D12" s="6" t="s">
        <v>322</v>
      </c>
      <c r="E12" s="4"/>
      <c r="F12" s="4"/>
      <c r="G12" s="6">
        <v>9</v>
      </c>
      <c r="H12" s="4" t="s">
        <v>1104</v>
      </c>
      <c r="I12" s="4" t="s">
        <v>1607</v>
      </c>
      <c r="J12" s="4"/>
      <c r="K12" s="6" t="s">
        <v>7</v>
      </c>
      <c r="L12" s="6"/>
      <c r="M12" s="4"/>
      <c r="N12" s="4"/>
    </row>
    <row r="13" spans="1:14" customHeight="1" ht="30">
      <c r="A13" s="8" t="s">
        <v>2830</v>
      </c>
      <c r="B13" s="4" t="s">
        <v>2828</v>
      </c>
      <c r="C13" s="4" t="s">
        <v>2831</v>
      </c>
      <c r="D13" s="6" t="s">
        <v>322</v>
      </c>
      <c r="E13" s="4"/>
      <c r="F13" s="4"/>
      <c r="G13" s="6">
        <v>10</v>
      </c>
      <c r="H13" s="4" t="s">
        <v>2759</v>
      </c>
      <c r="I13" s="4" t="s">
        <v>2847</v>
      </c>
      <c r="J13" s="4"/>
      <c r="K13" s="6" t="s">
        <v>7</v>
      </c>
      <c r="L13" s="6"/>
      <c r="M13" s="4"/>
      <c r="N13" s="4"/>
    </row>
    <row r="14" spans="1:14" customHeight="1" ht="40">
      <c r="A14" s="8" t="s">
        <v>2830</v>
      </c>
      <c r="B14" s="4" t="s">
        <v>2828</v>
      </c>
      <c r="C14" s="4" t="s">
        <v>2831</v>
      </c>
      <c r="D14" s="6" t="s">
        <v>322</v>
      </c>
      <c r="E14" s="4"/>
      <c r="F14" s="4"/>
      <c r="G14" s="6">
        <v>11</v>
      </c>
      <c r="H14" s="4" t="s">
        <v>2848</v>
      </c>
      <c r="I14" s="4" t="s">
        <v>2849</v>
      </c>
      <c r="J14" s="4"/>
      <c r="K14" s="6" t="s">
        <v>7</v>
      </c>
      <c r="L14" s="6"/>
      <c r="M14" s="4"/>
      <c r="N14" s="4"/>
    </row>
    <row r="15" spans="1:14" customHeight="1" ht="30">
      <c r="A15" s="8" t="s">
        <v>2830</v>
      </c>
      <c r="B15" s="4" t="s">
        <v>2828</v>
      </c>
      <c r="C15" s="4" t="s">
        <v>2831</v>
      </c>
      <c r="D15" s="6" t="s">
        <v>322</v>
      </c>
      <c r="E15" s="4"/>
      <c r="F15" s="4"/>
      <c r="G15" s="6">
        <v>12</v>
      </c>
      <c r="H15" s="4" t="s">
        <v>2850</v>
      </c>
      <c r="I15" s="4" t="s">
        <v>2851</v>
      </c>
      <c r="J15" s="4"/>
      <c r="K15" s="6" t="s">
        <v>7</v>
      </c>
      <c r="L15" s="6"/>
      <c r="M15" s="4"/>
      <c r="N15" s="4"/>
    </row>
    <row r="16" spans="1:14" customHeight="1" ht="30">
      <c r="A16" s="8" t="s">
        <v>2830</v>
      </c>
      <c r="B16" s="4" t="s">
        <v>2828</v>
      </c>
      <c r="C16" s="4" t="s">
        <v>2831</v>
      </c>
      <c r="D16" s="6" t="s">
        <v>322</v>
      </c>
      <c r="E16" s="4"/>
      <c r="F16" s="4"/>
      <c r="G16" s="6">
        <v>13</v>
      </c>
      <c r="H16" s="4" t="s">
        <v>2852</v>
      </c>
      <c r="I16" s="4" t="s">
        <v>350</v>
      </c>
      <c r="J16" s="4"/>
      <c r="K16" s="6" t="s">
        <v>7</v>
      </c>
      <c r="L16" s="6"/>
      <c r="M16" s="4"/>
      <c r="N16" s="4"/>
    </row>
    <row r="17" spans="1:14" customHeight="1" ht="40">
      <c r="A17" s="8" t="s">
        <v>2830</v>
      </c>
      <c r="B17" s="4" t="s">
        <v>2828</v>
      </c>
      <c r="C17" s="4" t="s">
        <v>2831</v>
      </c>
      <c r="D17" s="6" t="s">
        <v>322</v>
      </c>
      <c r="E17" s="4"/>
      <c r="F17" s="4"/>
      <c r="G17" s="6">
        <v>14</v>
      </c>
      <c r="H17" s="4" t="s">
        <v>2853</v>
      </c>
      <c r="I17" s="4" t="s">
        <v>2854</v>
      </c>
      <c r="J17" s="4"/>
      <c r="K17" s="6" t="s">
        <v>7</v>
      </c>
      <c r="L17" s="6"/>
      <c r="M17" s="4"/>
      <c r="N17" s="4"/>
    </row>
    <row r="18" spans="1:14" customHeight="1" ht="40">
      <c r="A18" s="8" t="s">
        <v>2830</v>
      </c>
      <c r="B18" s="4" t="s">
        <v>2828</v>
      </c>
      <c r="C18" s="4" t="s">
        <v>2831</v>
      </c>
      <c r="D18" s="6" t="s">
        <v>322</v>
      </c>
      <c r="E18" s="4"/>
      <c r="F18" s="4"/>
      <c r="G18" s="6">
        <v>15</v>
      </c>
      <c r="H18" s="4" t="s">
        <v>2855</v>
      </c>
      <c r="I18" s="4" t="s">
        <v>2856</v>
      </c>
      <c r="J18" s="4"/>
      <c r="K18" s="6" t="s">
        <v>7</v>
      </c>
      <c r="L18" s="6"/>
      <c r="M18" s="4"/>
      <c r="N18" s="4"/>
    </row>
    <row r="19" spans="1:14" customHeight="1" ht="30">
      <c r="A19" s="8" t="s">
        <v>2830</v>
      </c>
      <c r="B19" s="4" t="s">
        <v>2828</v>
      </c>
      <c r="C19" s="4" t="s">
        <v>2831</v>
      </c>
      <c r="D19" s="6" t="s">
        <v>322</v>
      </c>
      <c r="E19" s="4"/>
      <c r="F19" s="4"/>
      <c r="G19" s="6">
        <v>16</v>
      </c>
      <c r="H19" s="4" t="s">
        <v>1403</v>
      </c>
      <c r="I19" s="4" t="s">
        <v>2857</v>
      </c>
      <c r="J19" s="4"/>
      <c r="K19" s="6" t="s">
        <v>7</v>
      </c>
      <c r="L19" s="6"/>
      <c r="M19" s="4"/>
      <c r="N19" s="4"/>
    </row>
    <row r="20" spans="1:14" customHeight="1" ht="30">
      <c r="A20" s="8" t="s">
        <v>2830</v>
      </c>
      <c r="B20" s="4" t="s">
        <v>2828</v>
      </c>
      <c r="C20" s="4" t="s">
        <v>2831</v>
      </c>
      <c r="D20" s="6" t="s">
        <v>322</v>
      </c>
      <c r="E20" s="4"/>
      <c r="F20" s="4"/>
      <c r="G20" s="6">
        <v>17</v>
      </c>
      <c r="H20" s="4" t="s">
        <v>1405</v>
      </c>
      <c r="I20" s="4" t="s">
        <v>2858</v>
      </c>
      <c r="J20" s="4"/>
      <c r="K20" s="6" t="s">
        <v>7</v>
      </c>
      <c r="L20" s="6"/>
      <c r="M20" s="4"/>
      <c r="N20" s="4"/>
    </row>
    <row r="21" spans="1:14" customHeight="1" ht="30">
      <c r="A21" s="8" t="s">
        <v>2830</v>
      </c>
      <c r="B21" s="4" t="s">
        <v>2828</v>
      </c>
      <c r="C21" s="4" t="s">
        <v>2831</v>
      </c>
      <c r="D21" s="6" t="s">
        <v>322</v>
      </c>
      <c r="E21" s="4"/>
      <c r="F21" s="4"/>
      <c r="G21" s="6">
        <v>18</v>
      </c>
      <c r="H21" s="4" t="s">
        <v>2859</v>
      </c>
      <c r="I21" s="4" t="s">
        <v>2860</v>
      </c>
      <c r="J21" s="4"/>
      <c r="K21" s="6" t="s">
        <v>7</v>
      </c>
      <c r="L21" s="6"/>
      <c r="M21" s="4"/>
      <c r="N21" s="4"/>
    </row>
    <row r="22" spans="1:14" customHeight="1" ht="40">
      <c r="A22" s="9" t="s">
        <v>2861</v>
      </c>
      <c r="B22" s="5" t="s">
        <v>2828</v>
      </c>
      <c r="C22" s="5" t="s">
        <v>2862</v>
      </c>
      <c r="D22" s="7" t="s">
        <v>322</v>
      </c>
      <c r="E22" s="5" t="s">
        <v>2863</v>
      </c>
      <c r="F22" s="5" t="s">
        <v>2864</v>
      </c>
      <c r="G22" s="7">
        <v>1</v>
      </c>
      <c r="H22" s="5" t="s">
        <v>2865</v>
      </c>
      <c r="I22" s="5" t="s">
        <v>1071</v>
      </c>
      <c r="J22" s="5"/>
      <c r="K22" s="7" t="s">
        <v>7</v>
      </c>
      <c r="L22" s="7"/>
      <c r="M22" s="5"/>
      <c r="N22" s="5"/>
    </row>
    <row r="23" spans="1:14" customHeight="1" ht="30">
      <c r="A23" s="9" t="s">
        <v>2861</v>
      </c>
      <c r="B23" s="5" t="s">
        <v>2828</v>
      </c>
      <c r="C23" s="5" t="s">
        <v>2862</v>
      </c>
      <c r="D23" s="7" t="s">
        <v>322</v>
      </c>
      <c r="E23" s="5"/>
      <c r="F23" s="5"/>
      <c r="G23" s="7">
        <v>2</v>
      </c>
      <c r="H23" s="5" t="s">
        <v>2866</v>
      </c>
      <c r="I23" s="5" t="s">
        <v>2867</v>
      </c>
      <c r="J23" s="5"/>
      <c r="K23" s="7" t="s">
        <v>7</v>
      </c>
      <c r="L23" s="7"/>
      <c r="M23" s="5"/>
      <c r="N23" s="5"/>
    </row>
    <row r="24" spans="1:14" customHeight="1" ht="30">
      <c r="A24" s="9" t="s">
        <v>2861</v>
      </c>
      <c r="B24" s="5" t="s">
        <v>2828</v>
      </c>
      <c r="C24" s="5" t="s">
        <v>2862</v>
      </c>
      <c r="D24" s="7" t="s">
        <v>322</v>
      </c>
      <c r="E24" s="5"/>
      <c r="F24" s="5"/>
      <c r="G24" s="7">
        <v>3</v>
      </c>
      <c r="H24" s="5" t="s">
        <v>2225</v>
      </c>
      <c r="I24" s="5" t="s">
        <v>2868</v>
      </c>
      <c r="J24" s="5"/>
      <c r="K24" s="7" t="s">
        <v>7</v>
      </c>
      <c r="L24" s="7"/>
      <c r="M24" s="5"/>
      <c r="N24" s="5"/>
    </row>
    <row r="25" spans="1:14" customHeight="1" ht="30">
      <c r="A25" s="9" t="s">
        <v>2861</v>
      </c>
      <c r="B25" s="5" t="s">
        <v>2828</v>
      </c>
      <c r="C25" s="5" t="s">
        <v>2862</v>
      </c>
      <c r="D25" s="7" t="s">
        <v>322</v>
      </c>
      <c r="E25" s="5"/>
      <c r="F25" s="5"/>
      <c r="G25" s="7">
        <v>4</v>
      </c>
      <c r="H25" s="5" t="s">
        <v>2869</v>
      </c>
      <c r="I25" s="5" t="s">
        <v>2870</v>
      </c>
      <c r="J25" s="5"/>
      <c r="K25" s="7" t="s">
        <v>7</v>
      </c>
      <c r="L25" s="7"/>
      <c r="M25" s="5"/>
      <c r="N25" s="5"/>
    </row>
    <row r="26" spans="1:14" customHeight="1" ht="40">
      <c r="A26" s="9" t="s">
        <v>2861</v>
      </c>
      <c r="B26" s="5" t="s">
        <v>2828</v>
      </c>
      <c r="C26" s="5" t="s">
        <v>2862</v>
      </c>
      <c r="D26" s="7" t="s">
        <v>322</v>
      </c>
      <c r="E26" s="5"/>
      <c r="F26" s="5"/>
      <c r="G26" s="7">
        <v>5</v>
      </c>
      <c r="H26" s="5" t="s">
        <v>2871</v>
      </c>
      <c r="I26" s="5" t="s">
        <v>1077</v>
      </c>
      <c r="J26" s="5"/>
      <c r="K26" s="7" t="s">
        <v>7</v>
      </c>
      <c r="L26" s="7"/>
      <c r="M26" s="5"/>
      <c r="N26" s="5"/>
    </row>
    <row r="27" spans="1:14" customHeight="1" ht="40">
      <c r="A27" s="9" t="s">
        <v>2861</v>
      </c>
      <c r="B27" s="5" t="s">
        <v>2828</v>
      </c>
      <c r="C27" s="5" t="s">
        <v>2862</v>
      </c>
      <c r="D27" s="7" t="s">
        <v>322</v>
      </c>
      <c r="E27" s="5"/>
      <c r="F27" s="5"/>
      <c r="G27" s="7">
        <v>6</v>
      </c>
      <c r="H27" s="5" t="s">
        <v>2872</v>
      </c>
      <c r="I27" s="5" t="s">
        <v>2873</v>
      </c>
      <c r="J27" s="5"/>
      <c r="K27" s="7" t="s">
        <v>7</v>
      </c>
      <c r="L27" s="7"/>
      <c r="M27" s="5"/>
      <c r="N27" s="5"/>
    </row>
    <row r="28" spans="1:14" customHeight="1" ht="30">
      <c r="A28" s="9" t="s">
        <v>2861</v>
      </c>
      <c r="B28" s="5" t="s">
        <v>2828</v>
      </c>
      <c r="C28" s="5" t="s">
        <v>2862</v>
      </c>
      <c r="D28" s="7" t="s">
        <v>322</v>
      </c>
      <c r="E28" s="5"/>
      <c r="F28" s="5"/>
      <c r="G28" s="7">
        <v>7</v>
      </c>
      <c r="H28" s="5" t="s">
        <v>2874</v>
      </c>
      <c r="I28" s="5" t="s">
        <v>2875</v>
      </c>
      <c r="J28" s="5"/>
      <c r="K28" s="7" t="s">
        <v>7</v>
      </c>
      <c r="L28" s="7"/>
      <c r="M28" s="5"/>
      <c r="N28" s="5"/>
    </row>
    <row r="29" spans="1:14" customHeight="1" ht="40">
      <c r="A29" s="9" t="s">
        <v>2861</v>
      </c>
      <c r="B29" s="5" t="s">
        <v>2828</v>
      </c>
      <c r="C29" s="5" t="s">
        <v>2862</v>
      </c>
      <c r="D29" s="7" t="s">
        <v>322</v>
      </c>
      <c r="E29" s="5"/>
      <c r="F29" s="5"/>
      <c r="G29" s="7">
        <v>8</v>
      </c>
      <c r="H29" s="5" t="s">
        <v>1003</v>
      </c>
      <c r="I29" s="5" t="s">
        <v>2876</v>
      </c>
      <c r="J29" s="5"/>
      <c r="K29" s="7" t="s">
        <v>7</v>
      </c>
      <c r="L29" s="7"/>
      <c r="M29" s="5"/>
      <c r="N29" s="5"/>
    </row>
    <row r="30" spans="1:14" customHeight="1" ht="40">
      <c r="A30" s="9" t="s">
        <v>2861</v>
      </c>
      <c r="B30" s="5" t="s">
        <v>2828</v>
      </c>
      <c r="C30" s="5" t="s">
        <v>2862</v>
      </c>
      <c r="D30" s="7" t="s">
        <v>322</v>
      </c>
      <c r="E30" s="5"/>
      <c r="F30" s="5"/>
      <c r="G30" s="7">
        <v>9</v>
      </c>
      <c r="H30" s="5" t="s">
        <v>2877</v>
      </c>
      <c r="I30" s="5" t="s">
        <v>2878</v>
      </c>
      <c r="J30" s="5"/>
      <c r="K30" s="7" t="s">
        <v>7</v>
      </c>
      <c r="L30" s="7"/>
      <c r="M30" s="5"/>
      <c r="N30" s="5"/>
    </row>
    <row r="31" spans="1:14" customHeight="1" ht="30">
      <c r="A31" s="9" t="s">
        <v>2861</v>
      </c>
      <c r="B31" s="5" t="s">
        <v>2828</v>
      </c>
      <c r="C31" s="5" t="s">
        <v>2862</v>
      </c>
      <c r="D31" s="7" t="s">
        <v>322</v>
      </c>
      <c r="E31" s="5"/>
      <c r="F31" s="5"/>
      <c r="G31" s="7">
        <v>10</v>
      </c>
      <c r="H31" s="5" t="s">
        <v>1243</v>
      </c>
      <c r="I31" s="5" t="s">
        <v>2879</v>
      </c>
      <c r="J31" s="5"/>
      <c r="K31" s="7" t="s">
        <v>7</v>
      </c>
      <c r="L31" s="7"/>
      <c r="M31" s="5"/>
      <c r="N31" s="5"/>
    </row>
    <row r="32" spans="1:14" customHeight="1" ht="30">
      <c r="A32" s="9" t="s">
        <v>2861</v>
      </c>
      <c r="B32" s="5" t="s">
        <v>2828</v>
      </c>
      <c r="C32" s="5" t="s">
        <v>2862</v>
      </c>
      <c r="D32" s="7" t="s">
        <v>322</v>
      </c>
      <c r="E32" s="5"/>
      <c r="F32" s="5"/>
      <c r="G32" s="7">
        <v>11</v>
      </c>
      <c r="H32" s="5" t="s">
        <v>2880</v>
      </c>
      <c r="I32" s="5" t="s">
        <v>2881</v>
      </c>
      <c r="J32" s="5"/>
      <c r="K32" s="7" t="s">
        <v>7</v>
      </c>
      <c r="L32" s="7"/>
      <c r="M32" s="5"/>
      <c r="N32" s="5"/>
    </row>
    <row r="33" spans="1:14" customHeight="1" ht="30">
      <c r="A33" s="9" t="s">
        <v>2861</v>
      </c>
      <c r="B33" s="5" t="s">
        <v>2828</v>
      </c>
      <c r="C33" s="5" t="s">
        <v>2862</v>
      </c>
      <c r="D33" s="7" t="s">
        <v>322</v>
      </c>
      <c r="E33" s="5"/>
      <c r="F33" s="5"/>
      <c r="G33" s="7">
        <v>12</v>
      </c>
      <c r="H33" s="5" t="s">
        <v>1645</v>
      </c>
      <c r="I33" s="5" t="s">
        <v>2882</v>
      </c>
      <c r="J33" s="5"/>
      <c r="K33" s="7" t="s">
        <v>7</v>
      </c>
      <c r="L33" s="7"/>
      <c r="M33" s="5"/>
      <c r="N33" s="5"/>
    </row>
    <row r="34" spans="1:14" customHeight="1" ht="30">
      <c r="A34" s="9" t="s">
        <v>2861</v>
      </c>
      <c r="B34" s="5" t="s">
        <v>2828</v>
      </c>
      <c r="C34" s="5" t="s">
        <v>2862</v>
      </c>
      <c r="D34" s="7" t="s">
        <v>322</v>
      </c>
      <c r="E34" s="5"/>
      <c r="F34" s="5"/>
      <c r="G34" s="7">
        <v>13</v>
      </c>
      <c r="H34" s="5" t="s">
        <v>2883</v>
      </c>
      <c r="I34" s="5" t="s">
        <v>1404</v>
      </c>
      <c r="J34" s="5"/>
      <c r="K34" s="7" t="s">
        <v>7</v>
      </c>
      <c r="L34" s="7"/>
      <c r="M34" s="5"/>
      <c r="N34" s="5"/>
    </row>
    <row r="35" spans="1:14" customHeight="1" ht="30">
      <c r="A35" s="9" t="s">
        <v>2861</v>
      </c>
      <c r="B35" s="5" t="s">
        <v>2828</v>
      </c>
      <c r="C35" s="5" t="s">
        <v>2862</v>
      </c>
      <c r="D35" s="7" t="s">
        <v>322</v>
      </c>
      <c r="E35" s="5"/>
      <c r="F35" s="5"/>
      <c r="G35" s="7">
        <v>14</v>
      </c>
      <c r="H35" s="5" t="s">
        <v>1806</v>
      </c>
      <c r="I35" s="5" t="s">
        <v>2847</v>
      </c>
      <c r="J35" s="5"/>
      <c r="K35" s="7" t="s">
        <v>7</v>
      </c>
      <c r="L35" s="7"/>
      <c r="M35" s="5"/>
      <c r="N35" s="5"/>
    </row>
    <row r="36" spans="1:14" customHeight="1" ht="40">
      <c r="A36" s="9" t="s">
        <v>2861</v>
      </c>
      <c r="B36" s="5" t="s">
        <v>2828</v>
      </c>
      <c r="C36" s="5" t="s">
        <v>2862</v>
      </c>
      <c r="D36" s="7" t="s">
        <v>322</v>
      </c>
      <c r="E36" s="5"/>
      <c r="F36" s="5"/>
      <c r="G36" s="7">
        <v>15</v>
      </c>
      <c r="H36" s="5" t="s">
        <v>2884</v>
      </c>
      <c r="I36" s="5" t="s">
        <v>2885</v>
      </c>
      <c r="J36" s="5"/>
      <c r="K36" s="7" t="s">
        <v>7</v>
      </c>
      <c r="L36" s="7"/>
      <c r="M36" s="5"/>
      <c r="N36" s="5"/>
    </row>
    <row r="37" spans="1:14" customHeight="1" ht="40">
      <c r="A37" s="9" t="s">
        <v>2861</v>
      </c>
      <c r="B37" s="5" t="s">
        <v>2828</v>
      </c>
      <c r="C37" s="5" t="s">
        <v>2862</v>
      </c>
      <c r="D37" s="7" t="s">
        <v>322</v>
      </c>
      <c r="E37" s="5"/>
      <c r="F37" s="5"/>
      <c r="G37" s="7">
        <v>16</v>
      </c>
      <c r="H37" s="5" t="s">
        <v>2886</v>
      </c>
      <c r="I37" s="5" t="s">
        <v>2887</v>
      </c>
      <c r="J37" s="5"/>
      <c r="K37" s="7" t="s">
        <v>7</v>
      </c>
      <c r="L37" s="7"/>
      <c r="M37" s="5"/>
      <c r="N37" s="5"/>
    </row>
    <row r="38" spans="1:14" customHeight="1" ht="30">
      <c r="A38" s="9" t="s">
        <v>2861</v>
      </c>
      <c r="B38" s="5" t="s">
        <v>2828</v>
      </c>
      <c r="C38" s="5" t="s">
        <v>2862</v>
      </c>
      <c r="D38" s="7" t="s">
        <v>322</v>
      </c>
      <c r="E38" s="5"/>
      <c r="F38" s="5"/>
      <c r="G38" s="7">
        <v>17</v>
      </c>
      <c r="H38" s="5" t="s">
        <v>2764</v>
      </c>
      <c r="I38" s="5" t="s">
        <v>2888</v>
      </c>
      <c r="J38" s="5"/>
      <c r="K38" s="7" t="s">
        <v>7</v>
      </c>
      <c r="L38" s="7"/>
      <c r="M38" s="5"/>
      <c r="N38" s="5"/>
    </row>
    <row r="39" spans="1:14" customHeight="1" ht="40">
      <c r="A39" s="9" t="s">
        <v>2861</v>
      </c>
      <c r="B39" s="5" t="s">
        <v>2828</v>
      </c>
      <c r="C39" s="5" t="s">
        <v>2862</v>
      </c>
      <c r="D39" s="7" t="s">
        <v>322</v>
      </c>
      <c r="E39" s="5"/>
      <c r="F39" s="5"/>
      <c r="G39" s="7">
        <v>18</v>
      </c>
      <c r="H39" s="5" t="s">
        <v>2889</v>
      </c>
      <c r="I39" s="5" t="s">
        <v>2890</v>
      </c>
      <c r="J39" s="5"/>
      <c r="K39" s="7" t="s">
        <v>7</v>
      </c>
      <c r="L39" s="7"/>
      <c r="M39" s="5"/>
      <c r="N39" s="5"/>
    </row>
    <row r="40" spans="1:14" customHeight="1" ht="30">
      <c r="A40" s="9" t="s">
        <v>2861</v>
      </c>
      <c r="B40" s="5" t="s">
        <v>2828</v>
      </c>
      <c r="C40" s="5" t="s">
        <v>2862</v>
      </c>
      <c r="D40" s="7" t="s">
        <v>322</v>
      </c>
      <c r="E40" s="5"/>
      <c r="F40" s="5"/>
      <c r="G40" s="7">
        <v>19</v>
      </c>
      <c r="H40" s="5" t="s">
        <v>1405</v>
      </c>
      <c r="I40" s="5" t="s">
        <v>2891</v>
      </c>
      <c r="J40" s="5"/>
      <c r="K40" s="7" t="s">
        <v>7</v>
      </c>
      <c r="L40" s="7"/>
      <c r="M40" s="5"/>
      <c r="N40" s="5"/>
    </row>
    <row r="41" spans="1:14" customHeight="1" ht="30">
      <c r="A41" s="9" t="s">
        <v>2861</v>
      </c>
      <c r="B41" s="5" t="s">
        <v>2828</v>
      </c>
      <c r="C41" s="5" t="s">
        <v>2862</v>
      </c>
      <c r="D41" s="7" t="s">
        <v>322</v>
      </c>
      <c r="E41" s="5"/>
      <c r="F41" s="5"/>
      <c r="G41" s="7">
        <v>20</v>
      </c>
      <c r="H41" s="5" t="s">
        <v>2892</v>
      </c>
      <c r="I41" s="5" t="s">
        <v>2893</v>
      </c>
      <c r="J41" s="5"/>
      <c r="K41" s="7" t="s">
        <v>7</v>
      </c>
      <c r="L41" s="7"/>
      <c r="M41" s="5"/>
      <c r="N41" s="5"/>
    </row>
    <row r="42" spans="1:14" customHeight="1" ht="40">
      <c r="A42" s="8" t="s">
        <v>2894</v>
      </c>
      <c r="B42" s="4" t="s">
        <v>2828</v>
      </c>
      <c r="C42" s="4" t="s">
        <v>2895</v>
      </c>
      <c r="D42" s="6" t="s">
        <v>322</v>
      </c>
      <c r="E42" s="4" t="s">
        <v>2896</v>
      </c>
      <c r="F42" s="4" t="s">
        <v>2897</v>
      </c>
      <c r="G42" s="6">
        <v>1</v>
      </c>
      <c r="H42" s="4" t="s">
        <v>2865</v>
      </c>
      <c r="I42" s="4" t="s">
        <v>1071</v>
      </c>
      <c r="J42" s="4"/>
      <c r="K42" s="6" t="s">
        <v>7</v>
      </c>
      <c r="L42" s="6"/>
      <c r="M42" s="4"/>
      <c r="N42" s="4"/>
    </row>
    <row r="43" spans="1:14" customHeight="1" ht="30">
      <c r="A43" s="8" t="s">
        <v>2894</v>
      </c>
      <c r="B43" s="4" t="s">
        <v>2828</v>
      </c>
      <c r="C43" s="4" t="s">
        <v>2895</v>
      </c>
      <c r="D43" s="6" t="s">
        <v>322</v>
      </c>
      <c r="E43" s="4"/>
      <c r="F43" s="4"/>
      <c r="G43" s="6">
        <v>2</v>
      </c>
      <c r="H43" s="4" t="s">
        <v>2898</v>
      </c>
      <c r="I43" s="4" t="s">
        <v>2899</v>
      </c>
      <c r="J43" s="4"/>
      <c r="K43" s="6" t="s">
        <v>7</v>
      </c>
      <c r="L43" s="6"/>
      <c r="M43" s="4"/>
      <c r="N43" s="4"/>
    </row>
    <row r="44" spans="1:14" customHeight="1" ht="30">
      <c r="A44" s="8" t="s">
        <v>2894</v>
      </c>
      <c r="B44" s="4" t="s">
        <v>2828</v>
      </c>
      <c r="C44" s="4" t="s">
        <v>2895</v>
      </c>
      <c r="D44" s="6" t="s">
        <v>322</v>
      </c>
      <c r="E44" s="4"/>
      <c r="F44" s="4"/>
      <c r="G44" s="6">
        <v>3</v>
      </c>
      <c r="H44" s="4" t="s">
        <v>2900</v>
      </c>
      <c r="I44" s="4" t="s">
        <v>2901</v>
      </c>
      <c r="J44" s="4"/>
      <c r="K44" s="6" t="s">
        <v>7</v>
      </c>
      <c r="L44" s="6"/>
      <c r="M44" s="4"/>
      <c r="N44" s="4"/>
    </row>
    <row r="45" spans="1:14" customHeight="1" ht="40">
      <c r="A45" s="8" t="s">
        <v>2894</v>
      </c>
      <c r="B45" s="4" t="s">
        <v>2828</v>
      </c>
      <c r="C45" s="4" t="s">
        <v>2895</v>
      </c>
      <c r="D45" s="6" t="s">
        <v>322</v>
      </c>
      <c r="E45" s="4"/>
      <c r="F45" s="4"/>
      <c r="G45" s="6">
        <v>4</v>
      </c>
      <c r="H45" s="4" t="s">
        <v>2902</v>
      </c>
      <c r="I45" s="4" t="s">
        <v>2231</v>
      </c>
      <c r="J45" s="4"/>
      <c r="K45" s="6" t="s">
        <v>7</v>
      </c>
      <c r="L45" s="6"/>
      <c r="M45" s="4"/>
      <c r="N45" s="4"/>
    </row>
    <row r="46" spans="1:14" customHeight="1" ht="40">
      <c r="A46" s="8" t="s">
        <v>2894</v>
      </c>
      <c r="B46" s="4" t="s">
        <v>2828</v>
      </c>
      <c r="C46" s="4" t="s">
        <v>2895</v>
      </c>
      <c r="D46" s="6" t="s">
        <v>322</v>
      </c>
      <c r="E46" s="4"/>
      <c r="F46" s="4"/>
      <c r="G46" s="6">
        <v>5</v>
      </c>
      <c r="H46" s="4" t="s">
        <v>1003</v>
      </c>
      <c r="I46" s="4" t="s">
        <v>2903</v>
      </c>
      <c r="J46" s="4"/>
      <c r="K46" s="6" t="s">
        <v>7</v>
      </c>
      <c r="L46" s="6"/>
      <c r="M46" s="4"/>
      <c r="N46" s="4"/>
    </row>
    <row r="47" spans="1:14" customHeight="1" ht="53">
      <c r="A47" s="8" t="s">
        <v>2894</v>
      </c>
      <c r="B47" s="4" t="s">
        <v>2828</v>
      </c>
      <c r="C47" s="4" t="s">
        <v>2895</v>
      </c>
      <c r="D47" s="6" t="s">
        <v>322</v>
      </c>
      <c r="E47" s="4"/>
      <c r="F47" s="4"/>
      <c r="G47" s="6">
        <v>6</v>
      </c>
      <c r="H47" s="4" t="s">
        <v>2877</v>
      </c>
      <c r="I47" s="4" t="s">
        <v>2904</v>
      </c>
      <c r="J47" s="4"/>
      <c r="K47" s="6" t="s">
        <v>7</v>
      </c>
      <c r="L47" s="6"/>
      <c r="M47" s="4"/>
      <c r="N47" s="4"/>
    </row>
    <row r="48" spans="1:14" customHeight="1" ht="30">
      <c r="A48" s="8" t="s">
        <v>2894</v>
      </c>
      <c r="B48" s="4" t="s">
        <v>2828</v>
      </c>
      <c r="C48" s="4" t="s">
        <v>2895</v>
      </c>
      <c r="D48" s="6" t="s">
        <v>322</v>
      </c>
      <c r="E48" s="4"/>
      <c r="F48" s="4"/>
      <c r="G48" s="6">
        <v>7</v>
      </c>
      <c r="H48" s="4" t="s">
        <v>2905</v>
      </c>
      <c r="I48" s="4" t="s">
        <v>2906</v>
      </c>
      <c r="J48" s="4"/>
      <c r="K48" s="6" t="s">
        <v>7</v>
      </c>
      <c r="L48" s="6"/>
      <c r="M48" s="4"/>
      <c r="N48" s="4"/>
    </row>
    <row r="49" spans="1:14" customHeight="1" ht="30">
      <c r="A49" s="8" t="s">
        <v>2894</v>
      </c>
      <c r="B49" s="4" t="s">
        <v>2828</v>
      </c>
      <c r="C49" s="4" t="s">
        <v>2895</v>
      </c>
      <c r="D49" s="6" t="s">
        <v>322</v>
      </c>
      <c r="E49" s="4"/>
      <c r="F49" s="4"/>
      <c r="G49" s="6">
        <v>8</v>
      </c>
      <c r="H49" s="4" t="s">
        <v>2907</v>
      </c>
      <c r="I49" s="4" t="s">
        <v>2908</v>
      </c>
      <c r="J49" s="4"/>
      <c r="K49" s="6" t="s">
        <v>7</v>
      </c>
      <c r="L49" s="6"/>
      <c r="M49" s="4"/>
      <c r="N49" s="4"/>
    </row>
    <row r="50" spans="1:14" customHeight="1" ht="30">
      <c r="A50" s="8" t="s">
        <v>2894</v>
      </c>
      <c r="B50" s="4" t="s">
        <v>2828</v>
      </c>
      <c r="C50" s="4" t="s">
        <v>2895</v>
      </c>
      <c r="D50" s="6" t="s">
        <v>322</v>
      </c>
      <c r="E50" s="4"/>
      <c r="F50" s="4"/>
      <c r="G50" s="6">
        <v>9</v>
      </c>
      <c r="H50" s="4" t="s">
        <v>2909</v>
      </c>
      <c r="I50" s="4" t="s">
        <v>2910</v>
      </c>
      <c r="J50" s="4"/>
      <c r="K50" s="6" t="s">
        <v>7</v>
      </c>
      <c r="L50" s="6"/>
      <c r="M50" s="4"/>
      <c r="N50" s="4"/>
    </row>
    <row r="51" spans="1:14" customHeight="1" ht="30">
      <c r="A51" s="8" t="s">
        <v>2894</v>
      </c>
      <c r="B51" s="4" t="s">
        <v>2828</v>
      </c>
      <c r="C51" s="4" t="s">
        <v>2895</v>
      </c>
      <c r="D51" s="6" t="s">
        <v>322</v>
      </c>
      <c r="E51" s="4"/>
      <c r="F51" s="4"/>
      <c r="G51" s="6">
        <v>10</v>
      </c>
      <c r="H51" s="4" t="s">
        <v>2911</v>
      </c>
      <c r="I51" s="4" t="s">
        <v>2912</v>
      </c>
      <c r="J51" s="4"/>
      <c r="K51" s="6" t="s">
        <v>7</v>
      </c>
      <c r="L51" s="6"/>
      <c r="M51" s="4"/>
      <c r="N51" s="4"/>
    </row>
    <row r="52" spans="1:14" customHeight="1" ht="40">
      <c r="A52" s="8" t="s">
        <v>2894</v>
      </c>
      <c r="B52" s="4" t="s">
        <v>2828</v>
      </c>
      <c r="C52" s="4" t="s">
        <v>2895</v>
      </c>
      <c r="D52" s="6" t="s">
        <v>322</v>
      </c>
      <c r="E52" s="4"/>
      <c r="F52" s="4"/>
      <c r="G52" s="6">
        <v>11</v>
      </c>
      <c r="H52" s="4" t="s">
        <v>2913</v>
      </c>
      <c r="I52" s="4" t="s">
        <v>2914</v>
      </c>
      <c r="J52" s="4"/>
      <c r="K52" s="6" t="s">
        <v>7</v>
      </c>
      <c r="L52" s="6"/>
      <c r="M52" s="4"/>
      <c r="N52" s="4"/>
    </row>
    <row r="53" spans="1:14" customHeight="1" ht="40">
      <c r="A53" s="8" t="s">
        <v>2894</v>
      </c>
      <c r="B53" s="4" t="s">
        <v>2828</v>
      </c>
      <c r="C53" s="4" t="s">
        <v>2895</v>
      </c>
      <c r="D53" s="6" t="s">
        <v>322</v>
      </c>
      <c r="E53" s="4"/>
      <c r="F53" s="4"/>
      <c r="G53" s="6">
        <v>12</v>
      </c>
      <c r="H53" s="4" t="s">
        <v>2915</v>
      </c>
      <c r="I53" s="4" t="s">
        <v>2916</v>
      </c>
      <c r="J53" s="4"/>
      <c r="K53" s="6" t="s">
        <v>7</v>
      </c>
      <c r="L53" s="6"/>
      <c r="M53" s="4"/>
      <c r="N53" s="4"/>
    </row>
    <row r="54" spans="1:14" customHeight="1" ht="40">
      <c r="A54" s="9" t="s">
        <v>2917</v>
      </c>
      <c r="B54" s="5" t="s">
        <v>2828</v>
      </c>
      <c r="C54" s="5" t="s">
        <v>2918</v>
      </c>
      <c r="D54" s="7" t="s">
        <v>322</v>
      </c>
      <c r="E54" s="5" t="s">
        <v>2919</v>
      </c>
      <c r="F54" s="5" t="s">
        <v>2920</v>
      </c>
      <c r="G54" s="7">
        <v>1</v>
      </c>
      <c r="H54" s="5" t="s">
        <v>2921</v>
      </c>
      <c r="I54" s="5" t="s">
        <v>1402</v>
      </c>
      <c r="J54" s="5"/>
      <c r="K54" s="7" t="s">
        <v>7</v>
      </c>
      <c r="L54" s="7"/>
      <c r="M54" s="5"/>
      <c r="N54" s="5"/>
    </row>
    <row r="55" spans="1:14" customHeight="1" ht="30">
      <c r="A55" s="9" t="s">
        <v>2917</v>
      </c>
      <c r="B55" s="5" t="s">
        <v>2828</v>
      </c>
      <c r="C55" s="5" t="s">
        <v>2918</v>
      </c>
      <c r="D55" s="7" t="s">
        <v>322</v>
      </c>
      <c r="E55" s="5"/>
      <c r="F55" s="5"/>
      <c r="G55" s="7">
        <v>2</v>
      </c>
      <c r="H55" s="5" t="s">
        <v>2922</v>
      </c>
      <c r="I55" s="5" t="s">
        <v>2923</v>
      </c>
      <c r="J55" s="5"/>
      <c r="K55" s="7" t="s">
        <v>7</v>
      </c>
      <c r="L55" s="7"/>
      <c r="M55" s="5"/>
      <c r="N55" s="5"/>
    </row>
    <row r="56" spans="1:14" customHeight="1" ht="30">
      <c r="A56" s="9" t="s">
        <v>2917</v>
      </c>
      <c r="B56" s="5" t="s">
        <v>2828</v>
      </c>
      <c r="C56" s="5" t="s">
        <v>2918</v>
      </c>
      <c r="D56" s="7" t="s">
        <v>322</v>
      </c>
      <c r="E56" s="5"/>
      <c r="F56" s="5"/>
      <c r="G56" s="7">
        <v>3</v>
      </c>
      <c r="H56" s="5" t="s">
        <v>2924</v>
      </c>
      <c r="I56" s="5" t="s">
        <v>2925</v>
      </c>
      <c r="J56" s="5"/>
      <c r="K56" s="7" t="s">
        <v>7</v>
      </c>
      <c r="L56" s="7"/>
      <c r="M56" s="5"/>
      <c r="N56" s="5"/>
    </row>
    <row r="57" spans="1:14" customHeight="1" ht="30">
      <c r="A57" s="9" t="s">
        <v>2917</v>
      </c>
      <c r="B57" s="5" t="s">
        <v>2828</v>
      </c>
      <c r="C57" s="5" t="s">
        <v>2918</v>
      </c>
      <c r="D57" s="7" t="s">
        <v>322</v>
      </c>
      <c r="E57" s="5"/>
      <c r="F57" s="5"/>
      <c r="G57" s="7">
        <v>4</v>
      </c>
      <c r="H57" s="5" t="s">
        <v>2926</v>
      </c>
      <c r="I57" s="5" t="s">
        <v>2927</v>
      </c>
      <c r="J57" s="5"/>
      <c r="K57" s="7" t="s">
        <v>7</v>
      </c>
      <c r="L57" s="7"/>
      <c r="M57" s="5"/>
      <c r="N57" s="5"/>
    </row>
    <row r="58" spans="1:14" customHeight="1" ht="40">
      <c r="A58" s="9" t="s">
        <v>2917</v>
      </c>
      <c r="B58" s="5" t="s">
        <v>2828</v>
      </c>
      <c r="C58" s="5" t="s">
        <v>2918</v>
      </c>
      <c r="D58" s="7" t="s">
        <v>322</v>
      </c>
      <c r="E58" s="5"/>
      <c r="F58" s="5"/>
      <c r="G58" s="7">
        <v>5</v>
      </c>
      <c r="H58" s="5" t="s">
        <v>2928</v>
      </c>
      <c r="I58" s="5" t="s">
        <v>2929</v>
      </c>
      <c r="J58" s="5"/>
      <c r="K58" s="7" t="s">
        <v>7</v>
      </c>
      <c r="L58" s="7"/>
      <c r="M58" s="5"/>
      <c r="N58" s="5"/>
    </row>
    <row r="59" spans="1:14" customHeight="1" ht="30">
      <c r="A59" s="9" t="s">
        <v>2917</v>
      </c>
      <c r="B59" s="5" t="s">
        <v>2828</v>
      </c>
      <c r="C59" s="5" t="s">
        <v>2918</v>
      </c>
      <c r="D59" s="7" t="s">
        <v>322</v>
      </c>
      <c r="E59" s="5"/>
      <c r="F59" s="5"/>
      <c r="G59" s="7">
        <v>6</v>
      </c>
      <c r="H59" s="5" t="s">
        <v>2930</v>
      </c>
      <c r="I59" s="5" t="s">
        <v>2931</v>
      </c>
      <c r="J59" s="5"/>
      <c r="K59" s="7" t="s">
        <v>7</v>
      </c>
      <c r="L59" s="7"/>
      <c r="M59" s="5"/>
      <c r="N59" s="5"/>
    </row>
    <row r="60" spans="1:14" customHeight="1" ht="40">
      <c r="A60" s="9" t="s">
        <v>2917</v>
      </c>
      <c r="B60" s="5" t="s">
        <v>2828</v>
      </c>
      <c r="C60" s="5" t="s">
        <v>2918</v>
      </c>
      <c r="D60" s="7" t="s">
        <v>322</v>
      </c>
      <c r="E60" s="5"/>
      <c r="F60" s="5"/>
      <c r="G60" s="7">
        <v>7</v>
      </c>
      <c r="H60" s="5" t="s">
        <v>2761</v>
      </c>
      <c r="I60" s="5" t="s">
        <v>2932</v>
      </c>
      <c r="J60" s="5"/>
      <c r="K60" s="7" t="s">
        <v>7</v>
      </c>
      <c r="L60" s="7"/>
      <c r="M60" s="5"/>
      <c r="N60" s="5"/>
    </row>
    <row r="61" spans="1:14" customHeight="1" ht="30">
      <c r="A61" s="9" t="s">
        <v>2917</v>
      </c>
      <c r="B61" s="5" t="s">
        <v>2828</v>
      </c>
      <c r="C61" s="5" t="s">
        <v>2918</v>
      </c>
      <c r="D61" s="7" t="s">
        <v>322</v>
      </c>
      <c r="E61" s="5"/>
      <c r="F61" s="5"/>
      <c r="G61" s="7">
        <v>8</v>
      </c>
      <c r="H61" s="5" t="s">
        <v>2933</v>
      </c>
      <c r="I61" s="5" t="s">
        <v>2934</v>
      </c>
      <c r="J61" s="5"/>
      <c r="K61" s="7" t="s">
        <v>7</v>
      </c>
      <c r="L61" s="7"/>
      <c r="M61" s="5"/>
      <c r="N61" s="5"/>
    </row>
    <row r="62" spans="1:14" customHeight="1" ht="30">
      <c r="A62" s="9" t="s">
        <v>2917</v>
      </c>
      <c r="B62" s="5" t="s">
        <v>2828</v>
      </c>
      <c r="C62" s="5" t="s">
        <v>2918</v>
      </c>
      <c r="D62" s="7" t="s">
        <v>322</v>
      </c>
      <c r="E62" s="5"/>
      <c r="F62" s="5"/>
      <c r="G62" s="7">
        <v>9</v>
      </c>
      <c r="H62" s="5" t="s">
        <v>1505</v>
      </c>
      <c r="I62" s="5" t="s">
        <v>1506</v>
      </c>
      <c r="J62" s="5"/>
      <c r="K62" s="7" t="s">
        <v>7</v>
      </c>
      <c r="L62" s="7"/>
      <c r="M62" s="5"/>
      <c r="N62" s="5"/>
    </row>
    <row r="63" spans="1:14" customHeight="1" ht="30">
      <c r="A63" s="9" t="s">
        <v>2917</v>
      </c>
      <c r="B63" s="5" t="s">
        <v>2828</v>
      </c>
      <c r="C63" s="5" t="s">
        <v>2918</v>
      </c>
      <c r="D63" s="7" t="s">
        <v>322</v>
      </c>
      <c r="E63" s="5"/>
      <c r="F63" s="5"/>
      <c r="G63" s="7">
        <v>10</v>
      </c>
      <c r="H63" s="5" t="s">
        <v>2935</v>
      </c>
      <c r="I63" s="5" t="s">
        <v>2936</v>
      </c>
      <c r="J63" s="5"/>
      <c r="K63" s="7" t="s">
        <v>7</v>
      </c>
      <c r="L63" s="7"/>
      <c r="M63" s="5"/>
      <c r="N63" s="5"/>
    </row>
    <row r="64" spans="1:14" customHeight="1" ht="30">
      <c r="A64" s="9" t="s">
        <v>2917</v>
      </c>
      <c r="B64" s="5" t="s">
        <v>2828</v>
      </c>
      <c r="C64" s="5" t="s">
        <v>2918</v>
      </c>
      <c r="D64" s="7" t="s">
        <v>322</v>
      </c>
      <c r="E64" s="5"/>
      <c r="F64" s="5"/>
      <c r="G64" s="7">
        <v>11</v>
      </c>
      <c r="H64" s="5" t="s">
        <v>2937</v>
      </c>
      <c r="I64" s="5" t="s">
        <v>2938</v>
      </c>
      <c r="J64" s="5"/>
      <c r="K64" s="7" t="s">
        <v>7</v>
      </c>
      <c r="L64" s="7"/>
      <c r="M64" s="5"/>
      <c r="N64" s="5"/>
    </row>
    <row r="65" spans="1:14" customHeight="1" ht="40">
      <c r="A65" s="9" t="s">
        <v>2917</v>
      </c>
      <c r="B65" s="5" t="s">
        <v>2828</v>
      </c>
      <c r="C65" s="5" t="s">
        <v>2918</v>
      </c>
      <c r="D65" s="7" t="s">
        <v>322</v>
      </c>
      <c r="E65" s="5"/>
      <c r="F65" s="5"/>
      <c r="G65" s="7">
        <v>12</v>
      </c>
      <c r="H65" s="5" t="s">
        <v>2939</v>
      </c>
      <c r="I65" s="5" t="s">
        <v>2940</v>
      </c>
      <c r="J65" s="5"/>
      <c r="K65" s="7" t="s">
        <v>7</v>
      </c>
      <c r="L65" s="7"/>
      <c r="M65" s="5"/>
      <c r="N65" s="5"/>
    </row>
    <row r="66" spans="1:14" customHeight="1" ht="40">
      <c r="A66" s="9" t="s">
        <v>2917</v>
      </c>
      <c r="B66" s="5" t="s">
        <v>2828</v>
      </c>
      <c r="C66" s="5" t="s">
        <v>2918</v>
      </c>
      <c r="D66" s="7" t="s">
        <v>322</v>
      </c>
      <c r="E66" s="5"/>
      <c r="F66" s="5"/>
      <c r="G66" s="7">
        <v>13</v>
      </c>
      <c r="H66" s="5" t="s">
        <v>2941</v>
      </c>
      <c r="I66" s="5" t="s">
        <v>2942</v>
      </c>
      <c r="J66" s="5"/>
      <c r="K66" s="7" t="s">
        <v>7</v>
      </c>
      <c r="L66" s="7"/>
      <c r="M66" s="5"/>
      <c r="N66" s="5"/>
    </row>
    <row r="67" spans="1:14" customHeight="1" ht="30">
      <c r="A67" s="9" t="s">
        <v>2917</v>
      </c>
      <c r="B67" s="5" t="s">
        <v>2828</v>
      </c>
      <c r="C67" s="5" t="s">
        <v>2918</v>
      </c>
      <c r="D67" s="7" t="s">
        <v>322</v>
      </c>
      <c r="E67" s="5"/>
      <c r="F67" s="5"/>
      <c r="G67" s="7">
        <v>14</v>
      </c>
      <c r="H67" s="5" t="s">
        <v>2943</v>
      </c>
      <c r="I67" s="5" t="s">
        <v>2944</v>
      </c>
      <c r="J67" s="5"/>
      <c r="K67" s="7" t="s">
        <v>7</v>
      </c>
      <c r="L67" s="7"/>
      <c r="M67" s="5"/>
      <c r="N67" s="5"/>
    </row>
    <row r="68" spans="1:14" customHeight="1" ht="66">
      <c r="A68" s="9" t="s">
        <v>2917</v>
      </c>
      <c r="B68" s="5" t="s">
        <v>2828</v>
      </c>
      <c r="C68" s="5" t="s">
        <v>2918</v>
      </c>
      <c r="D68" s="7" t="s">
        <v>322</v>
      </c>
      <c r="E68" s="5"/>
      <c r="F68" s="5"/>
      <c r="G68" s="7">
        <v>15</v>
      </c>
      <c r="H68" s="5" t="s">
        <v>2945</v>
      </c>
      <c r="I68" s="5" t="s">
        <v>2946</v>
      </c>
      <c r="J68" s="5"/>
      <c r="K68" s="7" t="s">
        <v>7</v>
      </c>
      <c r="L68" s="7"/>
      <c r="M68" s="5"/>
      <c r="N68" s="5"/>
    </row>
    <row r="69" spans="1:14" customHeight="1" ht="30">
      <c r="A69" s="8" t="s">
        <v>2947</v>
      </c>
      <c r="B69" s="4" t="s">
        <v>2828</v>
      </c>
      <c r="C69" s="4" t="s">
        <v>2948</v>
      </c>
      <c r="D69" s="6" t="s">
        <v>309</v>
      </c>
      <c r="E69" s="4" t="s">
        <v>2949</v>
      </c>
      <c r="F69" s="4" t="s">
        <v>2950</v>
      </c>
      <c r="G69" s="6">
        <v>1</v>
      </c>
      <c r="H69" s="4" t="s">
        <v>2951</v>
      </c>
      <c r="I69" s="4" t="s">
        <v>2952</v>
      </c>
      <c r="J69" s="4"/>
      <c r="K69" s="6" t="s">
        <v>7</v>
      </c>
      <c r="L69" s="6"/>
      <c r="M69" s="4"/>
      <c r="N69" s="4"/>
    </row>
    <row r="70" spans="1:14" customHeight="1" ht="30">
      <c r="A70" s="8" t="s">
        <v>2947</v>
      </c>
      <c r="B70" s="4" t="s">
        <v>2828</v>
      </c>
      <c r="C70" s="4" t="s">
        <v>2948</v>
      </c>
      <c r="D70" s="6" t="s">
        <v>309</v>
      </c>
      <c r="E70" s="4"/>
      <c r="F70" s="4"/>
      <c r="G70" s="6">
        <v>2</v>
      </c>
      <c r="H70" s="4" t="s">
        <v>999</v>
      </c>
      <c r="I70" s="4" t="s">
        <v>1082</v>
      </c>
      <c r="J70" s="4"/>
      <c r="K70" s="6" t="s">
        <v>7</v>
      </c>
      <c r="L70" s="6"/>
      <c r="M70" s="4"/>
      <c r="N70" s="4"/>
    </row>
    <row r="71" spans="1:14" customHeight="1" ht="30">
      <c r="A71" s="8" t="s">
        <v>2947</v>
      </c>
      <c r="B71" s="4" t="s">
        <v>2828</v>
      </c>
      <c r="C71" s="4" t="s">
        <v>2948</v>
      </c>
      <c r="D71" s="6" t="s">
        <v>309</v>
      </c>
      <c r="E71" s="4"/>
      <c r="F71" s="4"/>
      <c r="G71" s="6">
        <v>3</v>
      </c>
      <c r="H71" s="4" t="s">
        <v>2953</v>
      </c>
      <c r="I71" s="4" t="s">
        <v>2954</v>
      </c>
      <c r="J71" s="4"/>
      <c r="K71" s="6" t="s">
        <v>7</v>
      </c>
      <c r="L71" s="6"/>
      <c r="M71" s="4"/>
      <c r="N71" s="4"/>
    </row>
    <row r="72" spans="1:14" customHeight="1" ht="30">
      <c r="A72" s="8" t="s">
        <v>2947</v>
      </c>
      <c r="B72" s="4" t="s">
        <v>2828</v>
      </c>
      <c r="C72" s="4" t="s">
        <v>2948</v>
      </c>
      <c r="D72" s="6" t="s">
        <v>309</v>
      </c>
      <c r="E72" s="4"/>
      <c r="F72" s="4"/>
      <c r="G72" s="6">
        <v>4</v>
      </c>
      <c r="H72" s="4" t="s">
        <v>2955</v>
      </c>
      <c r="I72" s="4" t="s">
        <v>2956</v>
      </c>
      <c r="J72" s="4"/>
      <c r="K72" s="6" t="s">
        <v>7</v>
      </c>
      <c r="L72" s="6"/>
      <c r="M72" s="4"/>
      <c r="N72" s="4"/>
    </row>
    <row r="73" spans="1:14" customHeight="1" ht="30">
      <c r="A73" s="8" t="s">
        <v>2947</v>
      </c>
      <c r="B73" s="4" t="s">
        <v>2828</v>
      </c>
      <c r="C73" s="4" t="s">
        <v>2948</v>
      </c>
      <c r="D73" s="6" t="s">
        <v>309</v>
      </c>
      <c r="E73" s="4"/>
      <c r="F73" s="4"/>
      <c r="G73" s="6">
        <v>5</v>
      </c>
      <c r="H73" s="4" t="s">
        <v>2957</v>
      </c>
      <c r="I73" s="4" t="s">
        <v>2958</v>
      </c>
      <c r="J73" s="4"/>
      <c r="K73" s="6" t="s">
        <v>7</v>
      </c>
      <c r="L73" s="6"/>
      <c r="M73" s="4"/>
      <c r="N73" s="4"/>
    </row>
    <row r="74" spans="1:14" customHeight="1" ht="30">
      <c r="A74" s="8" t="s">
        <v>2947</v>
      </c>
      <c r="B74" s="4" t="s">
        <v>2828</v>
      </c>
      <c r="C74" s="4" t="s">
        <v>2948</v>
      </c>
      <c r="D74" s="6" t="s">
        <v>309</v>
      </c>
      <c r="E74" s="4"/>
      <c r="F74" s="4"/>
      <c r="G74" s="6">
        <v>6</v>
      </c>
      <c r="H74" s="4" t="s">
        <v>2959</v>
      </c>
      <c r="I74" s="4" t="s">
        <v>1167</v>
      </c>
      <c r="J74" s="4"/>
      <c r="K74" s="6" t="s">
        <v>7</v>
      </c>
      <c r="L74" s="6"/>
      <c r="M74" s="4"/>
      <c r="N74" s="4"/>
    </row>
    <row r="75" spans="1:14" customHeight="1" ht="53">
      <c r="A75" s="8" t="s">
        <v>2947</v>
      </c>
      <c r="B75" s="4" t="s">
        <v>2828</v>
      </c>
      <c r="C75" s="4" t="s">
        <v>2948</v>
      </c>
      <c r="D75" s="6" t="s">
        <v>309</v>
      </c>
      <c r="E75" s="4"/>
      <c r="F75" s="4"/>
      <c r="G75" s="6">
        <v>7</v>
      </c>
      <c r="H75" s="4" t="s">
        <v>2955</v>
      </c>
      <c r="I75" s="4" t="s">
        <v>2960</v>
      </c>
      <c r="J75" s="4"/>
      <c r="K75" s="6" t="s">
        <v>7</v>
      </c>
      <c r="L75" s="6"/>
      <c r="M75" s="4"/>
      <c r="N75" s="4"/>
    </row>
    <row r="76" spans="1:14" customHeight="1" ht="40">
      <c r="A76" s="8" t="s">
        <v>2947</v>
      </c>
      <c r="B76" s="4" t="s">
        <v>2828</v>
      </c>
      <c r="C76" s="4" t="s">
        <v>2948</v>
      </c>
      <c r="D76" s="6" t="s">
        <v>309</v>
      </c>
      <c r="E76" s="4"/>
      <c r="F76" s="4"/>
      <c r="G76" s="6">
        <v>8</v>
      </c>
      <c r="H76" s="4" t="s">
        <v>1243</v>
      </c>
      <c r="I76" s="4" t="s">
        <v>2961</v>
      </c>
      <c r="J76" s="4"/>
      <c r="K76" s="6" t="s">
        <v>7</v>
      </c>
      <c r="L76" s="6"/>
      <c r="M76" s="4"/>
      <c r="N76" s="4"/>
    </row>
    <row r="77" spans="1:14" customHeight="1" ht="30">
      <c r="A77" s="8" t="s">
        <v>2947</v>
      </c>
      <c r="B77" s="4" t="s">
        <v>2828</v>
      </c>
      <c r="C77" s="4" t="s">
        <v>2948</v>
      </c>
      <c r="D77" s="6" t="s">
        <v>309</v>
      </c>
      <c r="E77" s="4"/>
      <c r="F77" s="4"/>
      <c r="G77" s="6">
        <v>9</v>
      </c>
      <c r="H77" s="4" t="s">
        <v>2845</v>
      </c>
      <c r="I77" s="4" t="s">
        <v>2962</v>
      </c>
      <c r="J77" s="4"/>
      <c r="K77" s="6" t="s">
        <v>7</v>
      </c>
      <c r="L77" s="6"/>
      <c r="M77" s="4"/>
      <c r="N77" s="4"/>
    </row>
    <row r="78" spans="1:14" customHeight="1" ht="40">
      <c r="A78" s="8" t="s">
        <v>2947</v>
      </c>
      <c r="B78" s="4" t="s">
        <v>2828</v>
      </c>
      <c r="C78" s="4" t="s">
        <v>2948</v>
      </c>
      <c r="D78" s="6" t="s">
        <v>309</v>
      </c>
      <c r="E78" s="4"/>
      <c r="F78" s="4"/>
      <c r="G78" s="6">
        <v>10</v>
      </c>
      <c r="H78" s="4" t="s">
        <v>2963</v>
      </c>
      <c r="I78" s="4" t="s">
        <v>2964</v>
      </c>
      <c r="J78" s="4"/>
      <c r="K78" s="6" t="s">
        <v>7</v>
      </c>
      <c r="L78" s="6"/>
      <c r="M78" s="4"/>
      <c r="N78" s="4"/>
    </row>
    <row r="79" spans="1:14" customHeight="1" ht="30">
      <c r="A79" s="8" t="s">
        <v>2947</v>
      </c>
      <c r="B79" s="4" t="s">
        <v>2828</v>
      </c>
      <c r="C79" s="4" t="s">
        <v>2948</v>
      </c>
      <c r="D79" s="6" t="s">
        <v>309</v>
      </c>
      <c r="E79" s="4"/>
      <c r="F79" s="4"/>
      <c r="G79" s="6">
        <v>11</v>
      </c>
      <c r="H79" s="4" t="s">
        <v>2965</v>
      </c>
      <c r="I79" s="4" t="s">
        <v>2966</v>
      </c>
      <c r="J79" s="4"/>
      <c r="K79" s="6" t="s">
        <v>7</v>
      </c>
      <c r="L79" s="6"/>
      <c r="M79" s="4"/>
      <c r="N79" s="4"/>
    </row>
    <row r="80" spans="1:14" customHeight="1" ht="30">
      <c r="A80" s="8" t="s">
        <v>2947</v>
      </c>
      <c r="B80" s="4" t="s">
        <v>2828</v>
      </c>
      <c r="C80" s="4" t="s">
        <v>2948</v>
      </c>
      <c r="D80" s="6" t="s">
        <v>309</v>
      </c>
      <c r="E80" s="4"/>
      <c r="F80" s="4"/>
      <c r="G80" s="6">
        <v>12</v>
      </c>
      <c r="H80" s="4" t="s">
        <v>2915</v>
      </c>
      <c r="I80" s="4" t="s">
        <v>2967</v>
      </c>
      <c r="J80" s="4"/>
      <c r="K80" s="6" t="s">
        <v>7</v>
      </c>
      <c r="L80" s="6"/>
      <c r="M80" s="4"/>
      <c r="N80" s="4"/>
    </row>
  </sheetData>
  <autoFilter ref="A3:N80"/>
  <mergeCells>
    <mergeCell ref="A1:N1"/>
    <mergeCell ref="A2:N2"/>
  </mergeCells>
  <conditionalFormatting sqref="K4:K80">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80">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80">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80">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80">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162"/>
  <sheetViews>
    <sheetView tabSelected="0" workbookViewId="0" showGridLines="true" showRowColHeaders="1">
      <pane xSplit="2" ySplit="3" topLeftCell="C4" activePane="bottomRight" state="frozen"/>
      <selection pane="topRight"/>
      <selection pane="bottomLeft"/>
      <selection pane="bottomRight" activeCell="L4" sqref="L4:L162"/>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2968</v>
      </c>
    </row>
    <row r="2" spans="1:14" customHeight="1" ht="30">
      <c r="A2" s="2" t="s">
        <v>2969</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2970</v>
      </c>
      <c r="B4" s="4" t="s">
        <v>2968</v>
      </c>
      <c r="C4" s="4" t="s">
        <v>2971</v>
      </c>
      <c r="D4" s="6" t="s">
        <v>322</v>
      </c>
      <c r="E4" s="4" t="s">
        <v>2972</v>
      </c>
      <c r="F4" s="4" t="s">
        <v>2372</v>
      </c>
      <c r="G4" s="6">
        <v>1</v>
      </c>
      <c r="H4" s="4" t="s">
        <v>2353</v>
      </c>
      <c r="I4" s="4" t="s">
        <v>2354</v>
      </c>
      <c r="J4" s="4"/>
      <c r="K4" s="6" t="s">
        <v>7</v>
      </c>
      <c r="L4" s="6"/>
      <c r="M4" s="4"/>
      <c r="N4" s="4"/>
    </row>
    <row r="5" spans="1:14" customHeight="1" ht="40">
      <c r="A5" s="8" t="s">
        <v>2970</v>
      </c>
      <c r="B5" s="4" t="s">
        <v>2968</v>
      </c>
      <c r="C5" s="4" t="s">
        <v>2971</v>
      </c>
      <c r="D5" s="6" t="s">
        <v>322</v>
      </c>
      <c r="E5" s="4"/>
      <c r="F5" s="4"/>
      <c r="G5" s="6">
        <v>2</v>
      </c>
      <c r="H5" s="4" t="s">
        <v>2973</v>
      </c>
      <c r="I5" s="4" t="s">
        <v>2974</v>
      </c>
      <c r="J5" s="4"/>
      <c r="K5" s="6" t="s">
        <v>7</v>
      </c>
      <c r="L5" s="6"/>
      <c r="M5" s="4"/>
      <c r="N5" s="4"/>
    </row>
    <row r="6" spans="1:14" customHeight="1" ht="40">
      <c r="A6" s="8" t="s">
        <v>2970</v>
      </c>
      <c r="B6" s="4" t="s">
        <v>2968</v>
      </c>
      <c r="C6" s="4" t="s">
        <v>2971</v>
      </c>
      <c r="D6" s="6" t="s">
        <v>322</v>
      </c>
      <c r="E6" s="4"/>
      <c r="F6" s="4"/>
      <c r="G6" s="6">
        <v>3</v>
      </c>
      <c r="H6" s="4" t="s">
        <v>2975</v>
      </c>
      <c r="I6" s="4" t="s">
        <v>2976</v>
      </c>
      <c r="J6" s="4"/>
      <c r="K6" s="6" t="s">
        <v>7</v>
      </c>
      <c r="L6" s="6"/>
      <c r="M6" s="4"/>
      <c r="N6" s="4"/>
    </row>
    <row r="7" spans="1:14" customHeight="1" ht="40">
      <c r="A7" s="8" t="s">
        <v>2970</v>
      </c>
      <c r="B7" s="4" t="s">
        <v>2968</v>
      </c>
      <c r="C7" s="4" t="s">
        <v>2971</v>
      </c>
      <c r="D7" s="6" t="s">
        <v>322</v>
      </c>
      <c r="E7" s="4"/>
      <c r="F7" s="4"/>
      <c r="G7" s="6">
        <v>4</v>
      </c>
      <c r="H7" s="4" t="s">
        <v>2977</v>
      </c>
      <c r="I7" s="4" t="s">
        <v>2978</v>
      </c>
      <c r="J7" s="4"/>
      <c r="K7" s="6" t="s">
        <v>7</v>
      </c>
      <c r="L7" s="6"/>
      <c r="M7" s="4"/>
      <c r="N7" s="4"/>
    </row>
    <row r="8" spans="1:14" customHeight="1" ht="30">
      <c r="A8" s="8" t="s">
        <v>2970</v>
      </c>
      <c r="B8" s="4" t="s">
        <v>2968</v>
      </c>
      <c r="C8" s="4" t="s">
        <v>2971</v>
      </c>
      <c r="D8" s="6" t="s">
        <v>322</v>
      </c>
      <c r="E8" s="4"/>
      <c r="F8" s="4"/>
      <c r="G8" s="6">
        <v>5</v>
      </c>
      <c r="H8" s="4" t="s">
        <v>2979</v>
      </c>
      <c r="I8" s="4" t="s">
        <v>2980</v>
      </c>
      <c r="J8" s="4"/>
      <c r="K8" s="6" t="s">
        <v>7</v>
      </c>
      <c r="L8" s="6"/>
      <c r="M8" s="4"/>
      <c r="N8" s="4"/>
    </row>
    <row r="9" spans="1:14" customHeight="1" ht="40">
      <c r="A9" s="9" t="s">
        <v>2981</v>
      </c>
      <c r="B9" s="5" t="s">
        <v>2968</v>
      </c>
      <c r="C9" s="5" t="s">
        <v>2982</v>
      </c>
      <c r="D9" s="7" t="s">
        <v>322</v>
      </c>
      <c r="E9" s="5" t="s">
        <v>2983</v>
      </c>
      <c r="F9" s="5" t="s">
        <v>2372</v>
      </c>
      <c r="G9" s="7">
        <v>1</v>
      </c>
      <c r="H9" s="5" t="s">
        <v>2984</v>
      </c>
      <c r="I9" s="5" t="s">
        <v>2985</v>
      </c>
      <c r="J9" s="5"/>
      <c r="K9" s="7" t="s">
        <v>7</v>
      </c>
      <c r="L9" s="7"/>
      <c r="M9" s="5"/>
      <c r="N9" s="5"/>
    </row>
    <row r="10" spans="1:14" customHeight="1" ht="30">
      <c r="A10" s="9" t="s">
        <v>2981</v>
      </c>
      <c r="B10" s="5" t="s">
        <v>2968</v>
      </c>
      <c r="C10" s="5" t="s">
        <v>2982</v>
      </c>
      <c r="D10" s="7" t="s">
        <v>322</v>
      </c>
      <c r="E10" s="5"/>
      <c r="F10" s="5"/>
      <c r="G10" s="7">
        <v>2</v>
      </c>
      <c r="H10" s="5" t="s">
        <v>2986</v>
      </c>
      <c r="I10" s="5" t="s">
        <v>2987</v>
      </c>
      <c r="J10" s="5"/>
      <c r="K10" s="7" t="s">
        <v>7</v>
      </c>
      <c r="L10" s="7"/>
      <c r="M10" s="5"/>
      <c r="N10" s="5"/>
    </row>
    <row r="11" spans="1:14" customHeight="1" ht="30">
      <c r="A11" s="9" t="s">
        <v>2981</v>
      </c>
      <c r="B11" s="5" t="s">
        <v>2968</v>
      </c>
      <c r="C11" s="5" t="s">
        <v>2982</v>
      </c>
      <c r="D11" s="7" t="s">
        <v>322</v>
      </c>
      <c r="E11" s="5"/>
      <c r="F11" s="5"/>
      <c r="G11" s="7">
        <v>3</v>
      </c>
      <c r="H11" s="5" t="s">
        <v>2988</v>
      </c>
      <c r="I11" s="5" t="s">
        <v>2989</v>
      </c>
      <c r="J11" s="5"/>
      <c r="K11" s="7" t="s">
        <v>7</v>
      </c>
      <c r="L11" s="7"/>
      <c r="M11" s="5"/>
      <c r="N11" s="5"/>
    </row>
    <row r="12" spans="1:14" customHeight="1" ht="53">
      <c r="A12" s="9" t="s">
        <v>2981</v>
      </c>
      <c r="B12" s="5" t="s">
        <v>2968</v>
      </c>
      <c r="C12" s="5" t="s">
        <v>2982</v>
      </c>
      <c r="D12" s="7" t="s">
        <v>322</v>
      </c>
      <c r="E12" s="5"/>
      <c r="F12" s="5"/>
      <c r="G12" s="7">
        <v>4</v>
      </c>
      <c r="H12" s="5" t="s">
        <v>2990</v>
      </c>
      <c r="I12" s="5" t="s">
        <v>2991</v>
      </c>
      <c r="J12" s="5"/>
      <c r="K12" s="7" t="s">
        <v>7</v>
      </c>
      <c r="L12" s="7"/>
      <c r="M12" s="5"/>
      <c r="N12" s="5"/>
    </row>
    <row r="13" spans="1:14" customHeight="1" ht="40">
      <c r="A13" s="9" t="s">
        <v>2981</v>
      </c>
      <c r="B13" s="5" t="s">
        <v>2968</v>
      </c>
      <c r="C13" s="5" t="s">
        <v>2982</v>
      </c>
      <c r="D13" s="7" t="s">
        <v>322</v>
      </c>
      <c r="E13" s="5"/>
      <c r="F13" s="5"/>
      <c r="G13" s="7">
        <v>5</v>
      </c>
      <c r="H13" s="5" t="s">
        <v>2992</v>
      </c>
      <c r="I13" s="5" t="s">
        <v>2993</v>
      </c>
      <c r="J13" s="5"/>
      <c r="K13" s="7" t="s">
        <v>7</v>
      </c>
      <c r="L13" s="7"/>
      <c r="M13" s="5"/>
      <c r="N13" s="5"/>
    </row>
    <row r="14" spans="1:14" customHeight="1" ht="30">
      <c r="A14" s="9" t="s">
        <v>2981</v>
      </c>
      <c r="B14" s="5" t="s">
        <v>2968</v>
      </c>
      <c r="C14" s="5" t="s">
        <v>2982</v>
      </c>
      <c r="D14" s="7" t="s">
        <v>322</v>
      </c>
      <c r="E14" s="5"/>
      <c r="F14" s="5"/>
      <c r="G14" s="7">
        <v>6</v>
      </c>
      <c r="H14" s="5" t="s">
        <v>2994</v>
      </c>
      <c r="I14" s="5" t="s">
        <v>2995</v>
      </c>
      <c r="J14" s="5"/>
      <c r="K14" s="7" t="s">
        <v>7</v>
      </c>
      <c r="L14" s="7"/>
      <c r="M14" s="5"/>
      <c r="N14" s="5"/>
    </row>
    <row r="15" spans="1:14" customHeight="1" ht="40">
      <c r="A15" s="9" t="s">
        <v>2981</v>
      </c>
      <c r="B15" s="5" t="s">
        <v>2968</v>
      </c>
      <c r="C15" s="5" t="s">
        <v>2982</v>
      </c>
      <c r="D15" s="7" t="s">
        <v>322</v>
      </c>
      <c r="E15" s="5"/>
      <c r="F15" s="5"/>
      <c r="G15" s="7">
        <v>7</v>
      </c>
      <c r="H15" s="5" t="s">
        <v>2996</v>
      </c>
      <c r="I15" s="5" t="s">
        <v>2997</v>
      </c>
      <c r="J15" s="5"/>
      <c r="K15" s="7" t="s">
        <v>7</v>
      </c>
      <c r="L15" s="7"/>
      <c r="M15" s="5"/>
      <c r="N15" s="5"/>
    </row>
    <row r="16" spans="1:14" customHeight="1" ht="40">
      <c r="A16" s="8" t="s">
        <v>2998</v>
      </c>
      <c r="B16" s="4" t="s">
        <v>2968</v>
      </c>
      <c r="C16" s="4" t="s">
        <v>2999</v>
      </c>
      <c r="D16" s="6" t="s">
        <v>322</v>
      </c>
      <c r="E16" s="4" t="s">
        <v>3000</v>
      </c>
      <c r="F16" s="4" t="s">
        <v>3001</v>
      </c>
      <c r="G16" s="6">
        <v>1</v>
      </c>
      <c r="H16" s="4" t="s">
        <v>3002</v>
      </c>
      <c r="I16" s="4" t="s">
        <v>3003</v>
      </c>
      <c r="J16" s="4"/>
      <c r="K16" s="6" t="s">
        <v>7</v>
      </c>
      <c r="L16" s="6"/>
      <c r="M16" s="4"/>
      <c r="N16" s="4"/>
    </row>
    <row r="17" spans="1:14" customHeight="1" ht="30">
      <c r="A17" s="8" t="s">
        <v>2998</v>
      </c>
      <c r="B17" s="4" t="s">
        <v>2968</v>
      </c>
      <c r="C17" s="4" t="s">
        <v>2999</v>
      </c>
      <c r="D17" s="6" t="s">
        <v>322</v>
      </c>
      <c r="E17" s="4"/>
      <c r="F17" s="4"/>
      <c r="G17" s="6">
        <v>2</v>
      </c>
      <c r="H17" s="4" t="s">
        <v>3004</v>
      </c>
      <c r="I17" s="4" t="s">
        <v>3005</v>
      </c>
      <c r="J17" s="4"/>
      <c r="K17" s="6" t="s">
        <v>7</v>
      </c>
      <c r="L17" s="6"/>
      <c r="M17" s="4"/>
      <c r="N17" s="4"/>
    </row>
    <row r="18" spans="1:14" customHeight="1" ht="30">
      <c r="A18" s="8" t="s">
        <v>2998</v>
      </c>
      <c r="B18" s="4" t="s">
        <v>2968</v>
      </c>
      <c r="C18" s="4" t="s">
        <v>2999</v>
      </c>
      <c r="D18" s="6" t="s">
        <v>322</v>
      </c>
      <c r="E18" s="4"/>
      <c r="F18" s="4"/>
      <c r="G18" s="6">
        <v>3</v>
      </c>
      <c r="H18" s="4" t="s">
        <v>3006</v>
      </c>
      <c r="I18" s="4" t="s">
        <v>393</v>
      </c>
      <c r="J18" s="4"/>
      <c r="K18" s="6" t="s">
        <v>7</v>
      </c>
      <c r="L18" s="6"/>
      <c r="M18" s="4"/>
      <c r="N18" s="4"/>
    </row>
    <row r="19" spans="1:14" customHeight="1" ht="30">
      <c r="A19" s="8" t="s">
        <v>2998</v>
      </c>
      <c r="B19" s="4" t="s">
        <v>2968</v>
      </c>
      <c r="C19" s="4" t="s">
        <v>2999</v>
      </c>
      <c r="D19" s="6" t="s">
        <v>322</v>
      </c>
      <c r="E19" s="4"/>
      <c r="F19" s="4"/>
      <c r="G19" s="6">
        <v>4</v>
      </c>
      <c r="H19" s="4" t="s">
        <v>3007</v>
      </c>
      <c r="I19" s="4" t="s">
        <v>397</v>
      </c>
      <c r="J19" s="4"/>
      <c r="K19" s="6" t="s">
        <v>7</v>
      </c>
      <c r="L19" s="6"/>
      <c r="M19" s="4"/>
      <c r="N19" s="4"/>
    </row>
    <row r="20" spans="1:14" customHeight="1" ht="30">
      <c r="A20" s="8" t="s">
        <v>2998</v>
      </c>
      <c r="B20" s="4" t="s">
        <v>2968</v>
      </c>
      <c r="C20" s="4" t="s">
        <v>2999</v>
      </c>
      <c r="D20" s="6" t="s">
        <v>322</v>
      </c>
      <c r="E20" s="4"/>
      <c r="F20" s="4"/>
      <c r="G20" s="6">
        <v>5</v>
      </c>
      <c r="H20" s="4" t="s">
        <v>3008</v>
      </c>
      <c r="I20" s="4" t="s">
        <v>395</v>
      </c>
      <c r="J20" s="4"/>
      <c r="K20" s="6" t="s">
        <v>7</v>
      </c>
      <c r="L20" s="6"/>
      <c r="M20" s="4"/>
      <c r="N20" s="4"/>
    </row>
    <row r="21" spans="1:14" customHeight="1" ht="30">
      <c r="A21" s="8" t="s">
        <v>2998</v>
      </c>
      <c r="B21" s="4" t="s">
        <v>2968</v>
      </c>
      <c r="C21" s="4" t="s">
        <v>2999</v>
      </c>
      <c r="D21" s="6" t="s">
        <v>322</v>
      </c>
      <c r="E21" s="4"/>
      <c r="F21" s="4"/>
      <c r="G21" s="6">
        <v>6</v>
      </c>
      <c r="H21" s="4" t="s">
        <v>3009</v>
      </c>
      <c r="I21" s="4" t="s">
        <v>3010</v>
      </c>
      <c r="J21" s="4"/>
      <c r="K21" s="6" t="s">
        <v>7</v>
      </c>
      <c r="L21" s="6"/>
      <c r="M21" s="4"/>
      <c r="N21" s="4"/>
    </row>
    <row r="22" spans="1:14" customHeight="1" ht="40">
      <c r="A22" s="8" t="s">
        <v>2998</v>
      </c>
      <c r="B22" s="4" t="s">
        <v>2968</v>
      </c>
      <c r="C22" s="4" t="s">
        <v>2999</v>
      </c>
      <c r="D22" s="6" t="s">
        <v>322</v>
      </c>
      <c r="E22" s="4"/>
      <c r="F22" s="4"/>
      <c r="G22" s="6">
        <v>7</v>
      </c>
      <c r="H22" s="4" t="s">
        <v>3011</v>
      </c>
      <c r="I22" s="4" t="s">
        <v>399</v>
      </c>
      <c r="J22" s="4"/>
      <c r="K22" s="6" t="s">
        <v>7</v>
      </c>
      <c r="L22" s="6"/>
      <c r="M22" s="4"/>
      <c r="N22" s="4"/>
    </row>
    <row r="23" spans="1:14" customHeight="1" ht="30">
      <c r="A23" s="8" t="s">
        <v>2998</v>
      </c>
      <c r="B23" s="4" t="s">
        <v>2968</v>
      </c>
      <c r="C23" s="4" t="s">
        <v>2999</v>
      </c>
      <c r="D23" s="6" t="s">
        <v>322</v>
      </c>
      <c r="E23" s="4"/>
      <c r="F23" s="4"/>
      <c r="G23" s="6">
        <v>8</v>
      </c>
      <c r="H23" s="4" t="s">
        <v>3012</v>
      </c>
      <c r="I23" s="4" t="s">
        <v>3005</v>
      </c>
      <c r="J23" s="4"/>
      <c r="K23" s="6" t="s">
        <v>7</v>
      </c>
      <c r="L23" s="6"/>
      <c r="M23" s="4"/>
      <c r="N23" s="4"/>
    </row>
    <row r="24" spans="1:14" customHeight="1" ht="30">
      <c r="A24" s="8" t="s">
        <v>2998</v>
      </c>
      <c r="B24" s="4" t="s">
        <v>2968</v>
      </c>
      <c r="C24" s="4" t="s">
        <v>2999</v>
      </c>
      <c r="D24" s="6" t="s">
        <v>322</v>
      </c>
      <c r="E24" s="4"/>
      <c r="F24" s="4"/>
      <c r="G24" s="6">
        <v>9</v>
      </c>
      <c r="H24" s="4" t="s">
        <v>3013</v>
      </c>
      <c r="I24" s="4" t="s">
        <v>3014</v>
      </c>
      <c r="J24" s="4"/>
      <c r="K24" s="6" t="s">
        <v>7</v>
      </c>
      <c r="L24" s="6"/>
      <c r="M24" s="4"/>
      <c r="N24" s="4"/>
    </row>
    <row r="25" spans="1:14" customHeight="1" ht="30">
      <c r="A25" s="8" t="s">
        <v>2998</v>
      </c>
      <c r="B25" s="4" t="s">
        <v>2968</v>
      </c>
      <c r="C25" s="4" t="s">
        <v>2999</v>
      </c>
      <c r="D25" s="6" t="s">
        <v>322</v>
      </c>
      <c r="E25" s="4"/>
      <c r="F25" s="4"/>
      <c r="G25" s="6">
        <v>10</v>
      </c>
      <c r="H25" s="4" t="s">
        <v>3015</v>
      </c>
      <c r="I25" s="4" t="s">
        <v>3016</v>
      </c>
      <c r="J25" s="4"/>
      <c r="K25" s="6" t="s">
        <v>7</v>
      </c>
      <c r="L25" s="6"/>
      <c r="M25" s="4"/>
      <c r="N25" s="4"/>
    </row>
    <row r="26" spans="1:14" customHeight="1" ht="40">
      <c r="A26" s="8" t="s">
        <v>2998</v>
      </c>
      <c r="B26" s="4" t="s">
        <v>2968</v>
      </c>
      <c r="C26" s="4" t="s">
        <v>2999</v>
      </c>
      <c r="D26" s="6" t="s">
        <v>322</v>
      </c>
      <c r="E26" s="4"/>
      <c r="F26" s="4"/>
      <c r="G26" s="6">
        <v>11</v>
      </c>
      <c r="H26" s="4" t="s">
        <v>3017</v>
      </c>
      <c r="I26" s="4" t="s">
        <v>3018</v>
      </c>
      <c r="J26" s="4"/>
      <c r="K26" s="6" t="s">
        <v>7</v>
      </c>
      <c r="L26" s="6"/>
      <c r="M26" s="4"/>
      <c r="N26" s="4"/>
    </row>
    <row r="27" spans="1:14" customHeight="1" ht="53">
      <c r="A27" s="8" t="s">
        <v>2998</v>
      </c>
      <c r="B27" s="4" t="s">
        <v>2968</v>
      </c>
      <c r="C27" s="4" t="s">
        <v>2999</v>
      </c>
      <c r="D27" s="6" t="s">
        <v>322</v>
      </c>
      <c r="E27" s="4"/>
      <c r="F27" s="4"/>
      <c r="G27" s="6">
        <v>12</v>
      </c>
      <c r="H27" s="4" t="s">
        <v>3019</v>
      </c>
      <c r="I27" s="4" t="s">
        <v>3020</v>
      </c>
      <c r="J27" s="4"/>
      <c r="K27" s="6" t="s">
        <v>7</v>
      </c>
      <c r="L27" s="6"/>
      <c r="M27" s="4"/>
      <c r="N27" s="4"/>
    </row>
    <row r="28" spans="1:14" customHeight="1" ht="40">
      <c r="A28" s="9" t="s">
        <v>3021</v>
      </c>
      <c r="B28" s="5" t="s">
        <v>2968</v>
      </c>
      <c r="C28" s="5" t="s">
        <v>3022</v>
      </c>
      <c r="D28" s="7" t="s">
        <v>322</v>
      </c>
      <c r="E28" s="5" t="s">
        <v>3023</v>
      </c>
      <c r="F28" s="5" t="s">
        <v>3024</v>
      </c>
      <c r="G28" s="7">
        <v>1</v>
      </c>
      <c r="H28" s="5" t="s">
        <v>3025</v>
      </c>
      <c r="I28" s="5" t="s">
        <v>3026</v>
      </c>
      <c r="J28" s="5"/>
      <c r="K28" s="7" t="s">
        <v>7</v>
      </c>
      <c r="L28" s="7"/>
      <c r="M28" s="5"/>
      <c r="N28" s="5"/>
    </row>
    <row r="29" spans="1:14" customHeight="1" ht="40">
      <c r="A29" s="9" t="s">
        <v>3021</v>
      </c>
      <c r="B29" s="5" t="s">
        <v>2968</v>
      </c>
      <c r="C29" s="5" t="s">
        <v>3022</v>
      </c>
      <c r="D29" s="7" t="s">
        <v>322</v>
      </c>
      <c r="E29" s="5"/>
      <c r="F29" s="5"/>
      <c r="G29" s="7">
        <v>2</v>
      </c>
      <c r="H29" s="5" t="s">
        <v>3027</v>
      </c>
      <c r="I29" s="5" t="s">
        <v>3028</v>
      </c>
      <c r="J29" s="5"/>
      <c r="K29" s="7" t="s">
        <v>7</v>
      </c>
      <c r="L29" s="7"/>
      <c r="M29" s="5"/>
      <c r="N29" s="5"/>
    </row>
    <row r="30" spans="1:14" customHeight="1" ht="53">
      <c r="A30" s="9" t="s">
        <v>3021</v>
      </c>
      <c r="B30" s="5" t="s">
        <v>2968</v>
      </c>
      <c r="C30" s="5" t="s">
        <v>3022</v>
      </c>
      <c r="D30" s="7" t="s">
        <v>322</v>
      </c>
      <c r="E30" s="5"/>
      <c r="F30" s="5"/>
      <c r="G30" s="7">
        <v>3</v>
      </c>
      <c r="H30" s="5" t="s">
        <v>3029</v>
      </c>
      <c r="I30" s="5" t="s">
        <v>3030</v>
      </c>
      <c r="J30" s="5"/>
      <c r="K30" s="7" t="s">
        <v>7</v>
      </c>
      <c r="L30" s="7"/>
      <c r="M30" s="5"/>
      <c r="N30" s="5"/>
    </row>
    <row r="31" spans="1:14" customHeight="1" ht="30">
      <c r="A31" s="9" t="s">
        <v>3021</v>
      </c>
      <c r="B31" s="5" t="s">
        <v>2968</v>
      </c>
      <c r="C31" s="5" t="s">
        <v>3022</v>
      </c>
      <c r="D31" s="7" t="s">
        <v>322</v>
      </c>
      <c r="E31" s="5"/>
      <c r="F31" s="5"/>
      <c r="G31" s="7">
        <v>4</v>
      </c>
      <c r="H31" s="5" t="s">
        <v>3031</v>
      </c>
      <c r="I31" s="5" t="s">
        <v>3032</v>
      </c>
      <c r="J31" s="5"/>
      <c r="K31" s="7" t="s">
        <v>7</v>
      </c>
      <c r="L31" s="7"/>
      <c r="M31" s="5"/>
      <c r="N31" s="5"/>
    </row>
    <row r="32" spans="1:14" customHeight="1" ht="30">
      <c r="A32" s="8" t="s">
        <v>3033</v>
      </c>
      <c r="B32" s="4" t="s">
        <v>2968</v>
      </c>
      <c r="C32" s="4" t="s">
        <v>3034</v>
      </c>
      <c r="D32" s="6" t="s">
        <v>322</v>
      </c>
      <c r="E32" s="4" t="s">
        <v>3035</v>
      </c>
      <c r="F32" s="4" t="s">
        <v>2740</v>
      </c>
      <c r="G32" s="6">
        <v>1</v>
      </c>
      <c r="H32" s="4" t="s">
        <v>3036</v>
      </c>
      <c r="I32" s="4" t="s">
        <v>3037</v>
      </c>
      <c r="J32" s="4"/>
      <c r="K32" s="6" t="s">
        <v>7</v>
      </c>
      <c r="L32" s="6"/>
      <c r="M32" s="4"/>
      <c r="N32" s="4"/>
    </row>
    <row r="33" spans="1:14" customHeight="1" ht="30">
      <c r="A33" s="8" t="s">
        <v>3033</v>
      </c>
      <c r="B33" s="4" t="s">
        <v>2968</v>
      </c>
      <c r="C33" s="4" t="s">
        <v>3034</v>
      </c>
      <c r="D33" s="6" t="s">
        <v>322</v>
      </c>
      <c r="E33" s="4"/>
      <c r="F33" s="4"/>
      <c r="G33" s="6">
        <v>2</v>
      </c>
      <c r="H33" s="4" t="s">
        <v>2986</v>
      </c>
      <c r="I33" s="4" t="s">
        <v>3038</v>
      </c>
      <c r="J33" s="4"/>
      <c r="K33" s="6" t="s">
        <v>7</v>
      </c>
      <c r="L33" s="6"/>
      <c r="M33" s="4"/>
      <c r="N33" s="4"/>
    </row>
    <row r="34" spans="1:14" customHeight="1" ht="53">
      <c r="A34" s="8" t="s">
        <v>3033</v>
      </c>
      <c r="B34" s="4" t="s">
        <v>2968</v>
      </c>
      <c r="C34" s="4" t="s">
        <v>3034</v>
      </c>
      <c r="D34" s="6" t="s">
        <v>322</v>
      </c>
      <c r="E34" s="4"/>
      <c r="F34" s="4"/>
      <c r="G34" s="6">
        <v>3</v>
      </c>
      <c r="H34" s="4" t="s">
        <v>2990</v>
      </c>
      <c r="I34" s="4" t="s">
        <v>3039</v>
      </c>
      <c r="J34" s="4"/>
      <c r="K34" s="6" t="s">
        <v>7</v>
      </c>
      <c r="L34" s="6"/>
      <c r="M34" s="4"/>
      <c r="N34" s="4"/>
    </row>
    <row r="35" spans="1:14" customHeight="1" ht="30">
      <c r="A35" s="8" t="s">
        <v>3033</v>
      </c>
      <c r="B35" s="4" t="s">
        <v>2968</v>
      </c>
      <c r="C35" s="4" t="s">
        <v>3034</v>
      </c>
      <c r="D35" s="6" t="s">
        <v>322</v>
      </c>
      <c r="E35" s="4"/>
      <c r="F35" s="4"/>
      <c r="G35" s="6">
        <v>4</v>
      </c>
      <c r="H35" s="4" t="s">
        <v>3040</v>
      </c>
      <c r="I35" s="4" t="s">
        <v>3041</v>
      </c>
      <c r="J35" s="4"/>
      <c r="K35" s="6" t="s">
        <v>7</v>
      </c>
      <c r="L35" s="6"/>
      <c r="M35" s="4"/>
      <c r="N35" s="4"/>
    </row>
    <row r="36" spans="1:14" customHeight="1" ht="40">
      <c r="A36" s="8" t="s">
        <v>3033</v>
      </c>
      <c r="B36" s="4" t="s">
        <v>2968</v>
      </c>
      <c r="C36" s="4" t="s">
        <v>3034</v>
      </c>
      <c r="D36" s="6" t="s">
        <v>322</v>
      </c>
      <c r="E36" s="4"/>
      <c r="F36" s="4"/>
      <c r="G36" s="6">
        <v>5</v>
      </c>
      <c r="H36" s="4" t="s">
        <v>3042</v>
      </c>
      <c r="I36" s="4" t="s">
        <v>3043</v>
      </c>
      <c r="J36" s="4"/>
      <c r="K36" s="6" t="s">
        <v>7</v>
      </c>
      <c r="L36" s="6"/>
      <c r="M36" s="4"/>
      <c r="N36" s="4"/>
    </row>
    <row r="37" spans="1:14" customHeight="1" ht="30">
      <c r="A37" s="8" t="s">
        <v>3033</v>
      </c>
      <c r="B37" s="4" t="s">
        <v>2968</v>
      </c>
      <c r="C37" s="4" t="s">
        <v>3034</v>
      </c>
      <c r="D37" s="6" t="s">
        <v>322</v>
      </c>
      <c r="E37" s="4"/>
      <c r="F37" s="4"/>
      <c r="G37" s="6">
        <v>6</v>
      </c>
      <c r="H37" s="4" t="s">
        <v>3044</v>
      </c>
      <c r="I37" s="4" t="s">
        <v>3041</v>
      </c>
      <c r="J37" s="4"/>
      <c r="K37" s="6" t="s">
        <v>7</v>
      </c>
      <c r="L37" s="6"/>
      <c r="M37" s="4"/>
      <c r="N37" s="4"/>
    </row>
    <row r="38" spans="1:14" customHeight="1" ht="40">
      <c r="A38" s="8" t="s">
        <v>3033</v>
      </c>
      <c r="B38" s="4" t="s">
        <v>2968</v>
      </c>
      <c r="C38" s="4" t="s">
        <v>3034</v>
      </c>
      <c r="D38" s="6" t="s">
        <v>322</v>
      </c>
      <c r="E38" s="4"/>
      <c r="F38" s="4"/>
      <c r="G38" s="6">
        <v>7</v>
      </c>
      <c r="H38" s="4" t="s">
        <v>3045</v>
      </c>
      <c r="I38" s="4" t="s">
        <v>3046</v>
      </c>
      <c r="J38" s="4"/>
      <c r="K38" s="6" t="s">
        <v>7</v>
      </c>
      <c r="L38" s="6"/>
      <c r="M38" s="4"/>
      <c r="N38" s="4"/>
    </row>
    <row r="39" spans="1:14" customHeight="1" ht="30">
      <c r="A39" s="8" t="s">
        <v>3033</v>
      </c>
      <c r="B39" s="4" t="s">
        <v>2968</v>
      </c>
      <c r="C39" s="4" t="s">
        <v>3034</v>
      </c>
      <c r="D39" s="6" t="s">
        <v>322</v>
      </c>
      <c r="E39" s="4"/>
      <c r="F39" s="4"/>
      <c r="G39" s="6">
        <v>8</v>
      </c>
      <c r="H39" s="4" t="s">
        <v>3047</v>
      </c>
      <c r="I39" s="4" t="s">
        <v>3048</v>
      </c>
      <c r="J39" s="4"/>
      <c r="K39" s="6" t="s">
        <v>7</v>
      </c>
      <c r="L39" s="6"/>
      <c r="M39" s="4"/>
      <c r="N39" s="4"/>
    </row>
    <row r="40" spans="1:14" customHeight="1" ht="40">
      <c r="A40" s="8" t="s">
        <v>3033</v>
      </c>
      <c r="B40" s="4" t="s">
        <v>2968</v>
      </c>
      <c r="C40" s="4" t="s">
        <v>3034</v>
      </c>
      <c r="D40" s="6" t="s">
        <v>322</v>
      </c>
      <c r="E40" s="4"/>
      <c r="F40" s="4"/>
      <c r="G40" s="6">
        <v>9</v>
      </c>
      <c r="H40" s="4" t="s">
        <v>3049</v>
      </c>
      <c r="I40" s="4" t="s">
        <v>3050</v>
      </c>
      <c r="J40" s="4"/>
      <c r="K40" s="6" t="s">
        <v>7</v>
      </c>
      <c r="L40" s="6"/>
      <c r="M40" s="4"/>
      <c r="N40" s="4"/>
    </row>
    <row r="41" spans="1:14" customHeight="1" ht="30">
      <c r="A41" s="9" t="s">
        <v>3051</v>
      </c>
      <c r="B41" s="5" t="s">
        <v>2968</v>
      </c>
      <c r="C41" s="5" t="s">
        <v>3052</v>
      </c>
      <c r="D41" s="7" t="s">
        <v>322</v>
      </c>
      <c r="E41" s="5" t="s">
        <v>3053</v>
      </c>
      <c r="F41" s="5" t="s">
        <v>3054</v>
      </c>
      <c r="G41" s="7">
        <v>1</v>
      </c>
      <c r="H41" s="5" t="s">
        <v>3055</v>
      </c>
      <c r="I41" s="5" t="s">
        <v>3037</v>
      </c>
      <c r="J41" s="5"/>
      <c r="K41" s="7" t="s">
        <v>7</v>
      </c>
      <c r="L41" s="7"/>
      <c r="M41" s="5"/>
      <c r="N41" s="5"/>
    </row>
    <row r="42" spans="1:14" customHeight="1" ht="53">
      <c r="A42" s="9" t="s">
        <v>3051</v>
      </c>
      <c r="B42" s="5" t="s">
        <v>2968</v>
      </c>
      <c r="C42" s="5" t="s">
        <v>3052</v>
      </c>
      <c r="D42" s="7" t="s">
        <v>322</v>
      </c>
      <c r="E42" s="5"/>
      <c r="F42" s="5"/>
      <c r="G42" s="7">
        <v>2</v>
      </c>
      <c r="H42" s="5" t="s">
        <v>3056</v>
      </c>
      <c r="I42" s="5" t="s">
        <v>3057</v>
      </c>
      <c r="J42" s="5"/>
      <c r="K42" s="7" t="s">
        <v>7</v>
      </c>
      <c r="L42" s="7"/>
      <c r="M42" s="5"/>
      <c r="N42" s="5"/>
    </row>
    <row r="43" spans="1:14" customHeight="1" ht="40">
      <c r="A43" s="9" t="s">
        <v>3051</v>
      </c>
      <c r="B43" s="5" t="s">
        <v>2968</v>
      </c>
      <c r="C43" s="5" t="s">
        <v>3052</v>
      </c>
      <c r="D43" s="7" t="s">
        <v>322</v>
      </c>
      <c r="E43" s="5"/>
      <c r="F43" s="5"/>
      <c r="G43" s="7">
        <v>3</v>
      </c>
      <c r="H43" s="5" t="s">
        <v>3058</v>
      </c>
      <c r="I43" s="5" t="s">
        <v>3059</v>
      </c>
      <c r="J43" s="5"/>
      <c r="K43" s="7" t="s">
        <v>7</v>
      </c>
      <c r="L43" s="7"/>
      <c r="M43" s="5"/>
      <c r="N43" s="5"/>
    </row>
    <row r="44" spans="1:14" customHeight="1" ht="40">
      <c r="A44" s="9" t="s">
        <v>3051</v>
      </c>
      <c r="B44" s="5" t="s">
        <v>2968</v>
      </c>
      <c r="C44" s="5" t="s">
        <v>3052</v>
      </c>
      <c r="D44" s="7" t="s">
        <v>322</v>
      </c>
      <c r="E44" s="5"/>
      <c r="F44" s="5"/>
      <c r="G44" s="7">
        <v>4</v>
      </c>
      <c r="H44" s="5" t="s">
        <v>3060</v>
      </c>
      <c r="I44" s="5" t="s">
        <v>3061</v>
      </c>
      <c r="J44" s="5"/>
      <c r="K44" s="7" t="s">
        <v>7</v>
      </c>
      <c r="L44" s="7"/>
      <c r="M44" s="5"/>
      <c r="N44" s="5"/>
    </row>
    <row r="45" spans="1:14" customHeight="1" ht="40">
      <c r="A45" s="9" t="s">
        <v>3051</v>
      </c>
      <c r="B45" s="5" t="s">
        <v>2968</v>
      </c>
      <c r="C45" s="5" t="s">
        <v>3052</v>
      </c>
      <c r="D45" s="7" t="s">
        <v>322</v>
      </c>
      <c r="E45" s="5"/>
      <c r="F45" s="5"/>
      <c r="G45" s="7">
        <v>5</v>
      </c>
      <c r="H45" s="5" t="s">
        <v>3062</v>
      </c>
      <c r="I45" s="5" t="s">
        <v>3063</v>
      </c>
      <c r="J45" s="5"/>
      <c r="K45" s="7" t="s">
        <v>7</v>
      </c>
      <c r="L45" s="7"/>
      <c r="M45" s="5"/>
      <c r="N45" s="5"/>
    </row>
    <row r="46" spans="1:14" customHeight="1" ht="30">
      <c r="A46" s="9" t="s">
        <v>3051</v>
      </c>
      <c r="B46" s="5" t="s">
        <v>2968</v>
      </c>
      <c r="C46" s="5" t="s">
        <v>3052</v>
      </c>
      <c r="D46" s="7" t="s">
        <v>322</v>
      </c>
      <c r="E46" s="5"/>
      <c r="F46" s="5"/>
      <c r="G46" s="7">
        <v>6</v>
      </c>
      <c r="H46" s="5" t="s">
        <v>3064</v>
      </c>
      <c r="I46" s="5" t="s">
        <v>3005</v>
      </c>
      <c r="J46" s="5"/>
      <c r="K46" s="7" t="s">
        <v>7</v>
      </c>
      <c r="L46" s="7"/>
      <c r="M46" s="5"/>
      <c r="N46" s="5"/>
    </row>
    <row r="47" spans="1:14" customHeight="1" ht="30">
      <c r="A47" s="9" t="s">
        <v>3051</v>
      </c>
      <c r="B47" s="5" t="s">
        <v>2968</v>
      </c>
      <c r="C47" s="5" t="s">
        <v>3052</v>
      </c>
      <c r="D47" s="7" t="s">
        <v>322</v>
      </c>
      <c r="E47" s="5"/>
      <c r="F47" s="5"/>
      <c r="G47" s="7">
        <v>7</v>
      </c>
      <c r="H47" s="5" t="s">
        <v>3065</v>
      </c>
      <c r="I47" s="5" t="s">
        <v>3066</v>
      </c>
      <c r="J47" s="5"/>
      <c r="K47" s="7" t="s">
        <v>7</v>
      </c>
      <c r="L47" s="7"/>
      <c r="M47" s="5"/>
      <c r="N47" s="5"/>
    </row>
    <row r="48" spans="1:14" customHeight="1" ht="30">
      <c r="A48" s="9" t="s">
        <v>3051</v>
      </c>
      <c r="B48" s="5" t="s">
        <v>2968</v>
      </c>
      <c r="C48" s="5" t="s">
        <v>3052</v>
      </c>
      <c r="D48" s="7" t="s">
        <v>322</v>
      </c>
      <c r="E48" s="5"/>
      <c r="F48" s="5"/>
      <c r="G48" s="7">
        <v>8</v>
      </c>
      <c r="H48" s="5" t="s">
        <v>3067</v>
      </c>
      <c r="I48" s="5" t="s">
        <v>3068</v>
      </c>
      <c r="J48" s="5"/>
      <c r="K48" s="7" t="s">
        <v>7</v>
      </c>
      <c r="L48" s="7"/>
      <c r="M48" s="5"/>
      <c r="N48" s="5"/>
    </row>
    <row r="49" spans="1:14" customHeight="1" ht="30">
      <c r="A49" s="9" t="s">
        <v>3051</v>
      </c>
      <c r="B49" s="5" t="s">
        <v>2968</v>
      </c>
      <c r="C49" s="5" t="s">
        <v>3052</v>
      </c>
      <c r="D49" s="7" t="s">
        <v>322</v>
      </c>
      <c r="E49" s="5"/>
      <c r="F49" s="5"/>
      <c r="G49" s="7">
        <v>9</v>
      </c>
      <c r="H49" s="5" t="s">
        <v>3069</v>
      </c>
      <c r="I49" s="5" t="s">
        <v>3070</v>
      </c>
      <c r="J49" s="5"/>
      <c r="K49" s="7" t="s">
        <v>7</v>
      </c>
      <c r="L49" s="7"/>
      <c r="M49" s="5"/>
      <c r="N49" s="5"/>
    </row>
    <row r="50" spans="1:14" customHeight="1" ht="30">
      <c r="A50" s="9" t="s">
        <v>3051</v>
      </c>
      <c r="B50" s="5" t="s">
        <v>2968</v>
      </c>
      <c r="C50" s="5" t="s">
        <v>3052</v>
      </c>
      <c r="D50" s="7" t="s">
        <v>322</v>
      </c>
      <c r="E50" s="5"/>
      <c r="F50" s="5"/>
      <c r="G50" s="7">
        <v>10</v>
      </c>
      <c r="H50" s="5" t="s">
        <v>3071</v>
      </c>
      <c r="I50" s="5" t="s">
        <v>3016</v>
      </c>
      <c r="J50" s="5"/>
      <c r="K50" s="7" t="s">
        <v>7</v>
      </c>
      <c r="L50" s="7"/>
      <c r="M50" s="5"/>
      <c r="N50" s="5"/>
    </row>
    <row r="51" spans="1:14" customHeight="1" ht="30">
      <c r="A51" s="9" t="s">
        <v>3051</v>
      </c>
      <c r="B51" s="5" t="s">
        <v>2968</v>
      </c>
      <c r="C51" s="5" t="s">
        <v>3052</v>
      </c>
      <c r="D51" s="7" t="s">
        <v>322</v>
      </c>
      <c r="E51" s="5"/>
      <c r="F51" s="5"/>
      <c r="G51" s="7">
        <v>11</v>
      </c>
      <c r="H51" s="5" t="s">
        <v>3072</v>
      </c>
      <c r="I51" s="5" t="s">
        <v>3073</v>
      </c>
      <c r="J51" s="5"/>
      <c r="K51" s="7" t="s">
        <v>7</v>
      </c>
      <c r="L51" s="7"/>
      <c r="M51" s="5"/>
      <c r="N51" s="5"/>
    </row>
    <row r="52" spans="1:14" customHeight="1" ht="30">
      <c r="A52" s="9" t="s">
        <v>3051</v>
      </c>
      <c r="B52" s="5" t="s">
        <v>2968</v>
      </c>
      <c r="C52" s="5" t="s">
        <v>3052</v>
      </c>
      <c r="D52" s="7" t="s">
        <v>322</v>
      </c>
      <c r="E52" s="5"/>
      <c r="F52" s="5"/>
      <c r="G52" s="7">
        <v>12</v>
      </c>
      <c r="H52" s="5" t="s">
        <v>3074</v>
      </c>
      <c r="I52" s="5" t="s">
        <v>3075</v>
      </c>
      <c r="J52" s="5"/>
      <c r="K52" s="7" t="s">
        <v>7</v>
      </c>
      <c r="L52" s="7"/>
      <c r="M52" s="5"/>
      <c r="N52" s="5"/>
    </row>
    <row r="53" spans="1:14" customHeight="1" ht="30">
      <c r="A53" s="9" t="s">
        <v>3051</v>
      </c>
      <c r="B53" s="5" t="s">
        <v>2968</v>
      </c>
      <c r="C53" s="5" t="s">
        <v>3052</v>
      </c>
      <c r="D53" s="7" t="s">
        <v>322</v>
      </c>
      <c r="E53" s="5"/>
      <c r="F53" s="5"/>
      <c r="G53" s="7">
        <v>13</v>
      </c>
      <c r="H53" s="5" t="s">
        <v>3076</v>
      </c>
      <c r="I53" s="5" t="s">
        <v>3077</v>
      </c>
      <c r="J53" s="5"/>
      <c r="K53" s="7" t="s">
        <v>7</v>
      </c>
      <c r="L53" s="7"/>
      <c r="M53" s="5"/>
      <c r="N53" s="5"/>
    </row>
    <row r="54" spans="1:14" customHeight="1" ht="30">
      <c r="A54" s="9" t="s">
        <v>3051</v>
      </c>
      <c r="B54" s="5" t="s">
        <v>2968</v>
      </c>
      <c r="C54" s="5" t="s">
        <v>3052</v>
      </c>
      <c r="D54" s="7" t="s">
        <v>322</v>
      </c>
      <c r="E54" s="5"/>
      <c r="F54" s="5"/>
      <c r="G54" s="7">
        <v>14</v>
      </c>
      <c r="H54" s="5" t="s">
        <v>3078</v>
      </c>
      <c r="I54" s="5" t="s">
        <v>3079</v>
      </c>
      <c r="J54" s="5"/>
      <c r="K54" s="7" t="s">
        <v>7</v>
      </c>
      <c r="L54" s="7"/>
      <c r="M54" s="5"/>
      <c r="N54" s="5"/>
    </row>
    <row r="55" spans="1:14" customHeight="1" ht="40">
      <c r="A55" s="8" t="s">
        <v>3080</v>
      </c>
      <c r="B55" s="4" t="s">
        <v>2968</v>
      </c>
      <c r="C55" s="4" t="s">
        <v>3081</v>
      </c>
      <c r="D55" s="6" t="s">
        <v>309</v>
      </c>
      <c r="E55" s="4" t="s">
        <v>3082</v>
      </c>
      <c r="F55" s="4" t="s">
        <v>3083</v>
      </c>
      <c r="G55" s="6">
        <v>1</v>
      </c>
      <c r="H55" s="4" t="s">
        <v>3084</v>
      </c>
      <c r="I55" s="4" t="s">
        <v>2374</v>
      </c>
      <c r="J55" s="4"/>
      <c r="K55" s="6" t="s">
        <v>7</v>
      </c>
      <c r="L55" s="6"/>
      <c r="M55" s="4"/>
      <c r="N55" s="4"/>
    </row>
    <row r="56" spans="1:14" customHeight="1" ht="40">
      <c r="A56" s="8" t="s">
        <v>3080</v>
      </c>
      <c r="B56" s="4" t="s">
        <v>2968</v>
      </c>
      <c r="C56" s="4" t="s">
        <v>3081</v>
      </c>
      <c r="D56" s="6" t="s">
        <v>309</v>
      </c>
      <c r="E56" s="4"/>
      <c r="F56" s="4"/>
      <c r="G56" s="6">
        <v>2</v>
      </c>
      <c r="H56" s="4" t="s">
        <v>3085</v>
      </c>
      <c r="I56" s="4" t="s">
        <v>3086</v>
      </c>
      <c r="J56" s="4"/>
      <c r="K56" s="6" t="s">
        <v>7</v>
      </c>
      <c r="L56" s="6"/>
      <c r="M56" s="4"/>
      <c r="N56" s="4"/>
    </row>
    <row r="57" spans="1:14" customHeight="1" ht="40">
      <c r="A57" s="8" t="s">
        <v>3080</v>
      </c>
      <c r="B57" s="4" t="s">
        <v>2968</v>
      </c>
      <c r="C57" s="4" t="s">
        <v>3081</v>
      </c>
      <c r="D57" s="6" t="s">
        <v>309</v>
      </c>
      <c r="E57" s="4"/>
      <c r="F57" s="4"/>
      <c r="G57" s="6">
        <v>3</v>
      </c>
      <c r="H57" s="4" t="s">
        <v>3087</v>
      </c>
      <c r="I57" s="4" t="s">
        <v>3088</v>
      </c>
      <c r="J57" s="4"/>
      <c r="K57" s="6" t="s">
        <v>7</v>
      </c>
      <c r="L57" s="6"/>
      <c r="M57" s="4"/>
      <c r="N57" s="4"/>
    </row>
    <row r="58" spans="1:14" customHeight="1" ht="40">
      <c r="A58" s="8" t="s">
        <v>3080</v>
      </c>
      <c r="B58" s="4" t="s">
        <v>2968</v>
      </c>
      <c r="C58" s="4" t="s">
        <v>3081</v>
      </c>
      <c r="D58" s="6" t="s">
        <v>309</v>
      </c>
      <c r="E58" s="4"/>
      <c r="F58" s="4"/>
      <c r="G58" s="6">
        <v>4</v>
      </c>
      <c r="H58" s="4" t="s">
        <v>3089</v>
      </c>
      <c r="I58" s="4" t="s">
        <v>3090</v>
      </c>
      <c r="J58" s="4"/>
      <c r="K58" s="6" t="s">
        <v>7</v>
      </c>
      <c r="L58" s="6"/>
      <c r="M58" s="4"/>
      <c r="N58" s="4"/>
    </row>
    <row r="59" spans="1:14" customHeight="1" ht="40">
      <c r="A59" s="9" t="s">
        <v>3091</v>
      </c>
      <c r="B59" s="5" t="s">
        <v>2968</v>
      </c>
      <c r="C59" s="5" t="s">
        <v>3092</v>
      </c>
      <c r="D59" s="7" t="s">
        <v>322</v>
      </c>
      <c r="E59" s="5" t="s">
        <v>3093</v>
      </c>
      <c r="F59" s="5" t="s">
        <v>3094</v>
      </c>
      <c r="G59" s="7">
        <v>1</v>
      </c>
      <c r="H59" s="5" t="s">
        <v>3095</v>
      </c>
      <c r="I59" s="5" t="s">
        <v>3096</v>
      </c>
      <c r="J59" s="5"/>
      <c r="K59" s="7" t="s">
        <v>7</v>
      </c>
      <c r="L59" s="7"/>
      <c r="M59" s="5"/>
      <c r="N59" s="5"/>
    </row>
    <row r="60" spans="1:14" customHeight="1" ht="30">
      <c r="A60" s="9" t="s">
        <v>3091</v>
      </c>
      <c r="B60" s="5" t="s">
        <v>2968</v>
      </c>
      <c r="C60" s="5" t="s">
        <v>3092</v>
      </c>
      <c r="D60" s="7" t="s">
        <v>322</v>
      </c>
      <c r="E60" s="5"/>
      <c r="F60" s="5"/>
      <c r="G60" s="7">
        <v>2</v>
      </c>
      <c r="H60" s="5" t="s">
        <v>3056</v>
      </c>
      <c r="I60" s="5" t="s">
        <v>3097</v>
      </c>
      <c r="J60" s="5"/>
      <c r="K60" s="7" t="s">
        <v>7</v>
      </c>
      <c r="L60" s="7"/>
      <c r="M60" s="5"/>
      <c r="N60" s="5"/>
    </row>
    <row r="61" spans="1:14" customHeight="1" ht="53">
      <c r="A61" s="9" t="s">
        <v>3091</v>
      </c>
      <c r="B61" s="5" t="s">
        <v>2968</v>
      </c>
      <c r="C61" s="5" t="s">
        <v>3092</v>
      </c>
      <c r="D61" s="7" t="s">
        <v>322</v>
      </c>
      <c r="E61" s="5"/>
      <c r="F61" s="5"/>
      <c r="G61" s="7">
        <v>3</v>
      </c>
      <c r="H61" s="5" t="s">
        <v>2990</v>
      </c>
      <c r="I61" s="5" t="s">
        <v>3098</v>
      </c>
      <c r="J61" s="5"/>
      <c r="K61" s="7" t="s">
        <v>7</v>
      </c>
      <c r="L61" s="7"/>
      <c r="M61" s="5"/>
      <c r="N61" s="5"/>
    </row>
    <row r="62" spans="1:14" customHeight="1" ht="30">
      <c r="A62" s="9" t="s">
        <v>3091</v>
      </c>
      <c r="B62" s="5" t="s">
        <v>2968</v>
      </c>
      <c r="C62" s="5" t="s">
        <v>3092</v>
      </c>
      <c r="D62" s="7" t="s">
        <v>322</v>
      </c>
      <c r="E62" s="5"/>
      <c r="F62" s="5"/>
      <c r="G62" s="7">
        <v>4</v>
      </c>
      <c r="H62" s="5" t="s">
        <v>2996</v>
      </c>
      <c r="I62" s="5" t="s">
        <v>3099</v>
      </c>
      <c r="J62" s="5"/>
      <c r="K62" s="7" t="s">
        <v>7</v>
      </c>
      <c r="L62" s="7"/>
      <c r="M62" s="5"/>
      <c r="N62" s="5"/>
    </row>
    <row r="63" spans="1:14" customHeight="1" ht="30">
      <c r="A63" s="9" t="s">
        <v>3091</v>
      </c>
      <c r="B63" s="5" t="s">
        <v>2968</v>
      </c>
      <c r="C63" s="5" t="s">
        <v>3092</v>
      </c>
      <c r="D63" s="7" t="s">
        <v>322</v>
      </c>
      <c r="E63" s="5"/>
      <c r="F63" s="5"/>
      <c r="G63" s="7">
        <v>5</v>
      </c>
      <c r="H63" s="5" t="s">
        <v>3100</v>
      </c>
      <c r="I63" s="5" t="s">
        <v>3101</v>
      </c>
      <c r="J63" s="5"/>
      <c r="K63" s="7" t="s">
        <v>7</v>
      </c>
      <c r="L63" s="7"/>
      <c r="M63" s="5"/>
      <c r="N63" s="5"/>
    </row>
    <row r="64" spans="1:14" customHeight="1" ht="40">
      <c r="A64" s="9" t="s">
        <v>3091</v>
      </c>
      <c r="B64" s="5" t="s">
        <v>2968</v>
      </c>
      <c r="C64" s="5" t="s">
        <v>3092</v>
      </c>
      <c r="D64" s="7" t="s">
        <v>322</v>
      </c>
      <c r="E64" s="5"/>
      <c r="F64" s="5"/>
      <c r="G64" s="7">
        <v>6</v>
      </c>
      <c r="H64" s="5" t="s">
        <v>3076</v>
      </c>
      <c r="I64" s="5" t="s">
        <v>3102</v>
      </c>
      <c r="J64" s="5"/>
      <c r="K64" s="7" t="s">
        <v>7</v>
      </c>
      <c r="L64" s="7"/>
      <c r="M64" s="5"/>
      <c r="N64" s="5"/>
    </row>
    <row r="65" spans="1:14" customHeight="1" ht="53">
      <c r="A65" s="9" t="s">
        <v>3091</v>
      </c>
      <c r="B65" s="5" t="s">
        <v>2968</v>
      </c>
      <c r="C65" s="5" t="s">
        <v>3092</v>
      </c>
      <c r="D65" s="7" t="s">
        <v>322</v>
      </c>
      <c r="E65" s="5"/>
      <c r="F65" s="5"/>
      <c r="G65" s="7">
        <v>7</v>
      </c>
      <c r="H65" s="5" t="s">
        <v>3103</v>
      </c>
      <c r="I65" s="5" t="s">
        <v>3104</v>
      </c>
      <c r="J65" s="5"/>
      <c r="K65" s="7" t="s">
        <v>7</v>
      </c>
      <c r="L65" s="7"/>
      <c r="M65" s="5"/>
      <c r="N65" s="5"/>
    </row>
    <row r="66" spans="1:14" customHeight="1" ht="40">
      <c r="A66" s="8" t="s">
        <v>3105</v>
      </c>
      <c r="B66" s="4" t="s">
        <v>2968</v>
      </c>
      <c r="C66" s="4" t="s">
        <v>3106</v>
      </c>
      <c r="D66" s="6" t="s">
        <v>322</v>
      </c>
      <c r="E66" s="4" t="s">
        <v>3107</v>
      </c>
      <c r="F66" s="4" t="s">
        <v>3108</v>
      </c>
      <c r="G66" s="6">
        <v>1</v>
      </c>
      <c r="H66" s="4" t="s">
        <v>3109</v>
      </c>
      <c r="I66" s="4" t="s">
        <v>3037</v>
      </c>
      <c r="J66" s="4"/>
      <c r="K66" s="6" t="s">
        <v>7</v>
      </c>
      <c r="L66" s="6"/>
      <c r="M66" s="4"/>
      <c r="N66" s="4"/>
    </row>
    <row r="67" spans="1:14" customHeight="1" ht="30">
      <c r="A67" s="8" t="s">
        <v>3105</v>
      </c>
      <c r="B67" s="4" t="s">
        <v>2968</v>
      </c>
      <c r="C67" s="4" t="s">
        <v>3106</v>
      </c>
      <c r="D67" s="6" t="s">
        <v>322</v>
      </c>
      <c r="E67" s="4"/>
      <c r="F67" s="4"/>
      <c r="G67" s="6">
        <v>2</v>
      </c>
      <c r="H67" s="4" t="s">
        <v>3056</v>
      </c>
      <c r="I67" s="4" t="s">
        <v>3110</v>
      </c>
      <c r="J67" s="4"/>
      <c r="K67" s="6" t="s">
        <v>7</v>
      </c>
      <c r="L67" s="6"/>
      <c r="M67" s="4"/>
      <c r="N67" s="4"/>
    </row>
    <row r="68" spans="1:14" customHeight="1" ht="40">
      <c r="A68" s="8" t="s">
        <v>3105</v>
      </c>
      <c r="B68" s="4" t="s">
        <v>2968</v>
      </c>
      <c r="C68" s="4" t="s">
        <v>3106</v>
      </c>
      <c r="D68" s="6" t="s">
        <v>322</v>
      </c>
      <c r="E68" s="4"/>
      <c r="F68" s="4"/>
      <c r="G68" s="6">
        <v>3</v>
      </c>
      <c r="H68" s="4" t="s">
        <v>2988</v>
      </c>
      <c r="I68" s="4" t="s">
        <v>3111</v>
      </c>
      <c r="J68" s="4"/>
      <c r="K68" s="6" t="s">
        <v>7</v>
      </c>
      <c r="L68" s="6"/>
      <c r="M68" s="4"/>
      <c r="N68" s="4"/>
    </row>
    <row r="69" spans="1:14" customHeight="1" ht="30">
      <c r="A69" s="8" t="s">
        <v>3105</v>
      </c>
      <c r="B69" s="4" t="s">
        <v>2968</v>
      </c>
      <c r="C69" s="4" t="s">
        <v>3106</v>
      </c>
      <c r="D69" s="6" t="s">
        <v>322</v>
      </c>
      <c r="E69" s="4"/>
      <c r="F69" s="4"/>
      <c r="G69" s="6">
        <v>4</v>
      </c>
      <c r="H69" s="4" t="s">
        <v>2996</v>
      </c>
      <c r="I69" s="4" t="s">
        <v>3112</v>
      </c>
      <c r="J69" s="4"/>
      <c r="K69" s="6" t="s">
        <v>7</v>
      </c>
      <c r="L69" s="6"/>
      <c r="M69" s="4"/>
      <c r="N69" s="4"/>
    </row>
    <row r="70" spans="1:14" customHeight="1" ht="40">
      <c r="A70" s="8" t="s">
        <v>3105</v>
      </c>
      <c r="B70" s="4" t="s">
        <v>2968</v>
      </c>
      <c r="C70" s="4" t="s">
        <v>3106</v>
      </c>
      <c r="D70" s="6" t="s">
        <v>322</v>
      </c>
      <c r="E70" s="4"/>
      <c r="F70" s="4"/>
      <c r="G70" s="6">
        <v>5</v>
      </c>
      <c r="H70" s="4" t="s">
        <v>3113</v>
      </c>
      <c r="I70" s="4" t="s">
        <v>3114</v>
      </c>
      <c r="J70" s="4"/>
      <c r="K70" s="6" t="s">
        <v>7</v>
      </c>
      <c r="L70" s="6"/>
      <c r="M70" s="4"/>
      <c r="N70" s="4"/>
    </row>
    <row r="71" spans="1:14" customHeight="1" ht="53">
      <c r="A71" s="8" t="s">
        <v>3105</v>
      </c>
      <c r="B71" s="4" t="s">
        <v>2968</v>
      </c>
      <c r="C71" s="4" t="s">
        <v>3106</v>
      </c>
      <c r="D71" s="6" t="s">
        <v>322</v>
      </c>
      <c r="E71" s="4"/>
      <c r="F71" s="4"/>
      <c r="G71" s="6">
        <v>6</v>
      </c>
      <c r="H71" s="4" t="s">
        <v>3115</v>
      </c>
      <c r="I71" s="4" t="s">
        <v>3116</v>
      </c>
      <c r="J71" s="4"/>
      <c r="K71" s="6" t="s">
        <v>7</v>
      </c>
      <c r="L71" s="6"/>
      <c r="M71" s="4"/>
      <c r="N71" s="4"/>
    </row>
    <row r="72" spans="1:14" customHeight="1" ht="30">
      <c r="A72" s="9" t="s">
        <v>3117</v>
      </c>
      <c r="B72" s="5" t="s">
        <v>2968</v>
      </c>
      <c r="C72" s="5" t="s">
        <v>3118</v>
      </c>
      <c r="D72" s="7" t="s">
        <v>322</v>
      </c>
      <c r="E72" s="5" t="s">
        <v>3119</v>
      </c>
      <c r="F72" s="5" t="s">
        <v>3120</v>
      </c>
      <c r="G72" s="7">
        <v>1</v>
      </c>
      <c r="H72" s="5" t="s">
        <v>3121</v>
      </c>
      <c r="I72" s="5" t="s">
        <v>2742</v>
      </c>
      <c r="J72" s="5"/>
      <c r="K72" s="7" t="s">
        <v>7</v>
      </c>
      <c r="L72" s="7"/>
      <c r="M72" s="5"/>
      <c r="N72" s="5"/>
    </row>
    <row r="73" spans="1:14" customHeight="1" ht="40">
      <c r="A73" s="9" t="s">
        <v>3117</v>
      </c>
      <c r="B73" s="5" t="s">
        <v>2968</v>
      </c>
      <c r="C73" s="5" t="s">
        <v>3118</v>
      </c>
      <c r="D73" s="7" t="s">
        <v>322</v>
      </c>
      <c r="E73" s="5"/>
      <c r="F73" s="5"/>
      <c r="G73" s="7">
        <v>2</v>
      </c>
      <c r="H73" s="5" t="s">
        <v>3056</v>
      </c>
      <c r="I73" s="5" t="s">
        <v>3122</v>
      </c>
      <c r="J73" s="5"/>
      <c r="K73" s="7" t="s">
        <v>7</v>
      </c>
      <c r="L73" s="7"/>
      <c r="M73" s="5"/>
      <c r="N73" s="5"/>
    </row>
    <row r="74" spans="1:14" customHeight="1" ht="30">
      <c r="A74" s="9" t="s">
        <v>3117</v>
      </c>
      <c r="B74" s="5" t="s">
        <v>2968</v>
      </c>
      <c r="C74" s="5" t="s">
        <v>3118</v>
      </c>
      <c r="D74" s="7" t="s">
        <v>322</v>
      </c>
      <c r="E74" s="5"/>
      <c r="F74" s="5"/>
      <c r="G74" s="7">
        <v>3</v>
      </c>
      <c r="H74" s="5" t="s">
        <v>2996</v>
      </c>
      <c r="I74" s="5" t="s">
        <v>3112</v>
      </c>
      <c r="J74" s="5"/>
      <c r="K74" s="7" t="s">
        <v>7</v>
      </c>
      <c r="L74" s="7"/>
      <c r="M74" s="5"/>
      <c r="N74" s="5"/>
    </row>
    <row r="75" spans="1:14" customHeight="1" ht="40">
      <c r="A75" s="9" t="s">
        <v>3117</v>
      </c>
      <c r="B75" s="5" t="s">
        <v>2968</v>
      </c>
      <c r="C75" s="5" t="s">
        <v>3118</v>
      </c>
      <c r="D75" s="7" t="s">
        <v>322</v>
      </c>
      <c r="E75" s="5"/>
      <c r="F75" s="5"/>
      <c r="G75" s="7">
        <v>4</v>
      </c>
      <c r="H75" s="5" t="s">
        <v>3123</v>
      </c>
      <c r="I75" s="5" t="s">
        <v>2742</v>
      </c>
      <c r="J75" s="5"/>
      <c r="K75" s="7" t="s">
        <v>7</v>
      </c>
      <c r="L75" s="7"/>
      <c r="M75" s="5"/>
      <c r="N75" s="5"/>
    </row>
    <row r="76" spans="1:14" customHeight="1" ht="40">
      <c r="A76" s="9" t="s">
        <v>3117</v>
      </c>
      <c r="B76" s="5" t="s">
        <v>2968</v>
      </c>
      <c r="C76" s="5" t="s">
        <v>3118</v>
      </c>
      <c r="D76" s="7" t="s">
        <v>322</v>
      </c>
      <c r="E76" s="5"/>
      <c r="F76" s="5"/>
      <c r="G76" s="7">
        <v>5</v>
      </c>
      <c r="H76" s="5" t="s">
        <v>3056</v>
      </c>
      <c r="I76" s="5" t="s">
        <v>3124</v>
      </c>
      <c r="J76" s="5"/>
      <c r="K76" s="7" t="s">
        <v>7</v>
      </c>
      <c r="L76" s="7"/>
      <c r="M76" s="5"/>
      <c r="N76" s="5"/>
    </row>
    <row r="77" spans="1:14" customHeight="1" ht="40">
      <c r="A77" s="9" t="s">
        <v>3117</v>
      </c>
      <c r="B77" s="5" t="s">
        <v>2968</v>
      </c>
      <c r="C77" s="5" t="s">
        <v>3118</v>
      </c>
      <c r="D77" s="7" t="s">
        <v>322</v>
      </c>
      <c r="E77" s="5"/>
      <c r="F77" s="5"/>
      <c r="G77" s="7">
        <v>6</v>
      </c>
      <c r="H77" s="5" t="s">
        <v>2996</v>
      </c>
      <c r="I77" s="5" t="s">
        <v>3125</v>
      </c>
      <c r="J77" s="5"/>
      <c r="K77" s="7" t="s">
        <v>7</v>
      </c>
      <c r="L77" s="7"/>
      <c r="M77" s="5"/>
      <c r="N77" s="5"/>
    </row>
    <row r="78" spans="1:14" customHeight="1" ht="40">
      <c r="A78" s="9" t="s">
        <v>3117</v>
      </c>
      <c r="B78" s="5" t="s">
        <v>2968</v>
      </c>
      <c r="C78" s="5" t="s">
        <v>3118</v>
      </c>
      <c r="D78" s="7" t="s">
        <v>322</v>
      </c>
      <c r="E78" s="5"/>
      <c r="F78" s="5"/>
      <c r="G78" s="7">
        <v>7</v>
      </c>
      <c r="H78" s="5" t="s">
        <v>3126</v>
      </c>
      <c r="I78" s="5" t="s">
        <v>3127</v>
      </c>
      <c r="J78" s="5"/>
      <c r="K78" s="7" t="s">
        <v>7</v>
      </c>
      <c r="L78" s="7"/>
      <c r="M78" s="5"/>
      <c r="N78" s="5"/>
    </row>
    <row r="79" spans="1:14" customHeight="1" ht="53">
      <c r="A79" s="9" t="s">
        <v>3117</v>
      </c>
      <c r="B79" s="5" t="s">
        <v>2968</v>
      </c>
      <c r="C79" s="5" t="s">
        <v>3118</v>
      </c>
      <c r="D79" s="7" t="s">
        <v>322</v>
      </c>
      <c r="E79" s="5"/>
      <c r="F79" s="5"/>
      <c r="G79" s="7">
        <v>8</v>
      </c>
      <c r="H79" s="5" t="s">
        <v>3128</v>
      </c>
      <c r="I79" s="5" t="s">
        <v>3129</v>
      </c>
      <c r="J79" s="5"/>
      <c r="K79" s="7" t="s">
        <v>7</v>
      </c>
      <c r="L79" s="7"/>
      <c r="M79" s="5"/>
      <c r="N79" s="5"/>
    </row>
    <row r="80" spans="1:14" customHeight="1" ht="40">
      <c r="A80" s="9" t="s">
        <v>3117</v>
      </c>
      <c r="B80" s="5" t="s">
        <v>2968</v>
      </c>
      <c r="C80" s="5" t="s">
        <v>3118</v>
      </c>
      <c r="D80" s="7" t="s">
        <v>322</v>
      </c>
      <c r="E80" s="5"/>
      <c r="F80" s="5"/>
      <c r="G80" s="7">
        <v>9</v>
      </c>
      <c r="H80" s="5" t="s">
        <v>3130</v>
      </c>
      <c r="I80" s="5" t="s">
        <v>3131</v>
      </c>
      <c r="J80" s="5"/>
      <c r="K80" s="7" t="s">
        <v>7</v>
      </c>
      <c r="L80" s="7"/>
      <c r="M80" s="5"/>
      <c r="N80" s="5"/>
    </row>
    <row r="81" spans="1:14" customHeight="1" ht="30">
      <c r="A81" s="8" t="s">
        <v>3132</v>
      </c>
      <c r="B81" s="4" t="s">
        <v>2968</v>
      </c>
      <c r="C81" s="4" t="s">
        <v>3133</v>
      </c>
      <c r="D81" s="6" t="s">
        <v>309</v>
      </c>
      <c r="E81" s="4" t="s">
        <v>3134</v>
      </c>
      <c r="F81" s="4" t="s">
        <v>3135</v>
      </c>
      <c r="G81" s="6">
        <v>1</v>
      </c>
      <c r="H81" s="4" t="s">
        <v>3136</v>
      </c>
      <c r="I81" s="4" t="s">
        <v>3137</v>
      </c>
      <c r="J81" s="4"/>
      <c r="K81" s="6" t="s">
        <v>7</v>
      </c>
      <c r="L81" s="6"/>
      <c r="M81" s="4"/>
      <c r="N81" s="4"/>
    </row>
    <row r="82" spans="1:14" customHeight="1" ht="40">
      <c r="A82" s="8" t="s">
        <v>3132</v>
      </c>
      <c r="B82" s="4" t="s">
        <v>2968</v>
      </c>
      <c r="C82" s="4" t="s">
        <v>3133</v>
      </c>
      <c r="D82" s="6" t="s">
        <v>309</v>
      </c>
      <c r="E82" s="4"/>
      <c r="F82" s="4"/>
      <c r="G82" s="6">
        <v>2</v>
      </c>
      <c r="H82" s="4" t="s">
        <v>3138</v>
      </c>
      <c r="I82" s="4" t="s">
        <v>3139</v>
      </c>
      <c r="J82" s="4"/>
      <c r="K82" s="6" t="s">
        <v>7</v>
      </c>
      <c r="L82" s="6"/>
      <c r="M82" s="4"/>
      <c r="N82" s="4"/>
    </row>
    <row r="83" spans="1:14" customHeight="1" ht="40">
      <c r="A83" s="8" t="s">
        <v>3132</v>
      </c>
      <c r="B83" s="4" t="s">
        <v>2968</v>
      </c>
      <c r="C83" s="4" t="s">
        <v>3133</v>
      </c>
      <c r="D83" s="6" t="s">
        <v>309</v>
      </c>
      <c r="E83" s="4"/>
      <c r="F83" s="4"/>
      <c r="G83" s="6">
        <v>3</v>
      </c>
      <c r="H83" s="4" t="s">
        <v>3140</v>
      </c>
      <c r="I83" s="4" t="s">
        <v>3141</v>
      </c>
      <c r="J83" s="4"/>
      <c r="K83" s="6" t="s">
        <v>7</v>
      </c>
      <c r="L83" s="6"/>
      <c r="M83" s="4"/>
      <c r="N83" s="4"/>
    </row>
    <row r="84" spans="1:14" customHeight="1" ht="40">
      <c r="A84" s="8" t="s">
        <v>3132</v>
      </c>
      <c r="B84" s="4" t="s">
        <v>2968</v>
      </c>
      <c r="C84" s="4" t="s">
        <v>3133</v>
      </c>
      <c r="D84" s="6" t="s">
        <v>309</v>
      </c>
      <c r="E84" s="4"/>
      <c r="F84" s="4"/>
      <c r="G84" s="6">
        <v>4</v>
      </c>
      <c r="H84" s="4" t="s">
        <v>3142</v>
      </c>
      <c r="I84" s="4" t="s">
        <v>3143</v>
      </c>
      <c r="J84" s="4"/>
      <c r="K84" s="6" t="s">
        <v>7</v>
      </c>
      <c r="L84" s="6"/>
      <c r="M84" s="4"/>
      <c r="N84" s="4"/>
    </row>
    <row r="85" spans="1:14" customHeight="1" ht="40">
      <c r="A85" s="8" t="s">
        <v>3132</v>
      </c>
      <c r="B85" s="4" t="s">
        <v>2968</v>
      </c>
      <c r="C85" s="4" t="s">
        <v>3133</v>
      </c>
      <c r="D85" s="6" t="s">
        <v>309</v>
      </c>
      <c r="E85" s="4"/>
      <c r="F85" s="4"/>
      <c r="G85" s="6">
        <v>5</v>
      </c>
      <c r="H85" s="4" t="s">
        <v>3144</v>
      </c>
      <c r="I85" s="4" t="s">
        <v>3145</v>
      </c>
      <c r="J85" s="4"/>
      <c r="K85" s="6" t="s">
        <v>7</v>
      </c>
      <c r="L85" s="6"/>
      <c r="M85" s="4"/>
      <c r="N85" s="4"/>
    </row>
    <row r="86" spans="1:14" customHeight="1" ht="30">
      <c r="A86" s="9" t="s">
        <v>3146</v>
      </c>
      <c r="B86" s="5" t="s">
        <v>2968</v>
      </c>
      <c r="C86" s="5" t="s">
        <v>3147</v>
      </c>
      <c r="D86" s="7" t="s">
        <v>322</v>
      </c>
      <c r="E86" s="5" t="s">
        <v>3148</v>
      </c>
      <c r="F86" s="5" t="s">
        <v>3149</v>
      </c>
      <c r="G86" s="7">
        <v>1</v>
      </c>
      <c r="H86" s="5" t="s">
        <v>3150</v>
      </c>
      <c r="I86" s="5" t="s">
        <v>3037</v>
      </c>
      <c r="J86" s="5"/>
      <c r="K86" s="7" t="s">
        <v>7</v>
      </c>
      <c r="L86" s="7"/>
      <c r="M86" s="5"/>
      <c r="N86" s="5"/>
    </row>
    <row r="87" spans="1:14" customHeight="1" ht="66">
      <c r="A87" s="9" t="s">
        <v>3146</v>
      </c>
      <c r="B87" s="5" t="s">
        <v>2968</v>
      </c>
      <c r="C87" s="5" t="s">
        <v>3147</v>
      </c>
      <c r="D87" s="7" t="s">
        <v>322</v>
      </c>
      <c r="E87" s="5"/>
      <c r="F87" s="5"/>
      <c r="G87" s="7">
        <v>2</v>
      </c>
      <c r="H87" s="5" t="s">
        <v>3151</v>
      </c>
      <c r="I87" s="5" t="s">
        <v>3152</v>
      </c>
      <c r="J87" s="5"/>
      <c r="K87" s="7" t="s">
        <v>7</v>
      </c>
      <c r="L87" s="7"/>
      <c r="M87" s="5"/>
      <c r="N87" s="5"/>
    </row>
    <row r="88" spans="1:14" customHeight="1" ht="40">
      <c r="A88" s="9" t="s">
        <v>3146</v>
      </c>
      <c r="B88" s="5" t="s">
        <v>2968</v>
      </c>
      <c r="C88" s="5" t="s">
        <v>3147</v>
      </c>
      <c r="D88" s="7" t="s">
        <v>322</v>
      </c>
      <c r="E88" s="5"/>
      <c r="F88" s="5"/>
      <c r="G88" s="7">
        <v>3</v>
      </c>
      <c r="H88" s="5" t="s">
        <v>3153</v>
      </c>
      <c r="I88" s="5" t="s">
        <v>3154</v>
      </c>
      <c r="J88" s="5"/>
      <c r="K88" s="7" t="s">
        <v>7</v>
      </c>
      <c r="L88" s="7"/>
      <c r="M88" s="5"/>
      <c r="N88" s="5"/>
    </row>
    <row r="89" spans="1:14" customHeight="1" ht="40">
      <c r="A89" s="9" t="s">
        <v>3146</v>
      </c>
      <c r="B89" s="5" t="s">
        <v>2968</v>
      </c>
      <c r="C89" s="5" t="s">
        <v>3147</v>
      </c>
      <c r="D89" s="7" t="s">
        <v>322</v>
      </c>
      <c r="E89" s="5"/>
      <c r="F89" s="5"/>
      <c r="G89" s="7">
        <v>4</v>
      </c>
      <c r="H89" s="5" t="s">
        <v>3155</v>
      </c>
      <c r="I89" s="5" t="s">
        <v>3156</v>
      </c>
      <c r="J89" s="5"/>
      <c r="K89" s="7" t="s">
        <v>7</v>
      </c>
      <c r="L89" s="7"/>
      <c r="M89" s="5"/>
      <c r="N89" s="5"/>
    </row>
    <row r="90" spans="1:14" customHeight="1" ht="40">
      <c r="A90" s="9" t="s">
        <v>3146</v>
      </c>
      <c r="B90" s="5" t="s">
        <v>2968</v>
      </c>
      <c r="C90" s="5" t="s">
        <v>3147</v>
      </c>
      <c r="D90" s="7" t="s">
        <v>322</v>
      </c>
      <c r="E90" s="5"/>
      <c r="F90" s="5"/>
      <c r="G90" s="7">
        <v>5</v>
      </c>
      <c r="H90" s="5" t="s">
        <v>3157</v>
      </c>
      <c r="I90" s="5" t="s">
        <v>3158</v>
      </c>
      <c r="J90" s="5"/>
      <c r="K90" s="7" t="s">
        <v>7</v>
      </c>
      <c r="L90" s="7"/>
      <c r="M90" s="5"/>
      <c r="N90" s="5"/>
    </row>
    <row r="91" spans="1:14" customHeight="1" ht="40">
      <c r="A91" s="9" t="s">
        <v>3146</v>
      </c>
      <c r="B91" s="5" t="s">
        <v>2968</v>
      </c>
      <c r="C91" s="5" t="s">
        <v>3147</v>
      </c>
      <c r="D91" s="7" t="s">
        <v>322</v>
      </c>
      <c r="E91" s="5"/>
      <c r="F91" s="5"/>
      <c r="G91" s="7">
        <v>6</v>
      </c>
      <c r="H91" s="5" t="s">
        <v>1003</v>
      </c>
      <c r="I91" s="5" t="s">
        <v>3159</v>
      </c>
      <c r="J91" s="5"/>
      <c r="K91" s="7" t="s">
        <v>7</v>
      </c>
      <c r="L91" s="7"/>
      <c r="M91" s="5"/>
      <c r="N91" s="5"/>
    </row>
    <row r="92" spans="1:14" customHeight="1" ht="40">
      <c r="A92" s="8" t="s">
        <v>3160</v>
      </c>
      <c r="B92" s="4" t="s">
        <v>2968</v>
      </c>
      <c r="C92" s="4" t="s">
        <v>3161</v>
      </c>
      <c r="D92" s="6" t="s">
        <v>309</v>
      </c>
      <c r="E92" s="4" t="s">
        <v>3162</v>
      </c>
      <c r="F92" s="4" t="s">
        <v>3163</v>
      </c>
      <c r="G92" s="6">
        <v>1</v>
      </c>
      <c r="H92" s="4" t="s">
        <v>3164</v>
      </c>
      <c r="I92" s="4" t="s">
        <v>3165</v>
      </c>
      <c r="J92" s="4"/>
      <c r="K92" s="6" t="s">
        <v>7</v>
      </c>
      <c r="L92" s="6"/>
      <c r="M92" s="4"/>
      <c r="N92" s="4"/>
    </row>
    <row r="93" spans="1:14" customHeight="1" ht="40">
      <c r="A93" s="8" t="s">
        <v>3160</v>
      </c>
      <c r="B93" s="4" t="s">
        <v>2968</v>
      </c>
      <c r="C93" s="4" t="s">
        <v>3161</v>
      </c>
      <c r="D93" s="6" t="s">
        <v>309</v>
      </c>
      <c r="E93" s="4"/>
      <c r="F93" s="4"/>
      <c r="G93" s="6">
        <v>2</v>
      </c>
      <c r="H93" s="4" t="s">
        <v>3166</v>
      </c>
      <c r="I93" s="4" t="s">
        <v>3167</v>
      </c>
      <c r="J93" s="4"/>
      <c r="K93" s="6" t="s">
        <v>7</v>
      </c>
      <c r="L93" s="6"/>
      <c r="M93" s="4"/>
      <c r="N93" s="4"/>
    </row>
    <row r="94" spans="1:14" customHeight="1" ht="30">
      <c r="A94" s="8" t="s">
        <v>3160</v>
      </c>
      <c r="B94" s="4" t="s">
        <v>2968</v>
      </c>
      <c r="C94" s="4" t="s">
        <v>3161</v>
      </c>
      <c r="D94" s="6" t="s">
        <v>309</v>
      </c>
      <c r="E94" s="4"/>
      <c r="F94" s="4"/>
      <c r="G94" s="6">
        <v>3</v>
      </c>
      <c r="H94" s="4" t="s">
        <v>3168</v>
      </c>
      <c r="I94" s="4" t="s">
        <v>3169</v>
      </c>
      <c r="J94" s="4"/>
      <c r="K94" s="6" t="s">
        <v>7</v>
      </c>
      <c r="L94" s="6"/>
      <c r="M94" s="4"/>
      <c r="N94" s="4"/>
    </row>
    <row r="95" spans="1:14" customHeight="1" ht="53">
      <c r="A95" s="8" t="s">
        <v>3160</v>
      </c>
      <c r="B95" s="4" t="s">
        <v>2968</v>
      </c>
      <c r="C95" s="4" t="s">
        <v>3161</v>
      </c>
      <c r="D95" s="6" t="s">
        <v>309</v>
      </c>
      <c r="E95" s="4"/>
      <c r="F95" s="4"/>
      <c r="G95" s="6">
        <v>4</v>
      </c>
      <c r="H95" s="4" t="s">
        <v>3170</v>
      </c>
      <c r="I95" s="4" t="s">
        <v>3171</v>
      </c>
      <c r="J95" s="4"/>
      <c r="K95" s="6" t="s">
        <v>7</v>
      </c>
      <c r="L95" s="6"/>
      <c r="M95" s="4"/>
      <c r="N95" s="4"/>
    </row>
    <row r="96" spans="1:14" customHeight="1" ht="40">
      <c r="A96" s="8" t="s">
        <v>3160</v>
      </c>
      <c r="B96" s="4" t="s">
        <v>2968</v>
      </c>
      <c r="C96" s="4" t="s">
        <v>3161</v>
      </c>
      <c r="D96" s="6" t="s">
        <v>309</v>
      </c>
      <c r="E96" s="4"/>
      <c r="F96" s="4"/>
      <c r="G96" s="6">
        <v>5</v>
      </c>
      <c r="H96" s="4" t="s">
        <v>3172</v>
      </c>
      <c r="I96" s="4" t="s">
        <v>3173</v>
      </c>
      <c r="J96" s="4"/>
      <c r="K96" s="6" t="s">
        <v>7</v>
      </c>
      <c r="L96" s="6"/>
      <c r="M96" s="4"/>
      <c r="N96" s="4"/>
    </row>
    <row r="97" spans="1:14" customHeight="1" ht="40">
      <c r="A97" s="8" t="s">
        <v>3160</v>
      </c>
      <c r="B97" s="4" t="s">
        <v>2968</v>
      </c>
      <c r="C97" s="4" t="s">
        <v>3161</v>
      </c>
      <c r="D97" s="6" t="s">
        <v>309</v>
      </c>
      <c r="E97" s="4"/>
      <c r="F97" s="4"/>
      <c r="G97" s="6">
        <v>6</v>
      </c>
      <c r="H97" s="4" t="s">
        <v>3174</v>
      </c>
      <c r="I97" s="4" t="s">
        <v>3175</v>
      </c>
      <c r="J97" s="4"/>
      <c r="K97" s="6" t="s">
        <v>7</v>
      </c>
      <c r="L97" s="6"/>
      <c r="M97" s="4"/>
      <c r="N97" s="4"/>
    </row>
    <row r="98" spans="1:14" customHeight="1" ht="40">
      <c r="A98" s="9" t="s">
        <v>3176</v>
      </c>
      <c r="B98" s="5" t="s">
        <v>2968</v>
      </c>
      <c r="C98" s="5" t="s">
        <v>3177</v>
      </c>
      <c r="D98" s="7" t="s">
        <v>309</v>
      </c>
      <c r="E98" s="5" t="s">
        <v>3178</v>
      </c>
      <c r="F98" s="5" t="s">
        <v>3024</v>
      </c>
      <c r="G98" s="7">
        <v>1</v>
      </c>
      <c r="H98" s="5" t="s">
        <v>3179</v>
      </c>
      <c r="I98" s="5" t="s">
        <v>3180</v>
      </c>
      <c r="J98" s="5"/>
      <c r="K98" s="7" t="s">
        <v>7</v>
      </c>
      <c r="L98" s="7"/>
      <c r="M98" s="5"/>
      <c r="N98" s="5"/>
    </row>
    <row r="99" spans="1:14" customHeight="1" ht="40">
      <c r="A99" s="9" t="s">
        <v>3176</v>
      </c>
      <c r="B99" s="5" t="s">
        <v>2968</v>
      </c>
      <c r="C99" s="5" t="s">
        <v>3177</v>
      </c>
      <c r="D99" s="7" t="s">
        <v>309</v>
      </c>
      <c r="E99" s="5"/>
      <c r="F99" s="5"/>
      <c r="G99" s="7">
        <v>2</v>
      </c>
      <c r="H99" s="5" t="s">
        <v>3181</v>
      </c>
      <c r="I99" s="5" t="s">
        <v>3182</v>
      </c>
      <c r="J99" s="5"/>
      <c r="K99" s="7" t="s">
        <v>7</v>
      </c>
      <c r="L99" s="7"/>
      <c r="M99" s="5"/>
      <c r="N99" s="5"/>
    </row>
    <row r="100" spans="1:14" customHeight="1" ht="53">
      <c r="A100" s="9" t="s">
        <v>3176</v>
      </c>
      <c r="B100" s="5" t="s">
        <v>2968</v>
      </c>
      <c r="C100" s="5" t="s">
        <v>3177</v>
      </c>
      <c r="D100" s="7" t="s">
        <v>309</v>
      </c>
      <c r="E100" s="5"/>
      <c r="F100" s="5"/>
      <c r="G100" s="7">
        <v>3</v>
      </c>
      <c r="H100" s="5" t="s">
        <v>3183</v>
      </c>
      <c r="I100" s="5" t="s">
        <v>3184</v>
      </c>
      <c r="J100" s="5"/>
      <c r="K100" s="7" t="s">
        <v>7</v>
      </c>
      <c r="L100" s="7"/>
      <c r="M100" s="5"/>
      <c r="N100" s="5"/>
    </row>
    <row r="101" spans="1:14" customHeight="1" ht="30">
      <c r="A101" s="9" t="s">
        <v>3176</v>
      </c>
      <c r="B101" s="5" t="s">
        <v>2968</v>
      </c>
      <c r="C101" s="5" t="s">
        <v>3177</v>
      </c>
      <c r="D101" s="7" t="s">
        <v>309</v>
      </c>
      <c r="E101" s="5"/>
      <c r="F101" s="5"/>
      <c r="G101" s="7">
        <v>4</v>
      </c>
      <c r="H101" s="5" t="s">
        <v>3185</v>
      </c>
      <c r="I101" s="5" t="s">
        <v>3186</v>
      </c>
      <c r="J101" s="5"/>
      <c r="K101" s="7" t="s">
        <v>7</v>
      </c>
      <c r="L101" s="7"/>
      <c r="M101" s="5"/>
      <c r="N101" s="5"/>
    </row>
    <row r="102" spans="1:14" customHeight="1" ht="30">
      <c r="A102" s="8" t="s">
        <v>3187</v>
      </c>
      <c r="B102" s="4" t="s">
        <v>2968</v>
      </c>
      <c r="C102" s="4" t="s">
        <v>3188</v>
      </c>
      <c r="D102" s="6" t="s">
        <v>322</v>
      </c>
      <c r="E102" s="4" t="s">
        <v>3189</v>
      </c>
      <c r="F102" s="4" t="s">
        <v>3190</v>
      </c>
      <c r="G102" s="6">
        <v>1</v>
      </c>
      <c r="H102" s="4" t="s">
        <v>3191</v>
      </c>
      <c r="I102" s="4" t="s">
        <v>3192</v>
      </c>
      <c r="J102" s="4"/>
      <c r="K102" s="6" t="s">
        <v>7</v>
      </c>
      <c r="L102" s="6"/>
      <c r="M102" s="4"/>
      <c r="N102" s="4"/>
    </row>
    <row r="103" spans="1:14" customHeight="1" ht="30">
      <c r="A103" s="8" t="s">
        <v>3187</v>
      </c>
      <c r="B103" s="4" t="s">
        <v>2968</v>
      </c>
      <c r="C103" s="4" t="s">
        <v>3188</v>
      </c>
      <c r="D103" s="6" t="s">
        <v>322</v>
      </c>
      <c r="E103" s="4"/>
      <c r="F103" s="4"/>
      <c r="G103" s="6">
        <v>2</v>
      </c>
      <c r="H103" s="4" t="s">
        <v>3193</v>
      </c>
      <c r="I103" s="4" t="s">
        <v>3194</v>
      </c>
      <c r="J103" s="4"/>
      <c r="K103" s="6" t="s">
        <v>7</v>
      </c>
      <c r="L103" s="6"/>
      <c r="M103" s="4"/>
      <c r="N103" s="4"/>
    </row>
    <row r="104" spans="1:14" customHeight="1" ht="30">
      <c r="A104" s="8" t="s">
        <v>3187</v>
      </c>
      <c r="B104" s="4" t="s">
        <v>2968</v>
      </c>
      <c r="C104" s="4" t="s">
        <v>3188</v>
      </c>
      <c r="D104" s="6" t="s">
        <v>322</v>
      </c>
      <c r="E104" s="4"/>
      <c r="F104" s="4"/>
      <c r="G104" s="6">
        <v>3</v>
      </c>
      <c r="H104" s="4" t="s">
        <v>3195</v>
      </c>
      <c r="I104" s="4" t="s">
        <v>594</v>
      </c>
      <c r="J104" s="4"/>
      <c r="K104" s="6" t="s">
        <v>7</v>
      </c>
      <c r="L104" s="6"/>
      <c r="M104" s="4"/>
      <c r="N104" s="4"/>
    </row>
    <row r="105" spans="1:14" customHeight="1" ht="40">
      <c r="A105" s="8" t="s">
        <v>3187</v>
      </c>
      <c r="B105" s="4" t="s">
        <v>2968</v>
      </c>
      <c r="C105" s="4" t="s">
        <v>3188</v>
      </c>
      <c r="D105" s="6" t="s">
        <v>322</v>
      </c>
      <c r="E105" s="4"/>
      <c r="F105" s="4"/>
      <c r="G105" s="6">
        <v>4</v>
      </c>
      <c r="H105" s="4" t="s">
        <v>3196</v>
      </c>
      <c r="I105" s="4" t="s">
        <v>3197</v>
      </c>
      <c r="J105" s="4"/>
      <c r="K105" s="6" t="s">
        <v>7</v>
      </c>
      <c r="L105" s="6"/>
      <c r="M105" s="4"/>
      <c r="N105" s="4"/>
    </row>
    <row r="106" spans="1:14" customHeight="1" ht="30">
      <c r="A106" s="8" t="s">
        <v>3187</v>
      </c>
      <c r="B106" s="4" t="s">
        <v>2968</v>
      </c>
      <c r="C106" s="4" t="s">
        <v>3188</v>
      </c>
      <c r="D106" s="6" t="s">
        <v>322</v>
      </c>
      <c r="E106" s="4"/>
      <c r="F106" s="4"/>
      <c r="G106" s="6">
        <v>5</v>
      </c>
      <c r="H106" s="4" t="s">
        <v>3198</v>
      </c>
      <c r="I106" s="4" t="s">
        <v>3199</v>
      </c>
      <c r="J106" s="4"/>
      <c r="K106" s="6" t="s">
        <v>7</v>
      </c>
      <c r="L106" s="6"/>
      <c r="M106" s="4"/>
      <c r="N106" s="4"/>
    </row>
    <row r="107" spans="1:14" customHeight="1" ht="40">
      <c r="A107" s="9" t="s">
        <v>3200</v>
      </c>
      <c r="B107" s="5" t="s">
        <v>2968</v>
      </c>
      <c r="C107" s="5" t="s">
        <v>3201</v>
      </c>
      <c r="D107" s="7" t="s">
        <v>322</v>
      </c>
      <c r="E107" s="5" t="s">
        <v>3202</v>
      </c>
      <c r="F107" s="5" t="s">
        <v>3203</v>
      </c>
      <c r="G107" s="7">
        <v>1</v>
      </c>
      <c r="H107" s="5" t="s">
        <v>3204</v>
      </c>
      <c r="I107" s="5" t="s">
        <v>2168</v>
      </c>
      <c r="J107" s="5"/>
      <c r="K107" s="7" t="s">
        <v>7</v>
      </c>
      <c r="L107" s="7"/>
      <c r="M107" s="5"/>
      <c r="N107" s="5"/>
    </row>
    <row r="108" spans="1:14" customHeight="1" ht="40">
      <c r="A108" s="9" t="s">
        <v>3200</v>
      </c>
      <c r="B108" s="5" t="s">
        <v>2968</v>
      </c>
      <c r="C108" s="5" t="s">
        <v>3201</v>
      </c>
      <c r="D108" s="7" t="s">
        <v>322</v>
      </c>
      <c r="E108" s="5"/>
      <c r="F108" s="5"/>
      <c r="G108" s="7">
        <v>2</v>
      </c>
      <c r="H108" s="5" t="s">
        <v>3205</v>
      </c>
      <c r="I108" s="5" t="s">
        <v>2168</v>
      </c>
      <c r="J108" s="5"/>
      <c r="K108" s="7" t="s">
        <v>7</v>
      </c>
      <c r="L108" s="7"/>
      <c r="M108" s="5"/>
      <c r="N108" s="5"/>
    </row>
    <row r="109" spans="1:14" customHeight="1" ht="40">
      <c r="A109" s="9" t="s">
        <v>3200</v>
      </c>
      <c r="B109" s="5" t="s">
        <v>2968</v>
      </c>
      <c r="C109" s="5" t="s">
        <v>3201</v>
      </c>
      <c r="D109" s="7" t="s">
        <v>322</v>
      </c>
      <c r="E109" s="5"/>
      <c r="F109" s="5"/>
      <c r="G109" s="7">
        <v>3</v>
      </c>
      <c r="H109" s="5" t="s">
        <v>3206</v>
      </c>
      <c r="I109" s="5" t="s">
        <v>2168</v>
      </c>
      <c r="J109" s="5"/>
      <c r="K109" s="7" t="s">
        <v>7</v>
      </c>
      <c r="L109" s="7"/>
      <c r="M109" s="5"/>
      <c r="N109" s="5"/>
    </row>
    <row r="110" spans="1:14" customHeight="1" ht="30">
      <c r="A110" s="9" t="s">
        <v>3200</v>
      </c>
      <c r="B110" s="5" t="s">
        <v>2968</v>
      </c>
      <c r="C110" s="5" t="s">
        <v>3201</v>
      </c>
      <c r="D110" s="7" t="s">
        <v>322</v>
      </c>
      <c r="E110" s="5"/>
      <c r="F110" s="5"/>
      <c r="G110" s="7">
        <v>4</v>
      </c>
      <c r="H110" s="5" t="s">
        <v>3207</v>
      </c>
      <c r="I110" s="5" t="s">
        <v>2797</v>
      </c>
      <c r="J110" s="5"/>
      <c r="K110" s="7" t="s">
        <v>7</v>
      </c>
      <c r="L110" s="7"/>
      <c r="M110" s="5"/>
      <c r="N110" s="5"/>
    </row>
    <row r="111" spans="1:14" customHeight="1" ht="40">
      <c r="A111" s="9" t="s">
        <v>3200</v>
      </c>
      <c r="B111" s="5" t="s">
        <v>2968</v>
      </c>
      <c r="C111" s="5" t="s">
        <v>3201</v>
      </c>
      <c r="D111" s="7" t="s">
        <v>322</v>
      </c>
      <c r="E111" s="5"/>
      <c r="F111" s="5"/>
      <c r="G111" s="7">
        <v>5</v>
      </c>
      <c r="H111" s="5" t="s">
        <v>3208</v>
      </c>
      <c r="I111" s="5" t="s">
        <v>2797</v>
      </c>
      <c r="J111" s="5"/>
      <c r="K111" s="7" t="s">
        <v>7</v>
      </c>
      <c r="L111" s="7"/>
      <c r="M111" s="5"/>
      <c r="N111" s="5"/>
    </row>
    <row r="112" spans="1:14" customHeight="1" ht="40">
      <c r="A112" s="9" t="s">
        <v>3200</v>
      </c>
      <c r="B112" s="5" t="s">
        <v>2968</v>
      </c>
      <c r="C112" s="5" t="s">
        <v>3201</v>
      </c>
      <c r="D112" s="7" t="s">
        <v>322</v>
      </c>
      <c r="E112" s="5"/>
      <c r="F112" s="5"/>
      <c r="G112" s="7">
        <v>6</v>
      </c>
      <c r="H112" s="5" t="s">
        <v>3209</v>
      </c>
      <c r="I112" s="5" t="s">
        <v>2797</v>
      </c>
      <c r="J112" s="5"/>
      <c r="K112" s="7" t="s">
        <v>7</v>
      </c>
      <c r="L112" s="7"/>
      <c r="M112" s="5"/>
      <c r="N112" s="5"/>
    </row>
    <row r="113" spans="1:14" customHeight="1" ht="40">
      <c r="A113" s="9" t="s">
        <v>3200</v>
      </c>
      <c r="B113" s="5" t="s">
        <v>2968</v>
      </c>
      <c r="C113" s="5" t="s">
        <v>3201</v>
      </c>
      <c r="D113" s="7" t="s">
        <v>322</v>
      </c>
      <c r="E113" s="5"/>
      <c r="F113" s="5"/>
      <c r="G113" s="7">
        <v>7</v>
      </c>
      <c r="H113" s="5" t="s">
        <v>3210</v>
      </c>
      <c r="I113" s="5" t="s">
        <v>3211</v>
      </c>
      <c r="J113" s="5"/>
      <c r="K113" s="7" t="s">
        <v>7</v>
      </c>
      <c r="L113" s="7"/>
      <c r="M113" s="5"/>
      <c r="N113" s="5"/>
    </row>
    <row r="114" spans="1:14" customHeight="1" ht="40">
      <c r="A114" s="9" t="s">
        <v>3200</v>
      </c>
      <c r="B114" s="5" t="s">
        <v>2968</v>
      </c>
      <c r="C114" s="5" t="s">
        <v>3201</v>
      </c>
      <c r="D114" s="7" t="s">
        <v>322</v>
      </c>
      <c r="E114" s="5"/>
      <c r="F114" s="5"/>
      <c r="G114" s="7">
        <v>8</v>
      </c>
      <c r="H114" s="5" t="s">
        <v>3212</v>
      </c>
      <c r="I114" s="5" t="s">
        <v>3213</v>
      </c>
      <c r="J114" s="5"/>
      <c r="K114" s="7" t="s">
        <v>7</v>
      </c>
      <c r="L114" s="7"/>
      <c r="M114" s="5"/>
      <c r="N114" s="5"/>
    </row>
    <row r="115" spans="1:14" customHeight="1" ht="66">
      <c r="A115" s="9" t="s">
        <v>3200</v>
      </c>
      <c r="B115" s="5" t="s">
        <v>2968</v>
      </c>
      <c r="C115" s="5" t="s">
        <v>3201</v>
      </c>
      <c r="D115" s="7" t="s">
        <v>322</v>
      </c>
      <c r="E115" s="5"/>
      <c r="F115" s="5"/>
      <c r="G115" s="7">
        <v>9</v>
      </c>
      <c r="H115" s="5" t="s">
        <v>3214</v>
      </c>
      <c r="I115" s="5" t="s">
        <v>3215</v>
      </c>
      <c r="J115" s="5"/>
      <c r="K115" s="7" t="s">
        <v>7</v>
      </c>
      <c r="L115" s="7"/>
      <c r="M115" s="5"/>
      <c r="N115" s="5"/>
    </row>
    <row r="116" spans="1:14" customHeight="1" ht="40">
      <c r="A116" s="8" t="s">
        <v>3216</v>
      </c>
      <c r="B116" s="4" t="s">
        <v>2968</v>
      </c>
      <c r="C116" s="4" t="s">
        <v>3217</v>
      </c>
      <c r="D116" s="6" t="s">
        <v>441</v>
      </c>
      <c r="E116" s="4" t="s">
        <v>3134</v>
      </c>
      <c r="F116" s="4" t="s">
        <v>3218</v>
      </c>
      <c r="G116" s="6">
        <v>1</v>
      </c>
      <c r="H116" s="4" t="s">
        <v>3219</v>
      </c>
      <c r="I116" s="4" t="s">
        <v>3220</v>
      </c>
      <c r="J116" s="4"/>
      <c r="K116" s="6" t="s">
        <v>7</v>
      </c>
      <c r="L116" s="6"/>
      <c r="M116" s="4"/>
      <c r="N116" s="4"/>
    </row>
    <row r="117" spans="1:14" customHeight="1" ht="53">
      <c r="A117" s="8" t="s">
        <v>3216</v>
      </c>
      <c r="B117" s="4" t="s">
        <v>2968</v>
      </c>
      <c r="C117" s="4" t="s">
        <v>3217</v>
      </c>
      <c r="D117" s="6" t="s">
        <v>441</v>
      </c>
      <c r="E117" s="4"/>
      <c r="F117" s="4"/>
      <c r="G117" s="6">
        <v>2</v>
      </c>
      <c r="H117" s="4" t="s">
        <v>3221</v>
      </c>
      <c r="I117" s="4" t="s">
        <v>3222</v>
      </c>
      <c r="J117" s="4"/>
      <c r="K117" s="6" t="s">
        <v>7</v>
      </c>
      <c r="L117" s="6"/>
      <c r="M117" s="4"/>
      <c r="N117" s="4"/>
    </row>
    <row r="118" spans="1:14" customHeight="1" ht="40">
      <c r="A118" s="8" t="s">
        <v>3216</v>
      </c>
      <c r="B118" s="4" t="s">
        <v>2968</v>
      </c>
      <c r="C118" s="4" t="s">
        <v>3217</v>
      </c>
      <c r="D118" s="6" t="s">
        <v>441</v>
      </c>
      <c r="E118" s="4"/>
      <c r="F118" s="4"/>
      <c r="G118" s="6">
        <v>3</v>
      </c>
      <c r="H118" s="4" t="s">
        <v>3223</v>
      </c>
      <c r="I118" s="4" t="s">
        <v>3224</v>
      </c>
      <c r="J118" s="4"/>
      <c r="K118" s="6" t="s">
        <v>7</v>
      </c>
      <c r="L118" s="6"/>
      <c r="M118" s="4"/>
      <c r="N118" s="4"/>
    </row>
    <row r="119" spans="1:14" customHeight="1" ht="40">
      <c r="A119" s="8" t="s">
        <v>3216</v>
      </c>
      <c r="B119" s="4" t="s">
        <v>2968</v>
      </c>
      <c r="C119" s="4" t="s">
        <v>3217</v>
      </c>
      <c r="D119" s="6" t="s">
        <v>441</v>
      </c>
      <c r="E119" s="4"/>
      <c r="F119" s="4"/>
      <c r="G119" s="6">
        <v>4</v>
      </c>
      <c r="H119" s="4" t="s">
        <v>3225</v>
      </c>
      <c r="I119" s="4" t="s">
        <v>3226</v>
      </c>
      <c r="J119" s="4"/>
      <c r="K119" s="6" t="s">
        <v>7</v>
      </c>
      <c r="L119" s="6"/>
      <c r="M119" s="4"/>
      <c r="N119" s="4"/>
    </row>
    <row r="120" spans="1:14" customHeight="1" ht="30">
      <c r="A120" s="9" t="s">
        <v>3227</v>
      </c>
      <c r="B120" s="5" t="s">
        <v>2968</v>
      </c>
      <c r="C120" s="5" t="s">
        <v>3228</v>
      </c>
      <c r="D120" s="7" t="s">
        <v>441</v>
      </c>
      <c r="E120" s="5" t="s">
        <v>3229</v>
      </c>
      <c r="F120" s="5" t="s">
        <v>3230</v>
      </c>
      <c r="G120" s="7">
        <v>1</v>
      </c>
      <c r="H120" s="5" t="s">
        <v>3231</v>
      </c>
      <c r="I120" s="5" t="s">
        <v>658</v>
      </c>
      <c r="J120" s="5"/>
      <c r="K120" s="7" t="s">
        <v>7</v>
      </c>
      <c r="L120" s="7"/>
      <c r="M120" s="5"/>
      <c r="N120" s="5"/>
    </row>
    <row r="121" spans="1:14" customHeight="1" ht="40">
      <c r="A121" s="9" t="s">
        <v>3227</v>
      </c>
      <c r="B121" s="5" t="s">
        <v>2968</v>
      </c>
      <c r="C121" s="5" t="s">
        <v>3228</v>
      </c>
      <c r="D121" s="7" t="s">
        <v>441</v>
      </c>
      <c r="E121" s="5"/>
      <c r="F121" s="5"/>
      <c r="G121" s="7">
        <v>2</v>
      </c>
      <c r="H121" s="5" t="s">
        <v>3232</v>
      </c>
      <c r="I121" s="5" t="s">
        <v>3233</v>
      </c>
      <c r="J121" s="5"/>
      <c r="K121" s="7" t="s">
        <v>7</v>
      </c>
      <c r="L121" s="7"/>
      <c r="M121" s="5"/>
      <c r="N121" s="5"/>
    </row>
    <row r="122" spans="1:14" customHeight="1" ht="40">
      <c r="A122" s="9" t="s">
        <v>3227</v>
      </c>
      <c r="B122" s="5" t="s">
        <v>2968</v>
      </c>
      <c r="C122" s="5" t="s">
        <v>3228</v>
      </c>
      <c r="D122" s="7" t="s">
        <v>441</v>
      </c>
      <c r="E122" s="5"/>
      <c r="F122" s="5"/>
      <c r="G122" s="7">
        <v>3</v>
      </c>
      <c r="H122" s="5" t="s">
        <v>3234</v>
      </c>
      <c r="I122" s="5" t="s">
        <v>3235</v>
      </c>
      <c r="J122" s="5"/>
      <c r="K122" s="7" t="s">
        <v>7</v>
      </c>
      <c r="L122" s="7"/>
      <c r="M122" s="5"/>
      <c r="N122" s="5"/>
    </row>
    <row r="123" spans="1:14" customHeight="1" ht="30">
      <c r="A123" s="9" t="s">
        <v>3227</v>
      </c>
      <c r="B123" s="5" t="s">
        <v>2968</v>
      </c>
      <c r="C123" s="5" t="s">
        <v>3228</v>
      </c>
      <c r="D123" s="7" t="s">
        <v>441</v>
      </c>
      <c r="E123" s="5"/>
      <c r="F123" s="5"/>
      <c r="G123" s="7">
        <v>4</v>
      </c>
      <c r="H123" s="5" t="s">
        <v>3236</v>
      </c>
      <c r="I123" s="5" t="s">
        <v>3237</v>
      </c>
      <c r="J123" s="5"/>
      <c r="K123" s="7" t="s">
        <v>7</v>
      </c>
      <c r="L123" s="7"/>
      <c r="M123" s="5"/>
      <c r="N123" s="5"/>
    </row>
    <row r="124" spans="1:14" customHeight="1" ht="53">
      <c r="A124" s="9" t="s">
        <v>3227</v>
      </c>
      <c r="B124" s="5" t="s">
        <v>2968</v>
      </c>
      <c r="C124" s="5" t="s">
        <v>3228</v>
      </c>
      <c r="D124" s="7" t="s">
        <v>441</v>
      </c>
      <c r="E124" s="5"/>
      <c r="F124" s="5"/>
      <c r="G124" s="7">
        <v>5</v>
      </c>
      <c r="H124" s="5" t="s">
        <v>3238</v>
      </c>
      <c r="I124" s="5" t="s">
        <v>3239</v>
      </c>
      <c r="J124" s="5"/>
      <c r="K124" s="7" t="s">
        <v>7</v>
      </c>
      <c r="L124" s="7"/>
      <c r="M124" s="5"/>
      <c r="N124" s="5"/>
    </row>
    <row r="125" spans="1:14" customHeight="1" ht="30">
      <c r="A125" s="9" t="s">
        <v>3227</v>
      </c>
      <c r="B125" s="5" t="s">
        <v>2968</v>
      </c>
      <c r="C125" s="5" t="s">
        <v>3228</v>
      </c>
      <c r="D125" s="7" t="s">
        <v>441</v>
      </c>
      <c r="E125" s="5"/>
      <c r="F125" s="5"/>
      <c r="G125" s="7">
        <v>6</v>
      </c>
      <c r="H125" s="5" t="s">
        <v>3240</v>
      </c>
      <c r="I125" s="5" t="s">
        <v>3241</v>
      </c>
      <c r="J125" s="5"/>
      <c r="K125" s="7" t="s">
        <v>7</v>
      </c>
      <c r="L125" s="7"/>
      <c r="M125" s="5"/>
      <c r="N125" s="5"/>
    </row>
    <row r="126" spans="1:14" customHeight="1" ht="40">
      <c r="A126" s="8" t="s">
        <v>3242</v>
      </c>
      <c r="B126" s="4" t="s">
        <v>2968</v>
      </c>
      <c r="C126" s="4" t="s">
        <v>3243</v>
      </c>
      <c r="D126" s="6" t="s">
        <v>322</v>
      </c>
      <c r="E126" s="4" t="s">
        <v>3244</v>
      </c>
      <c r="F126" s="4" t="s">
        <v>3245</v>
      </c>
      <c r="G126" s="6">
        <v>1</v>
      </c>
      <c r="H126" s="4" t="s">
        <v>3246</v>
      </c>
      <c r="I126" s="4" t="s">
        <v>3247</v>
      </c>
      <c r="J126" s="4"/>
      <c r="K126" s="6" t="s">
        <v>7</v>
      </c>
      <c r="L126" s="6"/>
      <c r="M126" s="4"/>
      <c r="N126" s="4"/>
    </row>
    <row r="127" spans="1:14" customHeight="1" ht="30">
      <c r="A127" s="8" t="s">
        <v>3242</v>
      </c>
      <c r="B127" s="4" t="s">
        <v>2968</v>
      </c>
      <c r="C127" s="4" t="s">
        <v>3243</v>
      </c>
      <c r="D127" s="6" t="s">
        <v>322</v>
      </c>
      <c r="E127" s="4"/>
      <c r="F127" s="4"/>
      <c r="G127" s="6">
        <v>2</v>
      </c>
      <c r="H127" s="4" t="s">
        <v>3248</v>
      </c>
      <c r="I127" s="4" t="s">
        <v>3249</v>
      </c>
      <c r="J127" s="4"/>
      <c r="K127" s="6" t="s">
        <v>7</v>
      </c>
      <c r="L127" s="6"/>
      <c r="M127" s="4"/>
      <c r="N127" s="4"/>
    </row>
    <row r="128" spans="1:14" customHeight="1" ht="30">
      <c r="A128" s="8" t="s">
        <v>3242</v>
      </c>
      <c r="B128" s="4" t="s">
        <v>2968</v>
      </c>
      <c r="C128" s="4" t="s">
        <v>3243</v>
      </c>
      <c r="D128" s="6" t="s">
        <v>322</v>
      </c>
      <c r="E128" s="4"/>
      <c r="F128" s="4"/>
      <c r="G128" s="6">
        <v>3</v>
      </c>
      <c r="H128" s="4" t="s">
        <v>3250</v>
      </c>
      <c r="I128" s="4" t="s">
        <v>3251</v>
      </c>
      <c r="J128" s="4"/>
      <c r="K128" s="6" t="s">
        <v>7</v>
      </c>
      <c r="L128" s="6"/>
      <c r="M128" s="4"/>
      <c r="N128" s="4"/>
    </row>
    <row r="129" spans="1:14" customHeight="1" ht="53">
      <c r="A129" s="8" t="s">
        <v>3242</v>
      </c>
      <c r="B129" s="4" t="s">
        <v>2968</v>
      </c>
      <c r="C129" s="4" t="s">
        <v>3243</v>
      </c>
      <c r="D129" s="6" t="s">
        <v>322</v>
      </c>
      <c r="E129" s="4"/>
      <c r="F129" s="4"/>
      <c r="G129" s="6">
        <v>4</v>
      </c>
      <c r="H129" s="4" t="s">
        <v>3252</v>
      </c>
      <c r="I129" s="4" t="s">
        <v>3253</v>
      </c>
      <c r="J129" s="4"/>
      <c r="K129" s="6" t="s">
        <v>7</v>
      </c>
      <c r="L129" s="6"/>
      <c r="M129" s="4"/>
      <c r="N129" s="4"/>
    </row>
    <row r="130" spans="1:14" customHeight="1" ht="40">
      <c r="A130" s="8" t="s">
        <v>3242</v>
      </c>
      <c r="B130" s="4" t="s">
        <v>2968</v>
      </c>
      <c r="C130" s="4" t="s">
        <v>3243</v>
      </c>
      <c r="D130" s="6" t="s">
        <v>322</v>
      </c>
      <c r="E130" s="4"/>
      <c r="F130" s="4"/>
      <c r="G130" s="6">
        <v>5</v>
      </c>
      <c r="H130" s="4" t="s">
        <v>3254</v>
      </c>
      <c r="I130" s="4" t="s">
        <v>3255</v>
      </c>
      <c r="J130" s="4"/>
      <c r="K130" s="6" t="s">
        <v>7</v>
      </c>
      <c r="L130" s="6"/>
      <c r="M130" s="4"/>
      <c r="N130" s="4"/>
    </row>
    <row r="131" spans="1:14" customHeight="1" ht="30">
      <c r="A131" s="8" t="s">
        <v>3242</v>
      </c>
      <c r="B131" s="4" t="s">
        <v>2968</v>
      </c>
      <c r="C131" s="4" t="s">
        <v>3243</v>
      </c>
      <c r="D131" s="6" t="s">
        <v>322</v>
      </c>
      <c r="E131" s="4"/>
      <c r="F131" s="4"/>
      <c r="G131" s="6">
        <v>6</v>
      </c>
      <c r="H131" s="4" t="s">
        <v>3256</v>
      </c>
      <c r="I131" s="4" t="s">
        <v>3041</v>
      </c>
      <c r="J131" s="4"/>
      <c r="K131" s="6" t="s">
        <v>7</v>
      </c>
      <c r="L131" s="6"/>
      <c r="M131" s="4"/>
      <c r="N131" s="4"/>
    </row>
    <row r="132" spans="1:14" customHeight="1" ht="30">
      <c r="A132" s="8" t="s">
        <v>3242</v>
      </c>
      <c r="B132" s="4" t="s">
        <v>2968</v>
      </c>
      <c r="C132" s="4" t="s">
        <v>3243</v>
      </c>
      <c r="D132" s="6" t="s">
        <v>322</v>
      </c>
      <c r="E132" s="4"/>
      <c r="F132" s="4"/>
      <c r="G132" s="6">
        <v>7</v>
      </c>
      <c r="H132" s="4" t="s">
        <v>3257</v>
      </c>
      <c r="I132" s="4" t="s">
        <v>3041</v>
      </c>
      <c r="J132" s="4"/>
      <c r="K132" s="6" t="s">
        <v>7</v>
      </c>
      <c r="L132" s="6"/>
      <c r="M132" s="4"/>
      <c r="N132" s="4"/>
    </row>
    <row r="133" spans="1:14" customHeight="1" ht="40">
      <c r="A133" s="8" t="s">
        <v>3242</v>
      </c>
      <c r="B133" s="4" t="s">
        <v>2968</v>
      </c>
      <c r="C133" s="4" t="s">
        <v>3243</v>
      </c>
      <c r="D133" s="6" t="s">
        <v>322</v>
      </c>
      <c r="E133" s="4"/>
      <c r="F133" s="4"/>
      <c r="G133" s="6">
        <v>8</v>
      </c>
      <c r="H133" s="4" t="s">
        <v>3258</v>
      </c>
      <c r="I133" s="4" t="s">
        <v>3259</v>
      </c>
      <c r="J133" s="4"/>
      <c r="K133" s="6" t="s">
        <v>7</v>
      </c>
      <c r="L133" s="6"/>
      <c r="M133" s="4"/>
      <c r="N133" s="4"/>
    </row>
    <row r="134" spans="1:14" customHeight="1" ht="40">
      <c r="A134" s="9" t="s">
        <v>3260</v>
      </c>
      <c r="B134" s="5" t="s">
        <v>2968</v>
      </c>
      <c r="C134" s="5" t="s">
        <v>3261</v>
      </c>
      <c r="D134" s="7" t="s">
        <v>322</v>
      </c>
      <c r="E134" s="5" t="s">
        <v>3262</v>
      </c>
      <c r="F134" s="5" t="s">
        <v>3263</v>
      </c>
      <c r="G134" s="7">
        <v>1</v>
      </c>
      <c r="H134" s="5" t="s">
        <v>3264</v>
      </c>
      <c r="I134" s="5" t="s">
        <v>3265</v>
      </c>
      <c r="J134" s="5"/>
      <c r="K134" s="7" t="s">
        <v>7</v>
      </c>
      <c r="L134" s="7"/>
      <c r="M134" s="5"/>
      <c r="N134" s="5"/>
    </row>
    <row r="135" spans="1:14" customHeight="1" ht="53">
      <c r="A135" s="9" t="s">
        <v>3260</v>
      </c>
      <c r="B135" s="5" t="s">
        <v>2968</v>
      </c>
      <c r="C135" s="5" t="s">
        <v>3261</v>
      </c>
      <c r="D135" s="7" t="s">
        <v>322</v>
      </c>
      <c r="E135" s="5"/>
      <c r="F135" s="5"/>
      <c r="G135" s="7">
        <v>2</v>
      </c>
      <c r="H135" s="5" t="s">
        <v>3266</v>
      </c>
      <c r="I135" s="5" t="s">
        <v>3267</v>
      </c>
      <c r="J135" s="5"/>
      <c r="K135" s="7" t="s">
        <v>7</v>
      </c>
      <c r="L135" s="7"/>
      <c r="M135" s="5"/>
      <c r="N135" s="5"/>
    </row>
    <row r="136" spans="1:14" customHeight="1" ht="30">
      <c r="A136" s="9" t="s">
        <v>3260</v>
      </c>
      <c r="B136" s="5" t="s">
        <v>2968</v>
      </c>
      <c r="C136" s="5" t="s">
        <v>3261</v>
      </c>
      <c r="D136" s="7" t="s">
        <v>322</v>
      </c>
      <c r="E136" s="5"/>
      <c r="F136" s="5"/>
      <c r="G136" s="7">
        <v>3</v>
      </c>
      <c r="H136" s="5" t="s">
        <v>3268</v>
      </c>
      <c r="I136" s="5" t="s">
        <v>3269</v>
      </c>
      <c r="J136" s="5"/>
      <c r="K136" s="7" t="s">
        <v>7</v>
      </c>
      <c r="L136" s="7"/>
      <c r="M136" s="5"/>
      <c r="N136" s="5"/>
    </row>
    <row r="137" spans="1:14" customHeight="1" ht="40">
      <c r="A137" s="9" t="s">
        <v>3260</v>
      </c>
      <c r="B137" s="5" t="s">
        <v>2968</v>
      </c>
      <c r="C137" s="5" t="s">
        <v>3261</v>
      </c>
      <c r="D137" s="7" t="s">
        <v>322</v>
      </c>
      <c r="E137" s="5"/>
      <c r="F137" s="5"/>
      <c r="G137" s="7">
        <v>4</v>
      </c>
      <c r="H137" s="5" t="s">
        <v>3270</v>
      </c>
      <c r="I137" s="5" t="s">
        <v>2172</v>
      </c>
      <c r="J137" s="5"/>
      <c r="K137" s="7" t="s">
        <v>7</v>
      </c>
      <c r="L137" s="7"/>
      <c r="M137" s="5"/>
      <c r="N137" s="5"/>
    </row>
    <row r="138" spans="1:14" customHeight="1" ht="53">
      <c r="A138" s="9" t="s">
        <v>3260</v>
      </c>
      <c r="B138" s="5" t="s">
        <v>2968</v>
      </c>
      <c r="C138" s="5" t="s">
        <v>3261</v>
      </c>
      <c r="D138" s="7" t="s">
        <v>322</v>
      </c>
      <c r="E138" s="5"/>
      <c r="F138" s="5"/>
      <c r="G138" s="7">
        <v>5</v>
      </c>
      <c r="H138" s="5" t="s">
        <v>3271</v>
      </c>
      <c r="I138" s="5" t="s">
        <v>3272</v>
      </c>
      <c r="J138" s="5"/>
      <c r="K138" s="7" t="s">
        <v>7</v>
      </c>
      <c r="L138" s="7"/>
      <c r="M138" s="5"/>
      <c r="N138" s="5"/>
    </row>
    <row r="139" spans="1:14" customHeight="1" ht="40">
      <c r="A139" s="8" t="s">
        <v>3273</v>
      </c>
      <c r="B139" s="4" t="s">
        <v>2968</v>
      </c>
      <c r="C139" s="4" t="s">
        <v>3274</v>
      </c>
      <c r="D139" s="6" t="s">
        <v>441</v>
      </c>
      <c r="E139" s="4" t="s">
        <v>3275</v>
      </c>
      <c r="F139" s="4" t="s">
        <v>3276</v>
      </c>
      <c r="G139" s="6">
        <v>1</v>
      </c>
      <c r="H139" s="4" t="s">
        <v>3277</v>
      </c>
      <c r="I139" s="4" t="s">
        <v>3278</v>
      </c>
      <c r="J139" s="4"/>
      <c r="K139" s="6" t="s">
        <v>7</v>
      </c>
      <c r="L139" s="6"/>
      <c r="M139" s="4"/>
      <c r="N139" s="4"/>
    </row>
    <row r="140" spans="1:14" customHeight="1" ht="30">
      <c r="A140" s="8" t="s">
        <v>3273</v>
      </c>
      <c r="B140" s="4" t="s">
        <v>2968</v>
      </c>
      <c r="C140" s="4" t="s">
        <v>3274</v>
      </c>
      <c r="D140" s="6" t="s">
        <v>441</v>
      </c>
      <c r="E140" s="4"/>
      <c r="F140" s="4"/>
      <c r="G140" s="6">
        <v>2</v>
      </c>
      <c r="H140" s="4" t="s">
        <v>3279</v>
      </c>
      <c r="I140" s="4" t="s">
        <v>3280</v>
      </c>
      <c r="J140" s="4"/>
      <c r="K140" s="6" t="s">
        <v>7</v>
      </c>
      <c r="L140" s="6"/>
      <c r="M140" s="4"/>
      <c r="N140" s="4"/>
    </row>
    <row r="141" spans="1:14" customHeight="1" ht="30">
      <c r="A141" s="8" t="s">
        <v>3273</v>
      </c>
      <c r="B141" s="4" t="s">
        <v>2968</v>
      </c>
      <c r="C141" s="4" t="s">
        <v>3274</v>
      </c>
      <c r="D141" s="6" t="s">
        <v>441</v>
      </c>
      <c r="E141" s="4"/>
      <c r="F141" s="4"/>
      <c r="G141" s="6">
        <v>3</v>
      </c>
      <c r="H141" s="4" t="s">
        <v>3281</v>
      </c>
      <c r="I141" s="4" t="s">
        <v>3282</v>
      </c>
      <c r="J141" s="4"/>
      <c r="K141" s="6" t="s">
        <v>7</v>
      </c>
      <c r="L141" s="6"/>
      <c r="M141" s="4"/>
      <c r="N141" s="4"/>
    </row>
    <row r="142" spans="1:14" customHeight="1" ht="30">
      <c r="A142" s="8" t="s">
        <v>3273</v>
      </c>
      <c r="B142" s="4" t="s">
        <v>2968</v>
      </c>
      <c r="C142" s="4" t="s">
        <v>3274</v>
      </c>
      <c r="D142" s="6" t="s">
        <v>441</v>
      </c>
      <c r="E142" s="4"/>
      <c r="F142" s="4"/>
      <c r="G142" s="6">
        <v>4</v>
      </c>
      <c r="H142" s="4" t="s">
        <v>3283</v>
      </c>
      <c r="I142" s="4" t="s">
        <v>3284</v>
      </c>
      <c r="J142" s="4"/>
      <c r="K142" s="6" t="s">
        <v>7</v>
      </c>
      <c r="L142" s="6"/>
      <c r="M142" s="4"/>
      <c r="N142" s="4"/>
    </row>
    <row r="143" spans="1:14" customHeight="1" ht="30">
      <c r="A143" s="8" t="s">
        <v>3273</v>
      </c>
      <c r="B143" s="4" t="s">
        <v>2968</v>
      </c>
      <c r="C143" s="4" t="s">
        <v>3274</v>
      </c>
      <c r="D143" s="6" t="s">
        <v>441</v>
      </c>
      <c r="E143" s="4"/>
      <c r="F143" s="4"/>
      <c r="G143" s="6">
        <v>5</v>
      </c>
      <c r="H143" s="4" t="s">
        <v>3285</v>
      </c>
      <c r="I143" s="4" t="s">
        <v>3286</v>
      </c>
      <c r="J143" s="4"/>
      <c r="K143" s="6" t="s">
        <v>7</v>
      </c>
      <c r="L143" s="6"/>
      <c r="M143" s="4"/>
      <c r="N143" s="4"/>
    </row>
    <row r="144" spans="1:14" customHeight="1" ht="30">
      <c r="A144" s="8" t="s">
        <v>3273</v>
      </c>
      <c r="B144" s="4" t="s">
        <v>2968</v>
      </c>
      <c r="C144" s="4" t="s">
        <v>3274</v>
      </c>
      <c r="D144" s="6" t="s">
        <v>441</v>
      </c>
      <c r="E144" s="4"/>
      <c r="F144" s="4"/>
      <c r="G144" s="6">
        <v>6</v>
      </c>
      <c r="H144" s="4" t="s">
        <v>3287</v>
      </c>
      <c r="I144" s="4" t="s">
        <v>3288</v>
      </c>
      <c r="J144" s="4"/>
      <c r="K144" s="6" t="s">
        <v>7</v>
      </c>
      <c r="L144" s="6"/>
      <c r="M144" s="4"/>
      <c r="N144" s="4"/>
    </row>
    <row r="145" spans="1:14" customHeight="1" ht="40">
      <c r="A145" s="9" t="s">
        <v>3289</v>
      </c>
      <c r="B145" s="5" t="s">
        <v>2968</v>
      </c>
      <c r="C145" s="5" t="s">
        <v>3290</v>
      </c>
      <c r="D145" s="7" t="s">
        <v>441</v>
      </c>
      <c r="E145" s="5" t="s">
        <v>2806</v>
      </c>
      <c r="F145" s="5" t="s">
        <v>3291</v>
      </c>
      <c r="G145" s="7">
        <v>1</v>
      </c>
      <c r="H145" s="5" t="s">
        <v>3292</v>
      </c>
      <c r="I145" s="5" t="s">
        <v>3293</v>
      </c>
      <c r="J145" s="5"/>
      <c r="K145" s="7" t="s">
        <v>7</v>
      </c>
      <c r="L145" s="7"/>
      <c r="M145" s="5"/>
      <c r="N145" s="5"/>
    </row>
    <row r="146" spans="1:14" customHeight="1" ht="40">
      <c r="A146" s="9" t="s">
        <v>3289</v>
      </c>
      <c r="B146" s="5" t="s">
        <v>2968</v>
      </c>
      <c r="C146" s="5" t="s">
        <v>3290</v>
      </c>
      <c r="D146" s="7" t="s">
        <v>441</v>
      </c>
      <c r="E146" s="5"/>
      <c r="F146" s="5"/>
      <c r="G146" s="7">
        <v>2</v>
      </c>
      <c r="H146" s="5" t="s">
        <v>3294</v>
      </c>
      <c r="I146" s="5" t="s">
        <v>3295</v>
      </c>
      <c r="J146" s="5"/>
      <c r="K146" s="7" t="s">
        <v>7</v>
      </c>
      <c r="L146" s="7"/>
      <c r="M146" s="5"/>
      <c r="N146" s="5"/>
    </row>
    <row r="147" spans="1:14" customHeight="1" ht="40">
      <c r="A147" s="9" t="s">
        <v>3289</v>
      </c>
      <c r="B147" s="5" t="s">
        <v>2968</v>
      </c>
      <c r="C147" s="5" t="s">
        <v>3290</v>
      </c>
      <c r="D147" s="7" t="s">
        <v>441</v>
      </c>
      <c r="E147" s="5"/>
      <c r="F147" s="5"/>
      <c r="G147" s="7">
        <v>3</v>
      </c>
      <c r="H147" s="5" t="s">
        <v>3296</v>
      </c>
      <c r="I147" s="5" t="s">
        <v>3297</v>
      </c>
      <c r="J147" s="5"/>
      <c r="K147" s="7" t="s">
        <v>7</v>
      </c>
      <c r="L147" s="7"/>
      <c r="M147" s="5"/>
      <c r="N147" s="5"/>
    </row>
    <row r="148" spans="1:14" customHeight="1" ht="40">
      <c r="A148" s="9" t="s">
        <v>3289</v>
      </c>
      <c r="B148" s="5" t="s">
        <v>2968</v>
      </c>
      <c r="C148" s="5" t="s">
        <v>3290</v>
      </c>
      <c r="D148" s="7" t="s">
        <v>441</v>
      </c>
      <c r="E148" s="5"/>
      <c r="F148" s="5"/>
      <c r="G148" s="7">
        <v>4</v>
      </c>
      <c r="H148" s="5" t="s">
        <v>3298</v>
      </c>
      <c r="I148" s="5" t="s">
        <v>3299</v>
      </c>
      <c r="J148" s="5"/>
      <c r="K148" s="7" t="s">
        <v>7</v>
      </c>
      <c r="L148" s="7"/>
      <c r="M148" s="5"/>
      <c r="N148" s="5"/>
    </row>
    <row r="149" spans="1:14" customHeight="1" ht="30">
      <c r="A149" s="9" t="s">
        <v>3289</v>
      </c>
      <c r="B149" s="5" t="s">
        <v>2968</v>
      </c>
      <c r="C149" s="5" t="s">
        <v>3290</v>
      </c>
      <c r="D149" s="7" t="s">
        <v>441</v>
      </c>
      <c r="E149" s="5"/>
      <c r="F149" s="5"/>
      <c r="G149" s="7">
        <v>5</v>
      </c>
      <c r="H149" s="5" t="s">
        <v>3300</v>
      </c>
      <c r="I149" s="5" t="s">
        <v>3301</v>
      </c>
      <c r="J149" s="5"/>
      <c r="K149" s="7" t="s">
        <v>7</v>
      </c>
      <c r="L149" s="7"/>
      <c r="M149" s="5"/>
      <c r="N149" s="5"/>
    </row>
    <row r="150" spans="1:14" customHeight="1" ht="30">
      <c r="A150" s="9" t="s">
        <v>3289</v>
      </c>
      <c r="B150" s="5" t="s">
        <v>2968</v>
      </c>
      <c r="C150" s="5" t="s">
        <v>3290</v>
      </c>
      <c r="D150" s="7" t="s">
        <v>441</v>
      </c>
      <c r="E150" s="5"/>
      <c r="F150" s="5"/>
      <c r="G150" s="7">
        <v>6</v>
      </c>
      <c r="H150" s="5" t="s">
        <v>3302</v>
      </c>
      <c r="I150" s="5" t="s">
        <v>3303</v>
      </c>
      <c r="J150" s="5"/>
      <c r="K150" s="7" t="s">
        <v>7</v>
      </c>
      <c r="L150" s="7"/>
      <c r="M150" s="5"/>
      <c r="N150" s="5"/>
    </row>
    <row r="151" spans="1:14" customHeight="1" ht="53">
      <c r="A151" s="8" t="s">
        <v>3304</v>
      </c>
      <c r="B151" s="4" t="s">
        <v>2968</v>
      </c>
      <c r="C151" s="4" t="s">
        <v>3305</v>
      </c>
      <c r="D151" s="6" t="s">
        <v>309</v>
      </c>
      <c r="E151" s="4" t="s">
        <v>3306</v>
      </c>
      <c r="F151" s="4" t="s">
        <v>915</v>
      </c>
      <c r="G151" s="6">
        <v>1</v>
      </c>
      <c r="H151" s="4" t="s">
        <v>3307</v>
      </c>
      <c r="I151" s="4" t="s">
        <v>3308</v>
      </c>
      <c r="J151" s="4"/>
      <c r="K151" s="6" t="s">
        <v>7</v>
      </c>
      <c r="L151" s="6"/>
      <c r="M151" s="4"/>
      <c r="N151" s="4"/>
    </row>
    <row r="152" spans="1:14" customHeight="1" ht="53">
      <c r="A152" s="8" t="s">
        <v>3304</v>
      </c>
      <c r="B152" s="4" t="s">
        <v>2968</v>
      </c>
      <c r="C152" s="4" t="s">
        <v>3305</v>
      </c>
      <c r="D152" s="6" t="s">
        <v>309</v>
      </c>
      <c r="E152" s="4"/>
      <c r="F152" s="4"/>
      <c r="G152" s="6">
        <v>2</v>
      </c>
      <c r="H152" s="4" t="s">
        <v>3309</v>
      </c>
      <c r="I152" s="4" t="s">
        <v>3310</v>
      </c>
      <c r="J152" s="4"/>
      <c r="K152" s="6" t="s">
        <v>7</v>
      </c>
      <c r="L152" s="6"/>
      <c r="M152" s="4"/>
      <c r="N152" s="4"/>
    </row>
    <row r="153" spans="1:14" customHeight="1" ht="30">
      <c r="A153" s="8" t="s">
        <v>3304</v>
      </c>
      <c r="B153" s="4" t="s">
        <v>2968</v>
      </c>
      <c r="C153" s="4" t="s">
        <v>3305</v>
      </c>
      <c r="D153" s="6" t="s">
        <v>309</v>
      </c>
      <c r="E153" s="4"/>
      <c r="F153" s="4"/>
      <c r="G153" s="6">
        <v>3</v>
      </c>
      <c r="H153" s="4" t="s">
        <v>3311</v>
      </c>
      <c r="I153" s="4" t="s">
        <v>3312</v>
      </c>
      <c r="J153" s="4"/>
      <c r="K153" s="6" t="s">
        <v>7</v>
      </c>
      <c r="L153" s="6"/>
      <c r="M153" s="4"/>
      <c r="N153" s="4"/>
    </row>
    <row r="154" spans="1:14" customHeight="1" ht="30">
      <c r="A154" s="8" t="s">
        <v>3304</v>
      </c>
      <c r="B154" s="4" t="s">
        <v>2968</v>
      </c>
      <c r="C154" s="4" t="s">
        <v>3305</v>
      </c>
      <c r="D154" s="6" t="s">
        <v>309</v>
      </c>
      <c r="E154" s="4"/>
      <c r="F154" s="4"/>
      <c r="G154" s="6">
        <v>4</v>
      </c>
      <c r="H154" s="4" t="s">
        <v>3313</v>
      </c>
      <c r="I154" s="4" t="s">
        <v>3314</v>
      </c>
      <c r="J154" s="4"/>
      <c r="K154" s="6" t="s">
        <v>7</v>
      </c>
      <c r="L154" s="6"/>
      <c r="M154" s="4"/>
      <c r="N154" s="4"/>
    </row>
    <row r="155" spans="1:14" customHeight="1" ht="40">
      <c r="A155" s="8" t="s">
        <v>3304</v>
      </c>
      <c r="B155" s="4" t="s">
        <v>2968</v>
      </c>
      <c r="C155" s="4" t="s">
        <v>3305</v>
      </c>
      <c r="D155" s="6" t="s">
        <v>309</v>
      </c>
      <c r="E155" s="4"/>
      <c r="F155" s="4"/>
      <c r="G155" s="6">
        <v>5</v>
      </c>
      <c r="H155" s="4" t="s">
        <v>3315</v>
      </c>
      <c r="I155" s="4" t="s">
        <v>3316</v>
      </c>
      <c r="J155" s="4"/>
      <c r="K155" s="6" t="s">
        <v>7</v>
      </c>
      <c r="L155" s="6"/>
      <c r="M155" s="4"/>
      <c r="N155" s="4"/>
    </row>
    <row r="156" spans="1:14" customHeight="1" ht="53">
      <c r="A156" s="8" t="s">
        <v>3304</v>
      </c>
      <c r="B156" s="4" t="s">
        <v>2968</v>
      </c>
      <c r="C156" s="4" t="s">
        <v>3305</v>
      </c>
      <c r="D156" s="6" t="s">
        <v>309</v>
      </c>
      <c r="E156" s="4"/>
      <c r="F156" s="4"/>
      <c r="G156" s="6">
        <v>6</v>
      </c>
      <c r="H156" s="4" t="s">
        <v>3317</v>
      </c>
      <c r="I156" s="4" t="s">
        <v>3318</v>
      </c>
      <c r="J156" s="4"/>
      <c r="K156" s="6" t="s">
        <v>7</v>
      </c>
      <c r="L156" s="6"/>
      <c r="M156" s="4"/>
      <c r="N156" s="4"/>
    </row>
    <row r="157" spans="1:14" customHeight="1" ht="40">
      <c r="A157" s="9" t="s">
        <v>3319</v>
      </c>
      <c r="B157" s="5" t="s">
        <v>2968</v>
      </c>
      <c r="C157" s="5" t="s">
        <v>3320</v>
      </c>
      <c r="D157" s="7" t="s">
        <v>309</v>
      </c>
      <c r="E157" s="5" t="s">
        <v>3321</v>
      </c>
      <c r="F157" s="5" t="s">
        <v>3322</v>
      </c>
      <c r="G157" s="7">
        <v>1</v>
      </c>
      <c r="H157" s="5" t="s">
        <v>3323</v>
      </c>
      <c r="I157" s="5" t="s">
        <v>3324</v>
      </c>
      <c r="J157" s="5"/>
      <c r="K157" s="7" t="s">
        <v>7</v>
      </c>
      <c r="L157" s="7"/>
      <c r="M157" s="5"/>
      <c r="N157" s="5"/>
    </row>
    <row r="158" spans="1:14" customHeight="1" ht="40">
      <c r="A158" s="9" t="s">
        <v>3319</v>
      </c>
      <c r="B158" s="5" t="s">
        <v>2968</v>
      </c>
      <c r="C158" s="5" t="s">
        <v>3320</v>
      </c>
      <c r="D158" s="7" t="s">
        <v>309</v>
      </c>
      <c r="E158" s="5"/>
      <c r="F158" s="5"/>
      <c r="G158" s="7">
        <v>2</v>
      </c>
      <c r="H158" s="5" t="s">
        <v>3325</v>
      </c>
      <c r="I158" s="5" t="s">
        <v>3326</v>
      </c>
      <c r="J158" s="5"/>
      <c r="K158" s="7" t="s">
        <v>7</v>
      </c>
      <c r="L158" s="7"/>
      <c r="M158" s="5"/>
      <c r="N158" s="5"/>
    </row>
    <row r="159" spans="1:14" customHeight="1" ht="40">
      <c r="A159" s="9" t="s">
        <v>3319</v>
      </c>
      <c r="B159" s="5" t="s">
        <v>2968</v>
      </c>
      <c r="C159" s="5" t="s">
        <v>3320</v>
      </c>
      <c r="D159" s="7" t="s">
        <v>309</v>
      </c>
      <c r="E159" s="5"/>
      <c r="F159" s="5"/>
      <c r="G159" s="7">
        <v>3</v>
      </c>
      <c r="H159" s="5" t="s">
        <v>3327</v>
      </c>
      <c r="I159" s="5" t="s">
        <v>3324</v>
      </c>
      <c r="J159" s="5"/>
      <c r="K159" s="7" t="s">
        <v>7</v>
      </c>
      <c r="L159" s="7"/>
      <c r="M159" s="5"/>
      <c r="N159" s="5"/>
    </row>
    <row r="160" spans="1:14" customHeight="1" ht="40">
      <c r="A160" s="9" t="s">
        <v>3319</v>
      </c>
      <c r="B160" s="5" t="s">
        <v>2968</v>
      </c>
      <c r="C160" s="5" t="s">
        <v>3320</v>
      </c>
      <c r="D160" s="7" t="s">
        <v>309</v>
      </c>
      <c r="E160" s="5"/>
      <c r="F160" s="5"/>
      <c r="G160" s="7">
        <v>4</v>
      </c>
      <c r="H160" s="5" t="s">
        <v>3328</v>
      </c>
      <c r="I160" s="5" t="s">
        <v>3329</v>
      </c>
      <c r="J160" s="5"/>
      <c r="K160" s="7" t="s">
        <v>7</v>
      </c>
      <c r="L160" s="7"/>
      <c r="M160" s="5"/>
      <c r="N160" s="5"/>
    </row>
    <row r="161" spans="1:14" customHeight="1" ht="40">
      <c r="A161" s="9" t="s">
        <v>3319</v>
      </c>
      <c r="B161" s="5" t="s">
        <v>2968</v>
      </c>
      <c r="C161" s="5" t="s">
        <v>3320</v>
      </c>
      <c r="D161" s="7" t="s">
        <v>309</v>
      </c>
      <c r="E161" s="5"/>
      <c r="F161" s="5"/>
      <c r="G161" s="7">
        <v>5</v>
      </c>
      <c r="H161" s="5" t="s">
        <v>3330</v>
      </c>
      <c r="I161" s="5" t="s">
        <v>3331</v>
      </c>
      <c r="J161" s="5"/>
      <c r="K161" s="7" t="s">
        <v>7</v>
      </c>
      <c r="L161" s="7"/>
      <c r="M161" s="5"/>
      <c r="N161" s="5"/>
    </row>
    <row r="162" spans="1:14" customHeight="1" ht="40">
      <c r="A162" s="9" t="s">
        <v>3319</v>
      </c>
      <c r="B162" s="5" t="s">
        <v>2968</v>
      </c>
      <c r="C162" s="5" t="s">
        <v>3320</v>
      </c>
      <c r="D162" s="7" t="s">
        <v>309</v>
      </c>
      <c r="E162" s="5"/>
      <c r="F162" s="5"/>
      <c r="G162" s="7">
        <v>6</v>
      </c>
      <c r="H162" s="5" t="s">
        <v>3332</v>
      </c>
      <c r="I162" s="5" t="s">
        <v>3333</v>
      </c>
      <c r="J162" s="5"/>
      <c r="K162" s="7" t="s">
        <v>7</v>
      </c>
      <c r="L162" s="7"/>
      <c r="M162" s="5"/>
      <c r="N162" s="5"/>
    </row>
  </sheetData>
  <autoFilter ref="A3:N162"/>
  <mergeCells>
    <mergeCell ref="A1:N1"/>
    <mergeCell ref="A2:N2"/>
  </mergeCells>
  <conditionalFormatting sqref="K4:K162">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162">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162">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162">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162">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97"/>
  <sheetViews>
    <sheetView tabSelected="0" workbookViewId="0" showGridLines="true" showRowColHeaders="1">
      <pane xSplit="2" ySplit="3" topLeftCell="C4" activePane="bottomRight" state="frozen"/>
      <selection pane="topRight"/>
      <selection pane="bottomLeft"/>
      <selection pane="bottomRight" activeCell="L4" sqref="L4:L97"/>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3334</v>
      </c>
    </row>
    <row r="2" spans="1:14" customHeight="1" ht="30">
      <c r="A2" s="2" t="s">
        <v>3335</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3336</v>
      </c>
      <c r="B4" s="4" t="s">
        <v>3334</v>
      </c>
      <c r="C4" s="4" t="s">
        <v>3337</v>
      </c>
      <c r="D4" s="6" t="s">
        <v>322</v>
      </c>
      <c r="E4" s="4" t="s">
        <v>3338</v>
      </c>
      <c r="F4" s="4" t="s">
        <v>3339</v>
      </c>
      <c r="G4" s="6">
        <v>1</v>
      </c>
      <c r="H4" s="4" t="s">
        <v>3340</v>
      </c>
      <c r="I4" s="4" t="s">
        <v>3341</v>
      </c>
      <c r="J4" s="4"/>
      <c r="K4" s="6" t="s">
        <v>7</v>
      </c>
      <c r="L4" s="6"/>
      <c r="M4" s="4"/>
      <c r="N4" s="4"/>
    </row>
    <row r="5" spans="1:14" customHeight="1" ht="40">
      <c r="A5" s="8" t="s">
        <v>3336</v>
      </c>
      <c r="B5" s="4" t="s">
        <v>3334</v>
      </c>
      <c r="C5" s="4" t="s">
        <v>3337</v>
      </c>
      <c r="D5" s="6" t="s">
        <v>322</v>
      </c>
      <c r="E5" s="4"/>
      <c r="F5" s="4"/>
      <c r="G5" s="6">
        <v>2</v>
      </c>
      <c r="H5" s="4" t="s">
        <v>3342</v>
      </c>
      <c r="I5" s="4" t="s">
        <v>3343</v>
      </c>
      <c r="J5" s="4"/>
      <c r="K5" s="6" t="s">
        <v>7</v>
      </c>
      <c r="L5" s="6"/>
      <c r="M5" s="4"/>
      <c r="N5" s="4"/>
    </row>
    <row r="6" spans="1:14" customHeight="1" ht="40">
      <c r="A6" s="8" t="s">
        <v>3336</v>
      </c>
      <c r="B6" s="4" t="s">
        <v>3334</v>
      </c>
      <c r="C6" s="4" t="s">
        <v>3337</v>
      </c>
      <c r="D6" s="6" t="s">
        <v>322</v>
      </c>
      <c r="E6" s="4"/>
      <c r="F6" s="4"/>
      <c r="G6" s="6">
        <v>3</v>
      </c>
      <c r="H6" s="4" t="s">
        <v>3344</v>
      </c>
      <c r="I6" s="4" t="s">
        <v>3345</v>
      </c>
      <c r="J6" s="4"/>
      <c r="K6" s="6" t="s">
        <v>7</v>
      </c>
      <c r="L6" s="6"/>
      <c r="M6" s="4"/>
      <c r="N6" s="4"/>
    </row>
    <row r="7" spans="1:14" customHeight="1" ht="40">
      <c r="A7" s="8" t="s">
        <v>3336</v>
      </c>
      <c r="B7" s="4" t="s">
        <v>3334</v>
      </c>
      <c r="C7" s="4" t="s">
        <v>3337</v>
      </c>
      <c r="D7" s="6" t="s">
        <v>322</v>
      </c>
      <c r="E7" s="4"/>
      <c r="F7" s="4"/>
      <c r="G7" s="6">
        <v>4</v>
      </c>
      <c r="H7" s="4" t="s">
        <v>3346</v>
      </c>
      <c r="I7" s="4" t="s">
        <v>3347</v>
      </c>
      <c r="J7" s="4"/>
      <c r="K7" s="6" t="s">
        <v>7</v>
      </c>
      <c r="L7" s="6"/>
      <c r="M7" s="4"/>
      <c r="N7" s="4"/>
    </row>
    <row r="8" spans="1:14" customHeight="1" ht="40">
      <c r="A8" s="8" t="s">
        <v>3336</v>
      </c>
      <c r="B8" s="4" t="s">
        <v>3334</v>
      </c>
      <c r="C8" s="4" t="s">
        <v>3337</v>
      </c>
      <c r="D8" s="6" t="s">
        <v>322</v>
      </c>
      <c r="E8" s="4"/>
      <c r="F8" s="4"/>
      <c r="G8" s="6">
        <v>5</v>
      </c>
      <c r="H8" s="4" t="s">
        <v>3348</v>
      </c>
      <c r="I8" s="4" t="s">
        <v>3349</v>
      </c>
      <c r="J8" s="4"/>
      <c r="K8" s="6" t="s">
        <v>7</v>
      </c>
      <c r="L8" s="6"/>
      <c r="M8" s="4"/>
      <c r="N8" s="4"/>
    </row>
    <row r="9" spans="1:14" customHeight="1" ht="30">
      <c r="A9" s="8" t="s">
        <v>3336</v>
      </c>
      <c r="B9" s="4" t="s">
        <v>3334</v>
      </c>
      <c r="C9" s="4" t="s">
        <v>3337</v>
      </c>
      <c r="D9" s="6" t="s">
        <v>322</v>
      </c>
      <c r="E9" s="4"/>
      <c r="F9" s="4"/>
      <c r="G9" s="6">
        <v>6</v>
      </c>
      <c r="H9" s="4" t="s">
        <v>3006</v>
      </c>
      <c r="I9" s="4" t="s">
        <v>3350</v>
      </c>
      <c r="J9" s="4"/>
      <c r="K9" s="6" t="s">
        <v>7</v>
      </c>
      <c r="L9" s="6"/>
      <c r="M9" s="4"/>
      <c r="N9" s="4"/>
    </row>
    <row r="10" spans="1:14" customHeight="1" ht="30">
      <c r="A10" s="8" t="s">
        <v>3336</v>
      </c>
      <c r="B10" s="4" t="s">
        <v>3334</v>
      </c>
      <c r="C10" s="4" t="s">
        <v>3337</v>
      </c>
      <c r="D10" s="6" t="s">
        <v>322</v>
      </c>
      <c r="E10" s="4"/>
      <c r="F10" s="4"/>
      <c r="G10" s="6">
        <v>7</v>
      </c>
      <c r="H10" s="4" t="s">
        <v>3009</v>
      </c>
      <c r="I10" s="4" t="s">
        <v>3351</v>
      </c>
      <c r="J10" s="4"/>
      <c r="K10" s="6" t="s">
        <v>7</v>
      </c>
      <c r="L10" s="6"/>
      <c r="M10" s="4"/>
      <c r="N10" s="4"/>
    </row>
    <row r="11" spans="1:14" customHeight="1" ht="30">
      <c r="A11" s="8" t="s">
        <v>3336</v>
      </c>
      <c r="B11" s="4" t="s">
        <v>3334</v>
      </c>
      <c r="C11" s="4" t="s">
        <v>3337</v>
      </c>
      <c r="D11" s="6" t="s">
        <v>322</v>
      </c>
      <c r="E11" s="4"/>
      <c r="F11" s="4"/>
      <c r="G11" s="6">
        <v>8</v>
      </c>
      <c r="H11" s="4" t="s">
        <v>3352</v>
      </c>
      <c r="I11" s="4" t="s">
        <v>3353</v>
      </c>
      <c r="J11" s="4"/>
      <c r="K11" s="6" t="s">
        <v>7</v>
      </c>
      <c r="L11" s="6"/>
      <c r="M11" s="4"/>
      <c r="N11" s="4"/>
    </row>
    <row r="12" spans="1:14" customHeight="1" ht="30">
      <c r="A12" s="8" t="s">
        <v>3336</v>
      </c>
      <c r="B12" s="4" t="s">
        <v>3334</v>
      </c>
      <c r="C12" s="4" t="s">
        <v>3337</v>
      </c>
      <c r="D12" s="6" t="s">
        <v>322</v>
      </c>
      <c r="E12" s="4"/>
      <c r="F12" s="4"/>
      <c r="G12" s="6">
        <v>9</v>
      </c>
      <c r="H12" s="4" t="s">
        <v>3354</v>
      </c>
      <c r="I12" s="4" t="s">
        <v>3355</v>
      </c>
      <c r="J12" s="4"/>
      <c r="K12" s="6" t="s">
        <v>7</v>
      </c>
      <c r="L12" s="6"/>
      <c r="M12" s="4"/>
      <c r="N12" s="4"/>
    </row>
    <row r="13" spans="1:14" customHeight="1" ht="30">
      <c r="A13" s="8" t="s">
        <v>3336</v>
      </c>
      <c r="B13" s="4" t="s">
        <v>3334</v>
      </c>
      <c r="C13" s="4" t="s">
        <v>3337</v>
      </c>
      <c r="D13" s="6" t="s">
        <v>322</v>
      </c>
      <c r="E13" s="4"/>
      <c r="F13" s="4"/>
      <c r="G13" s="6">
        <v>10</v>
      </c>
      <c r="H13" s="4" t="s">
        <v>3356</v>
      </c>
      <c r="I13" s="4" t="s">
        <v>3357</v>
      </c>
      <c r="J13" s="4"/>
      <c r="K13" s="6" t="s">
        <v>7</v>
      </c>
      <c r="L13" s="6"/>
      <c r="M13" s="4"/>
      <c r="N13" s="4"/>
    </row>
    <row r="14" spans="1:14" customHeight="1" ht="30">
      <c r="A14" s="8" t="s">
        <v>3336</v>
      </c>
      <c r="B14" s="4" t="s">
        <v>3334</v>
      </c>
      <c r="C14" s="4" t="s">
        <v>3337</v>
      </c>
      <c r="D14" s="6" t="s">
        <v>322</v>
      </c>
      <c r="E14" s="4"/>
      <c r="F14" s="4"/>
      <c r="G14" s="6">
        <v>11</v>
      </c>
      <c r="H14" s="4" t="s">
        <v>3358</v>
      </c>
      <c r="I14" s="4" t="s">
        <v>3359</v>
      </c>
      <c r="J14" s="4"/>
      <c r="K14" s="6" t="s">
        <v>7</v>
      </c>
      <c r="L14" s="6"/>
      <c r="M14" s="4"/>
      <c r="N14" s="4"/>
    </row>
    <row r="15" spans="1:14" customHeight="1" ht="40">
      <c r="A15" s="8" t="s">
        <v>3336</v>
      </c>
      <c r="B15" s="4" t="s">
        <v>3334</v>
      </c>
      <c r="C15" s="4" t="s">
        <v>3337</v>
      </c>
      <c r="D15" s="6" t="s">
        <v>322</v>
      </c>
      <c r="E15" s="4"/>
      <c r="F15" s="4"/>
      <c r="G15" s="6">
        <v>12</v>
      </c>
      <c r="H15" s="4" t="s">
        <v>3360</v>
      </c>
      <c r="I15" s="4" t="s">
        <v>3361</v>
      </c>
      <c r="J15" s="4"/>
      <c r="K15" s="6" t="s">
        <v>7</v>
      </c>
      <c r="L15" s="6"/>
      <c r="M15" s="4"/>
      <c r="N15" s="4"/>
    </row>
    <row r="16" spans="1:14" customHeight="1" ht="40">
      <c r="A16" s="9" t="s">
        <v>3362</v>
      </c>
      <c r="B16" s="5" t="s">
        <v>3334</v>
      </c>
      <c r="C16" s="5" t="s">
        <v>3363</v>
      </c>
      <c r="D16" s="7" t="s">
        <v>322</v>
      </c>
      <c r="E16" s="5" t="s">
        <v>3364</v>
      </c>
      <c r="F16" s="5" t="s">
        <v>3365</v>
      </c>
      <c r="G16" s="7">
        <v>1</v>
      </c>
      <c r="H16" s="5" t="s">
        <v>3366</v>
      </c>
      <c r="I16" s="5" t="s">
        <v>3367</v>
      </c>
      <c r="J16" s="5"/>
      <c r="K16" s="7" t="s">
        <v>7</v>
      </c>
      <c r="L16" s="7"/>
      <c r="M16" s="5"/>
      <c r="N16" s="5"/>
    </row>
    <row r="17" spans="1:14" customHeight="1" ht="66">
      <c r="A17" s="9" t="s">
        <v>3362</v>
      </c>
      <c r="B17" s="5" t="s">
        <v>3334</v>
      </c>
      <c r="C17" s="5" t="s">
        <v>3363</v>
      </c>
      <c r="D17" s="7" t="s">
        <v>322</v>
      </c>
      <c r="E17" s="5"/>
      <c r="F17" s="5"/>
      <c r="G17" s="7">
        <v>2</v>
      </c>
      <c r="H17" s="5" t="s">
        <v>3368</v>
      </c>
      <c r="I17" s="5" t="s">
        <v>3369</v>
      </c>
      <c r="J17" s="5"/>
      <c r="K17" s="7" t="s">
        <v>7</v>
      </c>
      <c r="L17" s="7"/>
      <c r="M17" s="5"/>
      <c r="N17" s="5"/>
    </row>
    <row r="18" spans="1:14" customHeight="1" ht="40">
      <c r="A18" s="9" t="s">
        <v>3362</v>
      </c>
      <c r="B18" s="5" t="s">
        <v>3334</v>
      </c>
      <c r="C18" s="5" t="s">
        <v>3363</v>
      </c>
      <c r="D18" s="7" t="s">
        <v>322</v>
      </c>
      <c r="E18" s="5"/>
      <c r="F18" s="5"/>
      <c r="G18" s="7">
        <v>3</v>
      </c>
      <c r="H18" s="5" t="s">
        <v>3370</v>
      </c>
      <c r="I18" s="5" t="s">
        <v>3371</v>
      </c>
      <c r="J18" s="5"/>
      <c r="K18" s="7" t="s">
        <v>7</v>
      </c>
      <c r="L18" s="7"/>
      <c r="M18" s="5"/>
      <c r="N18" s="5"/>
    </row>
    <row r="19" spans="1:14" customHeight="1" ht="30">
      <c r="A19" s="9" t="s">
        <v>3362</v>
      </c>
      <c r="B19" s="5" t="s">
        <v>3334</v>
      </c>
      <c r="C19" s="5" t="s">
        <v>3363</v>
      </c>
      <c r="D19" s="7" t="s">
        <v>322</v>
      </c>
      <c r="E19" s="5"/>
      <c r="F19" s="5"/>
      <c r="G19" s="7">
        <v>4</v>
      </c>
      <c r="H19" s="5" t="s">
        <v>3372</v>
      </c>
      <c r="I19" s="5" t="s">
        <v>3373</v>
      </c>
      <c r="J19" s="5"/>
      <c r="K19" s="7" t="s">
        <v>7</v>
      </c>
      <c r="L19" s="7"/>
      <c r="M19" s="5"/>
      <c r="N19" s="5"/>
    </row>
    <row r="20" spans="1:14" customHeight="1" ht="40">
      <c r="A20" s="9" t="s">
        <v>3362</v>
      </c>
      <c r="B20" s="5" t="s">
        <v>3334</v>
      </c>
      <c r="C20" s="5" t="s">
        <v>3363</v>
      </c>
      <c r="D20" s="7" t="s">
        <v>322</v>
      </c>
      <c r="E20" s="5"/>
      <c r="F20" s="5"/>
      <c r="G20" s="7">
        <v>5</v>
      </c>
      <c r="H20" s="5" t="s">
        <v>3374</v>
      </c>
      <c r="I20" s="5" t="s">
        <v>3375</v>
      </c>
      <c r="J20" s="5"/>
      <c r="K20" s="7" t="s">
        <v>7</v>
      </c>
      <c r="L20" s="7"/>
      <c r="M20" s="5"/>
      <c r="N20" s="5"/>
    </row>
    <row r="21" spans="1:14" customHeight="1" ht="30">
      <c r="A21" s="9" t="s">
        <v>3362</v>
      </c>
      <c r="B21" s="5" t="s">
        <v>3334</v>
      </c>
      <c r="C21" s="5" t="s">
        <v>3363</v>
      </c>
      <c r="D21" s="7" t="s">
        <v>322</v>
      </c>
      <c r="E21" s="5"/>
      <c r="F21" s="5"/>
      <c r="G21" s="7">
        <v>6</v>
      </c>
      <c r="H21" s="5" t="s">
        <v>3376</v>
      </c>
      <c r="I21" s="5" t="s">
        <v>3041</v>
      </c>
      <c r="J21" s="5"/>
      <c r="K21" s="7" t="s">
        <v>7</v>
      </c>
      <c r="L21" s="7"/>
      <c r="M21" s="5"/>
      <c r="N21" s="5"/>
    </row>
    <row r="22" spans="1:14" customHeight="1" ht="30">
      <c r="A22" s="9" t="s">
        <v>3362</v>
      </c>
      <c r="B22" s="5" t="s">
        <v>3334</v>
      </c>
      <c r="C22" s="5" t="s">
        <v>3363</v>
      </c>
      <c r="D22" s="7" t="s">
        <v>322</v>
      </c>
      <c r="E22" s="5"/>
      <c r="F22" s="5"/>
      <c r="G22" s="7">
        <v>7</v>
      </c>
      <c r="H22" s="5" t="s">
        <v>3377</v>
      </c>
      <c r="I22" s="5" t="s">
        <v>3041</v>
      </c>
      <c r="J22" s="5"/>
      <c r="K22" s="7" t="s">
        <v>7</v>
      </c>
      <c r="L22" s="7"/>
      <c r="M22" s="5"/>
      <c r="N22" s="5"/>
    </row>
    <row r="23" spans="1:14" customHeight="1" ht="40">
      <c r="A23" s="9" t="s">
        <v>3362</v>
      </c>
      <c r="B23" s="5" t="s">
        <v>3334</v>
      </c>
      <c r="C23" s="5" t="s">
        <v>3363</v>
      </c>
      <c r="D23" s="7" t="s">
        <v>322</v>
      </c>
      <c r="E23" s="5"/>
      <c r="F23" s="5"/>
      <c r="G23" s="7">
        <v>8</v>
      </c>
      <c r="H23" s="5" t="s">
        <v>3378</v>
      </c>
      <c r="I23" s="5" t="s">
        <v>3379</v>
      </c>
      <c r="J23" s="5"/>
      <c r="K23" s="7" t="s">
        <v>7</v>
      </c>
      <c r="L23" s="7"/>
      <c r="M23" s="5"/>
      <c r="N23" s="5"/>
    </row>
    <row r="24" spans="1:14" customHeight="1" ht="40">
      <c r="A24" s="9" t="s">
        <v>3362</v>
      </c>
      <c r="B24" s="5" t="s">
        <v>3334</v>
      </c>
      <c r="C24" s="5" t="s">
        <v>3363</v>
      </c>
      <c r="D24" s="7" t="s">
        <v>322</v>
      </c>
      <c r="E24" s="5"/>
      <c r="F24" s="5"/>
      <c r="G24" s="7">
        <v>9</v>
      </c>
      <c r="H24" s="5" t="s">
        <v>3380</v>
      </c>
      <c r="I24" s="5" t="s">
        <v>3381</v>
      </c>
      <c r="J24" s="5"/>
      <c r="K24" s="7" t="s">
        <v>7</v>
      </c>
      <c r="L24" s="7"/>
      <c r="M24" s="5"/>
      <c r="N24" s="5"/>
    </row>
    <row r="25" spans="1:14" customHeight="1" ht="40">
      <c r="A25" s="9" t="s">
        <v>3362</v>
      </c>
      <c r="B25" s="5" t="s">
        <v>3334</v>
      </c>
      <c r="C25" s="5" t="s">
        <v>3363</v>
      </c>
      <c r="D25" s="7" t="s">
        <v>322</v>
      </c>
      <c r="E25" s="5"/>
      <c r="F25" s="5"/>
      <c r="G25" s="7">
        <v>10</v>
      </c>
      <c r="H25" s="5" t="s">
        <v>3382</v>
      </c>
      <c r="I25" s="5" t="s">
        <v>3383</v>
      </c>
      <c r="J25" s="5"/>
      <c r="K25" s="7" t="s">
        <v>7</v>
      </c>
      <c r="L25" s="7"/>
      <c r="M25" s="5"/>
      <c r="N25" s="5"/>
    </row>
    <row r="26" spans="1:14" customHeight="1" ht="40">
      <c r="A26" s="9" t="s">
        <v>3362</v>
      </c>
      <c r="B26" s="5" t="s">
        <v>3334</v>
      </c>
      <c r="C26" s="5" t="s">
        <v>3363</v>
      </c>
      <c r="D26" s="7" t="s">
        <v>322</v>
      </c>
      <c r="E26" s="5"/>
      <c r="F26" s="5"/>
      <c r="G26" s="7">
        <v>11</v>
      </c>
      <c r="H26" s="5" t="s">
        <v>3384</v>
      </c>
      <c r="I26" s="5" t="s">
        <v>3385</v>
      </c>
      <c r="J26" s="5"/>
      <c r="K26" s="7" t="s">
        <v>7</v>
      </c>
      <c r="L26" s="7"/>
      <c r="M26" s="5"/>
      <c r="N26" s="5"/>
    </row>
    <row r="27" spans="1:14" customHeight="1" ht="30">
      <c r="A27" s="8" t="s">
        <v>3386</v>
      </c>
      <c r="B27" s="4" t="s">
        <v>3334</v>
      </c>
      <c r="C27" s="4" t="s">
        <v>3387</v>
      </c>
      <c r="D27" s="6" t="s">
        <v>322</v>
      </c>
      <c r="E27" s="4" t="s">
        <v>3388</v>
      </c>
      <c r="F27" s="4" t="s">
        <v>3389</v>
      </c>
      <c r="G27" s="6">
        <v>1</v>
      </c>
      <c r="H27" s="4" t="s">
        <v>3390</v>
      </c>
      <c r="I27" s="4" t="s">
        <v>3391</v>
      </c>
      <c r="J27" s="4"/>
      <c r="K27" s="6" t="s">
        <v>7</v>
      </c>
      <c r="L27" s="6"/>
      <c r="M27" s="4"/>
      <c r="N27" s="4"/>
    </row>
    <row r="28" spans="1:14" customHeight="1" ht="40">
      <c r="A28" s="8" t="s">
        <v>3386</v>
      </c>
      <c r="B28" s="4" t="s">
        <v>3334</v>
      </c>
      <c r="C28" s="4" t="s">
        <v>3387</v>
      </c>
      <c r="D28" s="6" t="s">
        <v>322</v>
      </c>
      <c r="E28" s="4"/>
      <c r="F28" s="4"/>
      <c r="G28" s="6">
        <v>2</v>
      </c>
      <c r="H28" s="4" t="s">
        <v>3392</v>
      </c>
      <c r="I28" s="4" t="s">
        <v>3393</v>
      </c>
      <c r="J28" s="4"/>
      <c r="K28" s="6" t="s">
        <v>7</v>
      </c>
      <c r="L28" s="6"/>
      <c r="M28" s="4"/>
      <c r="N28" s="4"/>
    </row>
    <row r="29" spans="1:14" customHeight="1" ht="40">
      <c r="A29" s="8" t="s">
        <v>3386</v>
      </c>
      <c r="B29" s="4" t="s">
        <v>3334</v>
      </c>
      <c r="C29" s="4" t="s">
        <v>3387</v>
      </c>
      <c r="D29" s="6" t="s">
        <v>322</v>
      </c>
      <c r="E29" s="4"/>
      <c r="F29" s="4"/>
      <c r="G29" s="6">
        <v>3</v>
      </c>
      <c r="H29" s="4" t="s">
        <v>3394</v>
      </c>
      <c r="I29" s="4" t="s">
        <v>3395</v>
      </c>
      <c r="J29" s="4"/>
      <c r="K29" s="6" t="s">
        <v>7</v>
      </c>
      <c r="L29" s="6"/>
      <c r="M29" s="4"/>
      <c r="N29" s="4"/>
    </row>
    <row r="30" spans="1:14" customHeight="1" ht="40">
      <c r="A30" s="8" t="s">
        <v>3386</v>
      </c>
      <c r="B30" s="4" t="s">
        <v>3334</v>
      </c>
      <c r="C30" s="4" t="s">
        <v>3387</v>
      </c>
      <c r="D30" s="6" t="s">
        <v>322</v>
      </c>
      <c r="E30" s="4"/>
      <c r="F30" s="4"/>
      <c r="G30" s="6">
        <v>4</v>
      </c>
      <c r="H30" s="4" t="s">
        <v>3396</v>
      </c>
      <c r="I30" s="4" t="s">
        <v>3397</v>
      </c>
      <c r="J30" s="4"/>
      <c r="K30" s="6" t="s">
        <v>7</v>
      </c>
      <c r="L30" s="6"/>
      <c r="M30" s="4"/>
      <c r="N30" s="4"/>
    </row>
    <row r="31" spans="1:14" customHeight="1" ht="30">
      <c r="A31" s="8" t="s">
        <v>3386</v>
      </c>
      <c r="B31" s="4" t="s">
        <v>3334</v>
      </c>
      <c r="C31" s="4" t="s">
        <v>3387</v>
      </c>
      <c r="D31" s="6" t="s">
        <v>322</v>
      </c>
      <c r="E31" s="4"/>
      <c r="F31" s="4"/>
      <c r="G31" s="6">
        <v>5</v>
      </c>
      <c r="H31" s="4" t="s">
        <v>3398</v>
      </c>
      <c r="I31" s="4" t="s">
        <v>3399</v>
      </c>
      <c r="J31" s="4"/>
      <c r="K31" s="6" t="s">
        <v>7</v>
      </c>
      <c r="L31" s="6"/>
      <c r="M31" s="4"/>
      <c r="N31" s="4"/>
    </row>
    <row r="32" spans="1:14" customHeight="1" ht="30">
      <c r="A32" s="8" t="s">
        <v>3386</v>
      </c>
      <c r="B32" s="4" t="s">
        <v>3334</v>
      </c>
      <c r="C32" s="4" t="s">
        <v>3387</v>
      </c>
      <c r="D32" s="6" t="s">
        <v>322</v>
      </c>
      <c r="E32" s="4"/>
      <c r="F32" s="4"/>
      <c r="G32" s="6">
        <v>6</v>
      </c>
      <c r="H32" s="4" t="s">
        <v>3400</v>
      </c>
      <c r="I32" s="4" t="s">
        <v>3401</v>
      </c>
      <c r="J32" s="4"/>
      <c r="K32" s="6" t="s">
        <v>7</v>
      </c>
      <c r="L32" s="6"/>
      <c r="M32" s="4"/>
      <c r="N32" s="4"/>
    </row>
    <row r="33" spans="1:14" customHeight="1" ht="30">
      <c r="A33" s="8" t="s">
        <v>3386</v>
      </c>
      <c r="B33" s="4" t="s">
        <v>3334</v>
      </c>
      <c r="C33" s="4" t="s">
        <v>3387</v>
      </c>
      <c r="D33" s="6" t="s">
        <v>322</v>
      </c>
      <c r="E33" s="4"/>
      <c r="F33" s="4"/>
      <c r="G33" s="6">
        <v>7</v>
      </c>
      <c r="H33" s="4" t="s">
        <v>3402</v>
      </c>
      <c r="I33" s="4" t="s">
        <v>3403</v>
      </c>
      <c r="J33" s="4"/>
      <c r="K33" s="6" t="s">
        <v>7</v>
      </c>
      <c r="L33" s="6"/>
      <c r="M33" s="4"/>
      <c r="N33" s="4"/>
    </row>
    <row r="34" spans="1:14" customHeight="1" ht="40">
      <c r="A34" s="8" t="s">
        <v>3386</v>
      </c>
      <c r="B34" s="4" t="s">
        <v>3334</v>
      </c>
      <c r="C34" s="4" t="s">
        <v>3387</v>
      </c>
      <c r="D34" s="6" t="s">
        <v>322</v>
      </c>
      <c r="E34" s="4"/>
      <c r="F34" s="4"/>
      <c r="G34" s="6">
        <v>8</v>
      </c>
      <c r="H34" s="4" t="s">
        <v>3404</v>
      </c>
      <c r="I34" s="4" t="s">
        <v>3405</v>
      </c>
      <c r="J34" s="4"/>
      <c r="K34" s="6" t="s">
        <v>7</v>
      </c>
      <c r="L34" s="6"/>
      <c r="M34" s="4"/>
      <c r="N34" s="4"/>
    </row>
    <row r="35" spans="1:14" customHeight="1" ht="66">
      <c r="A35" s="9" t="s">
        <v>3406</v>
      </c>
      <c r="B35" s="5" t="s">
        <v>3334</v>
      </c>
      <c r="C35" s="5" t="s">
        <v>3407</v>
      </c>
      <c r="D35" s="7" t="s">
        <v>322</v>
      </c>
      <c r="E35" s="5" t="s">
        <v>3408</v>
      </c>
      <c r="F35" s="5" t="s">
        <v>3409</v>
      </c>
      <c r="G35" s="7">
        <v>1</v>
      </c>
      <c r="H35" s="5" t="s">
        <v>3410</v>
      </c>
      <c r="I35" s="5" t="s">
        <v>3411</v>
      </c>
      <c r="J35" s="5"/>
      <c r="K35" s="7" t="s">
        <v>7</v>
      </c>
      <c r="L35" s="7"/>
      <c r="M35" s="5"/>
      <c r="N35" s="5"/>
    </row>
    <row r="36" spans="1:14" customHeight="1" ht="30">
      <c r="A36" s="9" t="s">
        <v>3406</v>
      </c>
      <c r="B36" s="5" t="s">
        <v>3334</v>
      </c>
      <c r="C36" s="5" t="s">
        <v>3407</v>
      </c>
      <c r="D36" s="7" t="s">
        <v>322</v>
      </c>
      <c r="E36" s="5"/>
      <c r="F36" s="5"/>
      <c r="G36" s="7">
        <v>2</v>
      </c>
      <c r="H36" s="5" t="s">
        <v>3157</v>
      </c>
      <c r="I36" s="5" t="s">
        <v>3412</v>
      </c>
      <c r="J36" s="5"/>
      <c r="K36" s="7" t="s">
        <v>7</v>
      </c>
      <c r="L36" s="7"/>
      <c r="M36" s="5"/>
      <c r="N36" s="5"/>
    </row>
    <row r="37" spans="1:14" customHeight="1" ht="53">
      <c r="A37" s="9" t="s">
        <v>3406</v>
      </c>
      <c r="B37" s="5" t="s">
        <v>3334</v>
      </c>
      <c r="C37" s="5" t="s">
        <v>3407</v>
      </c>
      <c r="D37" s="7" t="s">
        <v>322</v>
      </c>
      <c r="E37" s="5"/>
      <c r="F37" s="5"/>
      <c r="G37" s="7">
        <v>3</v>
      </c>
      <c r="H37" s="5" t="s">
        <v>3413</v>
      </c>
      <c r="I37" s="5" t="s">
        <v>3414</v>
      </c>
      <c r="J37" s="5"/>
      <c r="K37" s="7" t="s">
        <v>7</v>
      </c>
      <c r="L37" s="7"/>
      <c r="M37" s="5"/>
      <c r="N37" s="5"/>
    </row>
    <row r="38" spans="1:14" customHeight="1" ht="30">
      <c r="A38" s="9" t="s">
        <v>3406</v>
      </c>
      <c r="B38" s="5" t="s">
        <v>3334</v>
      </c>
      <c r="C38" s="5" t="s">
        <v>3407</v>
      </c>
      <c r="D38" s="7" t="s">
        <v>322</v>
      </c>
      <c r="E38" s="5"/>
      <c r="F38" s="5"/>
      <c r="G38" s="7">
        <v>4</v>
      </c>
      <c r="H38" s="5" t="s">
        <v>3415</v>
      </c>
      <c r="I38" s="5" t="s">
        <v>3416</v>
      </c>
      <c r="J38" s="5"/>
      <c r="K38" s="7" t="s">
        <v>7</v>
      </c>
      <c r="L38" s="7"/>
      <c r="M38" s="5"/>
      <c r="N38" s="5"/>
    </row>
    <row r="39" spans="1:14" customHeight="1" ht="30">
      <c r="A39" s="9" t="s">
        <v>3406</v>
      </c>
      <c r="B39" s="5" t="s">
        <v>3334</v>
      </c>
      <c r="C39" s="5" t="s">
        <v>3407</v>
      </c>
      <c r="D39" s="7" t="s">
        <v>322</v>
      </c>
      <c r="E39" s="5"/>
      <c r="F39" s="5"/>
      <c r="G39" s="7">
        <v>5</v>
      </c>
      <c r="H39" s="5" t="s">
        <v>3376</v>
      </c>
      <c r="I39" s="5" t="s">
        <v>3041</v>
      </c>
      <c r="J39" s="5"/>
      <c r="K39" s="7" t="s">
        <v>7</v>
      </c>
      <c r="L39" s="7"/>
      <c r="M39" s="5"/>
      <c r="N39" s="5"/>
    </row>
    <row r="40" spans="1:14" customHeight="1" ht="40">
      <c r="A40" s="9" t="s">
        <v>3406</v>
      </c>
      <c r="B40" s="5" t="s">
        <v>3334</v>
      </c>
      <c r="C40" s="5" t="s">
        <v>3407</v>
      </c>
      <c r="D40" s="7" t="s">
        <v>322</v>
      </c>
      <c r="E40" s="5"/>
      <c r="F40" s="5"/>
      <c r="G40" s="7">
        <v>6</v>
      </c>
      <c r="H40" s="5" t="s">
        <v>3417</v>
      </c>
      <c r="I40" s="5" t="s">
        <v>3418</v>
      </c>
      <c r="J40" s="5"/>
      <c r="K40" s="7" t="s">
        <v>7</v>
      </c>
      <c r="L40" s="7"/>
      <c r="M40" s="5"/>
      <c r="N40" s="5"/>
    </row>
    <row r="41" spans="1:14" customHeight="1" ht="40">
      <c r="A41" s="9" t="s">
        <v>3406</v>
      </c>
      <c r="B41" s="5" t="s">
        <v>3334</v>
      </c>
      <c r="C41" s="5" t="s">
        <v>3407</v>
      </c>
      <c r="D41" s="7" t="s">
        <v>322</v>
      </c>
      <c r="E41" s="5"/>
      <c r="F41" s="5"/>
      <c r="G41" s="7">
        <v>7</v>
      </c>
      <c r="H41" s="5" t="s">
        <v>3419</v>
      </c>
      <c r="I41" s="5" t="s">
        <v>3420</v>
      </c>
      <c r="J41" s="5"/>
      <c r="K41" s="7" t="s">
        <v>7</v>
      </c>
      <c r="L41" s="7"/>
      <c r="M41" s="5"/>
      <c r="N41" s="5"/>
    </row>
    <row r="42" spans="1:14" customHeight="1" ht="30">
      <c r="A42" s="9" t="s">
        <v>3406</v>
      </c>
      <c r="B42" s="5" t="s">
        <v>3334</v>
      </c>
      <c r="C42" s="5" t="s">
        <v>3407</v>
      </c>
      <c r="D42" s="7" t="s">
        <v>322</v>
      </c>
      <c r="E42" s="5"/>
      <c r="F42" s="5"/>
      <c r="G42" s="7">
        <v>8</v>
      </c>
      <c r="H42" s="5" t="s">
        <v>3421</v>
      </c>
      <c r="I42" s="5" t="s">
        <v>3422</v>
      </c>
      <c r="J42" s="5"/>
      <c r="K42" s="7" t="s">
        <v>7</v>
      </c>
      <c r="L42" s="7"/>
      <c r="M42" s="5"/>
      <c r="N42" s="5"/>
    </row>
    <row r="43" spans="1:14" customHeight="1" ht="30">
      <c r="A43" s="9" t="s">
        <v>3406</v>
      </c>
      <c r="B43" s="5" t="s">
        <v>3334</v>
      </c>
      <c r="C43" s="5" t="s">
        <v>3407</v>
      </c>
      <c r="D43" s="7" t="s">
        <v>322</v>
      </c>
      <c r="E43" s="5"/>
      <c r="F43" s="5"/>
      <c r="G43" s="7">
        <v>9</v>
      </c>
      <c r="H43" s="5" t="s">
        <v>3423</v>
      </c>
      <c r="I43" s="5" t="s">
        <v>3424</v>
      </c>
      <c r="J43" s="5"/>
      <c r="K43" s="7" t="s">
        <v>7</v>
      </c>
      <c r="L43" s="7"/>
      <c r="M43" s="5"/>
      <c r="N43" s="5"/>
    </row>
    <row r="44" spans="1:14" customHeight="1" ht="30">
      <c r="A44" s="9" t="s">
        <v>3406</v>
      </c>
      <c r="B44" s="5" t="s">
        <v>3334</v>
      </c>
      <c r="C44" s="5" t="s">
        <v>3407</v>
      </c>
      <c r="D44" s="7" t="s">
        <v>322</v>
      </c>
      <c r="E44" s="5"/>
      <c r="F44" s="5"/>
      <c r="G44" s="7">
        <v>10</v>
      </c>
      <c r="H44" s="5" t="s">
        <v>3425</v>
      </c>
      <c r="I44" s="5" t="s">
        <v>3426</v>
      </c>
      <c r="J44" s="5"/>
      <c r="K44" s="7" t="s">
        <v>7</v>
      </c>
      <c r="L44" s="7"/>
      <c r="M44" s="5"/>
      <c r="N44" s="5"/>
    </row>
    <row r="45" spans="1:14" customHeight="1" ht="40">
      <c r="A45" s="9" t="s">
        <v>3406</v>
      </c>
      <c r="B45" s="5" t="s">
        <v>3334</v>
      </c>
      <c r="C45" s="5" t="s">
        <v>3407</v>
      </c>
      <c r="D45" s="7" t="s">
        <v>322</v>
      </c>
      <c r="E45" s="5"/>
      <c r="F45" s="5"/>
      <c r="G45" s="7">
        <v>11</v>
      </c>
      <c r="H45" s="5" t="s">
        <v>3427</v>
      </c>
      <c r="I45" s="5" t="s">
        <v>3428</v>
      </c>
      <c r="J45" s="5"/>
      <c r="K45" s="7" t="s">
        <v>7</v>
      </c>
      <c r="L45" s="7"/>
      <c r="M45" s="5"/>
      <c r="N45" s="5"/>
    </row>
    <row r="46" spans="1:14" customHeight="1" ht="30">
      <c r="A46" s="8" t="s">
        <v>3429</v>
      </c>
      <c r="B46" s="4" t="s">
        <v>3334</v>
      </c>
      <c r="C46" s="4" t="s">
        <v>3430</v>
      </c>
      <c r="D46" s="6" t="s">
        <v>322</v>
      </c>
      <c r="E46" s="4" t="s">
        <v>3431</v>
      </c>
      <c r="F46" s="4" t="s">
        <v>3432</v>
      </c>
      <c r="G46" s="6">
        <v>1</v>
      </c>
      <c r="H46" s="4" t="s">
        <v>3433</v>
      </c>
      <c r="I46" s="4" t="s">
        <v>3434</v>
      </c>
      <c r="J46" s="4"/>
      <c r="K46" s="6" t="s">
        <v>7</v>
      </c>
      <c r="L46" s="6"/>
      <c r="M46" s="4"/>
      <c r="N46" s="4"/>
    </row>
    <row r="47" spans="1:14" customHeight="1" ht="53">
      <c r="A47" s="8" t="s">
        <v>3429</v>
      </c>
      <c r="B47" s="4" t="s">
        <v>3334</v>
      </c>
      <c r="C47" s="4" t="s">
        <v>3430</v>
      </c>
      <c r="D47" s="6" t="s">
        <v>322</v>
      </c>
      <c r="E47" s="4"/>
      <c r="F47" s="4"/>
      <c r="G47" s="6">
        <v>2</v>
      </c>
      <c r="H47" s="4" t="s">
        <v>3392</v>
      </c>
      <c r="I47" s="4" t="s">
        <v>3435</v>
      </c>
      <c r="J47" s="4"/>
      <c r="K47" s="6" t="s">
        <v>7</v>
      </c>
      <c r="L47" s="6"/>
      <c r="M47" s="4"/>
      <c r="N47" s="4"/>
    </row>
    <row r="48" spans="1:14" customHeight="1" ht="30">
      <c r="A48" s="8" t="s">
        <v>3429</v>
      </c>
      <c r="B48" s="4" t="s">
        <v>3334</v>
      </c>
      <c r="C48" s="4" t="s">
        <v>3430</v>
      </c>
      <c r="D48" s="6" t="s">
        <v>322</v>
      </c>
      <c r="E48" s="4"/>
      <c r="F48" s="4"/>
      <c r="G48" s="6">
        <v>3</v>
      </c>
      <c r="H48" s="4" t="s">
        <v>3157</v>
      </c>
      <c r="I48" s="4" t="s">
        <v>3436</v>
      </c>
      <c r="J48" s="4"/>
      <c r="K48" s="6" t="s">
        <v>7</v>
      </c>
      <c r="L48" s="6"/>
      <c r="M48" s="4"/>
      <c r="N48" s="4"/>
    </row>
    <row r="49" spans="1:14" customHeight="1" ht="40">
      <c r="A49" s="8" t="s">
        <v>3429</v>
      </c>
      <c r="B49" s="4" t="s">
        <v>3334</v>
      </c>
      <c r="C49" s="4" t="s">
        <v>3430</v>
      </c>
      <c r="D49" s="6" t="s">
        <v>322</v>
      </c>
      <c r="E49" s="4"/>
      <c r="F49" s="4"/>
      <c r="G49" s="6">
        <v>4</v>
      </c>
      <c r="H49" s="4" t="s">
        <v>3437</v>
      </c>
      <c r="I49" s="4" t="s">
        <v>3438</v>
      </c>
      <c r="J49" s="4"/>
      <c r="K49" s="6" t="s">
        <v>7</v>
      </c>
      <c r="L49" s="6"/>
      <c r="M49" s="4"/>
      <c r="N49" s="4"/>
    </row>
    <row r="50" spans="1:14" customHeight="1" ht="40">
      <c r="A50" s="8" t="s">
        <v>3429</v>
      </c>
      <c r="B50" s="4" t="s">
        <v>3334</v>
      </c>
      <c r="C50" s="4" t="s">
        <v>3430</v>
      </c>
      <c r="D50" s="6" t="s">
        <v>322</v>
      </c>
      <c r="E50" s="4"/>
      <c r="F50" s="4"/>
      <c r="G50" s="6">
        <v>5</v>
      </c>
      <c r="H50" s="4" t="s">
        <v>3439</v>
      </c>
      <c r="I50" s="4" t="s">
        <v>3440</v>
      </c>
      <c r="J50" s="4"/>
      <c r="K50" s="6" t="s">
        <v>7</v>
      </c>
      <c r="L50" s="6"/>
      <c r="M50" s="4"/>
      <c r="N50" s="4"/>
    </row>
    <row r="51" spans="1:14" customHeight="1" ht="40">
      <c r="A51" s="8" t="s">
        <v>3429</v>
      </c>
      <c r="B51" s="4" t="s">
        <v>3334</v>
      </c>
      <c r="C51" s="4" t="s">
        <v>3430</v>
      </c>
      <c r="D51" s="6" t="s">
        <v>322</v>
      </c>
      <c r="E51" s="4"/>
      <c r="F51" s="4"/>
      <c r="G51" s="6">
        <v>6</v>
      </c>
      <c r="H51" s="4" t="s">
        <v>3413</v>
      </c>
      <c r="I51" s="4" t="s">
        <v>3441</v>
      </c>
      <c r="J51" s="4"/>
      <c r="K51" s="6" t="s">
        <v>7</v>
      </c>
      <c r="L51" s="6"/>
      <c r="M51" s="4"/>
      <c r="N51" s="4"/>
    </row>
    <row r="52" spans="1:14" customHeight="1" ht="40">
      <c r="A52" s="8" t="s">
        <v>3429</v>
      </c>
      <c r="B52" s="4" t="s">
        <v>3334</v>
      </c>
      <c r="C52" s="4" t="s">
        <v>3430</v>
      </c>
      <c r="D52" s="6" t="s">
        <v>322</v>
      </c>
      <c r="E52" s="4"/>
      <c r="F52" s="4"/>
      <c r="G52" s="6">
        <v>7</v>
      </c>
      <c r="H52" s="4" t="s">
        <v>3419</v>
      </c>
      <c r="I52" s="4" t="s">
        <v>3442</v>
      </c>
      <c r="J52" s="4"/>
      <c r="K52" s="6" t="s">
        <v>7</v>
      </c>
      <c r="L52" s="6"/>
      <c r="M52" s="4"/>
      <c r="N52" s="4"/>
    </row>
    <row r="53" spans="1:14" customHeight="1" ht="40">
      <c r="A53" s="8" t="s">
        <v>3429</v>
      </c>
      <c r="B53" s="4" t="s">
        <v>3334</v>
      </c>
      <c r="C53" s="4" t="s">
        <v>3430</v>
      </c>
      <c r="D53" s="6" t="s">
        <v>322</v>
      </c>
      <c r="E53" s="4"/>
      <c r="F53" s="4"/>
      <c r="G53" s="6">
        <v>8</v>
      </c>
      <c r="H53" s="4" t="s">
        <v>3443</v>
      </c>
      <c r="I53" s="4" t="s">
        <v>3444</v>
      </c>
      <c r="J53" s="4"/>
      <c r="K53" s="6" t="s">
        <v>7</v>
      </c>
      <c r="L53" s="6"/>
      <c r="M53" s="4"/>
      <c r="N53" s="4"/>
    </row>
    <row r="54" spans="1:14" customHeight="1" ht="40">
      <c r="A54" s="9" t="s">
        <v>3445</v>
      </c>
      <c r="B54" s="5" t="s">
        <v>3334</v>
      </c>
      <c r="C54" s="5" t="s">
        <v>3446</v>
      </c>
      <c r="D54" s="7" t="s">
        <v>322</v>
      </c>
      <c r="E54" s="5" t="s">
        <v>3447</v>
      </c>
      <c r="F54" s="5" t="s">
        <v>3448</v>
      </c>
      <c r="G54" s="7">
        <v>1</v>
      </c>
      <c r="H54" s="5" t="s">
        <v>3449</v>
      </c>
      <c r="I54" s="5" t="s">
        <v>3450</v>
      </c>
      <c r="J54" s="5"/>
      <c r="K54" s="7" t="s">
        <v>7</v>
      </c>
      <c r="L54" s="7"/>
      <c r="M54" s="5"/>
      <c r="N54" s="5"/>
    </row>
    <row r="55" spans="1:14" customHeight="1" ht="53">
      <c r="A55" s="9" t="s">
        <v>3445</v>
      </c>
      <c r="B55" s="5" t="s">
        <v>3334</v>
      </c>
      <c r="C55" s="5" t="s">
        <v>3446</v>
      </c>
      <c r="D55" s="7" t="s">
        <v>322</v>
      </c>
      <c r="E55" s="5"/>
      <c r="F55" s="5"/>
      <c r="G55" s="7">
        <v>2</v>
      </c>
      <c r="H55" s="5" t="s">
        <v>3451</v>
      </c>
      <c r="I55" s="5" t="s">
        <v>3452</v>
      </c>
      <c r="J55" s="5"/>
      <c r="K55" s="7" t="s">
        <v>7</v>
      </c>
      <c r="L55" s="7"/>
      <c r="M55" s="5"/>
      <c r="N55" s="5"/>
    </row>
    <row r="56" spans="1:14" customHeight="1" ht="30">
      <c r="A56" s="9" t="s">
        <v>3445</v>
      </c>
      <c r="B56" s="5" t="s">
        <v>3334</v>
      </c>
      <c r="C56" s="5" t="s">
        <v>3446</v>
      </c>
      <c r="D56" s="7" t="s">
        <v>322</v>
      </c>
      <c r="E56" s="5"/>
      <c r="F56" s="5"/>
      <c r="G56" s="7">
        <v>3</v>
      </c>
      <c r="H56" s="5" t="s">
        <v>2836</v>
      </c>
      <c r="I56" s="5" t="s">
        <v>3381</v>
      </c>
      <c r="J56" s="5"/>
      <c r="K56" s="7" t="s">
        <v>7</v>
      </c>
      <c r="L56" s="7"/>
      <c r="M56" s="5"/>
      <c r="N56" s="5"/>
    </row>
    <row r="57" spans="1:14" customHeight="1" ht="40">
      <c r="A57" s="9" t="s">
        <v>3445</v>
      </c>
      <c r="B57" s="5" t="s">
        <v>3334</v>
      </c>
      <c r="C57" s="5" t="s">
        <v>3446</v>
      </c>
      <c r="D57" s="7" t="s">
        <v>322</v>
      </c>
      <c r="E57" s="5"/>
      <c r="F57" s="5"/>
      <c r="G57" s="7">
        <v>4</v>
      </c>
      <c r="H57" s="5" t="s">
        <v>3453</v>
      </c>
      <c r="I57" s="5" t="s">
        <v>3454</v>
      </c>
      <c r="J57" s="5"/>
      <c r="K57" s="7" t="s">
        <v>7</v>
      </c>
      <c r="L57" s="7"/>
      <c r="M57" s="5"/>
      <c r="N57" s="5"/>
    </row>
    <row r="58" spans="1:14" customHeight="1" ht="40">
      <c r="A58" s="9" t="s">
        <v>3445</v>
      </c>
      <c r="B58" s="5" t="s">
        <v>3334</v>
      </c>
      <c r="C58" s="5" t="s">
        <v>3446</v>
      </c>
      <c r="D58" s="7" t="s">
        <v>322</v>
      </c>
      <c r="E58" s="5"/>
      <c r="F58" s="5"/>
      <c r="G58" s="7">
        <v>5</v>
      </c>
      <c r="H58" s="5" t="s">
        <v>3113</v>
      </c>
      <c r="I58" s="5" t="s">
        <v>3455</v>
      </c>
      <c r="J58" s="5"/>
      <c r="K58" s="7" t="s">
        <v>7</v>
      </c>
      <c r="L58" s="7"/>
      <c r="M58" s="5"/>
      <c r="N58" s="5"/>
    </row>
    <row r="59" spans="1:14" customHeight="1" ht="40">
      <c r="A59" s="9" t="s">
        <v>3445</v>
      </c>
      <c r="B59" s="5" t="s">
        <v>3334</v>
      </c>
      <c r="C59" s="5" t="s">
        <v>3446</v>
      </c>
      <c r="D59" s="7" t="s">
        <v>322</v>
      </c>
      <c r="E59" s="5"/>
      <c r="F59" s="5"/>
      <c r="G59" s="7">
        <v>6</v>
      </c>
      <c r="H59" s="5" t="s">
        <v>3456</v>
      </c>
      <c r="I59" s="5" t="s">
        <v>3457</v>
      </c>
      <c r="J59" s="5"/>
      <c r="K59" s="7" t="s">
        <v>7</v>
      </c>
      <c r="L59" s="7"/>
      <c r="M59" s="5"/>
      <c r="N59" s="5"/>
    </row>
    <row r="60" spans="1:14" customHeight="1" ht="40">
      <c r="A60" s="9" t="s">
        <v>3445</v>
      </c>
      <c r="B60" s="5" t="s">
        <v>3334</v>
      </c>
      <c r="C60" s="5" t="s">
        <v>3446</v>
      </c>
      <c r="D60" s="7" t="s">
        <v>322</v>
      </c>
      <c r="E60" s="5"/>
      <c r="F60" s="5"/>
      <c r="G60" s="7">
        <v>7</v>
      </c>
      <c r="H60" s="5" t="s">
        <v>3458</v>
      </c>
      <c r="I60" s="5" t="s">
        <v>3459</v>
      </c>
      <c r="J60" s="5"/>
      <c r="K60" s="7" t="s">
        <v>7</v>
      </c>
      <c r="L60" s="7"/>
      <c r="M60" s="5"/>
      <c r="N60" s="5"/>
    </row>
    <row r="61" spans="1:14" customHeight="1" ht="30">
      <c r="A61" s="9" t="s">
        <v>3445</v>
      </c>
      <c r="B61" s="5" t="s">
        <v>3334</v>
      </c>
      <c r="C61" s="5" t="s">
        <v>3446</v>
      </c>
      <c r="D61" s="7" t="s">
        <v>322</v>
      </c>
      <c r="E61" s="5"/>
      <c r="F61" s="5"/>
      <c r="G61" s="7">
        <v>8</v>
      </c>
      <c r="H61" s="5" t="s">
        <v>3460</v>
      </c>
      <c r="I61" s="5" t="s">
        <v>3461</v>
      </c>
      <c r="J61" s="5"/>
      <c r="K61" s="7" t="s">
        <v>7</v>
      </c>
      <c r="L61" s="7"/>
      <c r="M61" s="5"/>
      <c r="N61" s="5"/>
    </row>
    <row r="62" spans="1:14" customHeight="1" ht="30">
      <c r="A62" s="9" t="s">
        <v>3445</v>
      </c>
      <c r="B62" s="5" t="s">
        <v>3334</v>
      </c>
      <c r="C62" s="5" t="s">
        <v>3446</v>
      </c>
      <c r="D62" s="7" t="s">
        <v>322</v>
      </c>
      <c r="E62" s="5"/>
      <c r="F62" s="5"/>
      <c r="G62" s="7">
        <v>9</v>
      </c>
      <c r="H62" s="5" t="s">
        <v>3462</v>
      </c>
      <c r="I62" s="5" t="s">
        <v>3463</v>
      </c>
      <c r="J62" s="5"/>
      <c r="K62" s="7" t="s">
        <v>7</v>
      </c>
      <c r="L62" s="7"/>
      <c r="M62" s="5"/>
      <c r="N62" s="5"/>
    </row>
    <row r="63" spans="1:14" customHeight="1" ht="40">
      <c r="A63" s="8" t="s">
        <v>3464</v>
      </c>
      <c r="B63" s="4" t="s">
        <v>3334</v>
      </c>
      <c r="C63" s="4" t="s">
        <v>3465</v>
      </c>
      <c r="D63" s="6" t="s">
        <v>322</v>
      </c>
      <c r="E63" s="4" t="s">
        <v>3466</v>
      </c>
      <c r="F63" s="4" t="s">
        <v>3467</v>
      </c>
      <c r="G63" s="6">
        <v>1</v>
      </c>
      <c r="H63" s="4" t="s">
        <v>3468</v>
      </c>
      <c r="I63" s="4" t="s">
        <v>3450</v>
      </c>
      <c r="J63" s="4"/>
      <c r="K63" s="6" t="s">
        <v>7</v>
      </c>
      <c r="L63" s="6"/>
      <c r="M63" s="4"/>
      <c r="N63" s="4"/>
    </row>
    <row r="64" spans="1:14" customHeight="1" ht="66">
      <c r="A64" s="8" t="s">
        <v>3464</v>
      </c>
      <c r="B64" s="4" t="s">
        <v>3334</v>
      </c>
      <c r="C64" s="4" t="s">
        <v>3465</v>
      </c>
      <c r="D64" s="6" t="s">
        <v>322</v>
      </c>
      <c r="E64" s="4"/>
      <c r="F64" s="4"/>
      <c r="G64" s="6">
        <v>2</v>
      </c>
      <c r="H64" s="4" t="s">
        <v>3451</v>
      </c>
      <c r="I64" s="4" t="s">
        <v>3469</v>
      </c>
      <c r="J64" s="4"/>
      <c r="K64" s="6" t="s">
        <v>7</v>
      </c>
      <c r="L64" s="6"/>
      <c r="M64" s="4"/>
      <c r="N64" s="4"/>
    </row>
    <row r="65" spans="1:14" customHeight="1" ht="30">
      <c r="A65" s="8" t="s">
        <v>3464</v>
      </c>
      <c r="B65" s="4" t="s">
        <v>3334</v>
      </c>
      <c r="C65" s="4" t="s">
        <v>3465</v>
      </c>
      <c r="D65" s="6" t="s">
        <v>322</v>
      </c>
      <c r="E65" s="4"/>
      <c r="F65" s="4"/>
      <c r="G65" s="6">
        <v>3</v>
      </c>
      <c r="H65" s="4" t="s">
        <v>2836</v>
      </c>
      <c r="I65" s="4" t="s">
        <v>3381</v>
      </c>
      <c r="J65" s="4"/>
      <c r="K65" s="6" t="s">
        <v>7</v>
      </c>
      <c r="L65" s="6"/>
      <c r="M65" s="4"/>
      <c r="N65" s="4"/>
    </row>
    <row r="66" spans="1:14" customHeight="1" ht="30">
      <c r="A66" s="8" t="s">
        <v>3464</v>
      </c>
      <c r="B66" s="4" t="s">
        <v>3334</v>
      </c>
      <c r="C66" s="4" t="s">
        <v>3465</v>
      </c>
      <c r="D66" s="6" t="s">
        <v>322</v>
      </c>
      <c r="E66" s="4"/>
      <c r="F66" s="4"/>
      <c r="G66" s="6">
        <v>4</v>
      </c>
      <c r="H66" s="4" t="s">
        <v>3453</v>
      </c>
      <c r="I66" s="4" t="s">
        <v>3470</v>
      </c>
      <c r="J66" s="4"/>
      <c r="K66" s="6" t="s">
        <v>7</v>
      </c>
      <c r="L66" s="6"/>
      <c r="M66" s="4"/>
      <c r="N66" s="4"/>
    </row>
    <row r="67" spans="1:14" customHeight="1" ht="40">
      <c r="A67" s="8" t="s">
        <v>3464</v>
      </c>
      <c r="B67" s="4" t="s">
        <v>3334</v>
      </c>
      <c r="C67" s="4" t="s">
        <v>3465</v>
      </c>
      <c r="D67" s="6" t="s">
        <v>322</v>
      </c>
      <c r="E67" s="4"/>
      <c r="F67" s="4"/>
      <c r="G67" s="6">
        <v>5</v>
      </c>
      <c r="H67" s="4" t="s">
        <v>3471</v>
      </c>
      <c r="I67" s="4" t="s">
        <v>3472</v>
      </c>
      <c r="J67" s="4"/>
      <c r="K67" s="6" t="s">
        <v>7</v>
      </c>
      <c r="L67" s="6"/>
      <c r="M67" s="4"/>
      <c r="N67" s="4"/>
    </row>
    <row r="68" spans="1:14" customHeight="1" ht="30">
      <c r="A68" s="8" t="s">
        <v>3464</v>
      </c>
      <c r="B68" s="4" t="s">
        <v>3334</v>
      </c>
      <c r="C68" s="4" t="s">
        <v>3465</v>
      </c>
      <c r="D68" s="6" t="s">
        <v>322</v>
      </c>
      <c r="E68" s="4"/>
      <c r="F68" s="4"/>
      <c r="G68" s="6">
        <v>6</v>
      </c>
      <c r="H68" s="4" t="s">
        <v>3460</v>
      </c>
      <c r="I68" s="4" t="s">
        <v>3473</v>
      </c>
      <c r="J68" s="4"/>
      <c r="K68" s="6" t="s">
        <v>7</v>
      </c>
      <c r="L68" s="6"/>
      <c r="M68" s="4"/>
      <c r="N68" s="4"/>
    </row>
    <row r="69" spans="1:14" customHeight="1" ht="40">
      <c r="A69" s="8" t="s">
        <v>3464</v>
      </c>
      <c r="B69" s="4" t="s">
        <v>3334</v>
      </c>
      <c r="C69" s="4" t="s">
        <v>3465</v>
      </c>
      <c r="D69" s="6" t="s">
        <v>322</v>
      </c>
      <c r="E69" s="4"/>
      <c r="F69" s="4"/>
      <c r="G69" s="6">
        <v>7</v>
      </c>
      <c r="H69" s="4" t="s">
        <v>3060</v>
      </c>
      <c r="I69" s="4" t="s">
        <v>3474</v>
      </c>
      <c r="J69" s="4"/>
      <c r="K69" s="6" t="s">
        <v>7</v>
      </c>
      <c r="L69" s="6"/>
      <c r="M69" s="4"/>
      <c r="N69" s="4"/>
    </row>
    <row r="70" spans="1:14" customHeight="1" ht="30">
      <c r="A70" s="8" t="s">
        <v>3464</v>
      </c>
      <c r="B70" s="4" t="s">
        <v>3334</v>
      </c>
      <c r="C70" s="4" t="s">
        <v>3465</v>
      </c>
      <c r="D70" s="6" t="s">
        <v>322</v>
      </c>
      <c r="E70" s="4"/>
      <c r="F70" s="4"/>
      <c r="G70" s="6">
        <v>8</v>
      </c>
      <c r="H70" s="4" t="s">
        <v>3475</v>
      </c>
      <c r="I70" s="4" t="s">
        <v>3476</v>
      </c>
      <c r="J70" s="4"/>
      <c r="K70" s="6" t="s">
        <v>7</v>
      </c>
      <c r="L70" s="6"/>
      <c r="M70" s="4"/>
      <c r="N70" s="4"/>
    </row>
    <row r="71" spans="1:14" customHeight="1" ht="40">
      <c r="A71" s="8" t="s">
        <v>3464</v>
      </c>
      <c r="B71" s="4" t="s">
        <v>3334</v>
      </c>
      <c r="C71" s="4" t="s">
        <v>3465</v>
      </c>
      <c r="D71" s="6" t="s">
        <v>322</v>
      </c>
      <c r="E71" s="4"/>
      <c r="F71" s="4"/>
      <c r="G71" s="6">
        <v>9</v>
      </c>
      <c r="H71" s="4" t="s">
        <v>3462</v>
      </c>
      <c r="I71" s="4" t="s">
        <v>3477</v>
      </c>
      <c r="J71" s="4"/>
      <c r="K71" s="6" t="s">
        <v>7</v>
      </c>
      <c r="L71" s="6"/>
      <c r="M71" s="4"/>
      <c r="N71" s="4"/>
    </row>
    <row r="72" spans="1:14" customHeight="1" ht="40">
      <c r="A72" s="9" t="s">
        <v>3478</v>
      </c>
      <c r="B72" s="5" t="s">
        <v>3334</v>
      </c>
      <c r="C72" s="5" t="s">
        <v>3479</v>
      </c>
      <c r="D72" s="7" t="s">
        <v>322</v>
      </c>
      <c r="E72" s="5" t="s">
        <v>3480</v>
      </c>
      <c r="F72" s="5" t="s">
        <v>3481</v>
      </c>
      <c r="G72" s="7">
        <v>1</v>
      </c>
      <c r="H72" s="5" t="s">
        <v>3482</v>
      </c>
      <c r="I72" s="5" t="s">
        <v>3450</v>
      </c>
      <c r="J72" s="5"/>
      <c r="K72" s="7" t="s">
        <v>7</v>
      </c>
      <c r="L72" s="7"/>
      <c r="M72" s="5"/>
      <c r="N72" s="5"/>
    </row>
    <row r="73" spans="1:14" customHeight="1" ht="66">
      <c r="A73" s="9" t="s">
        <v>3478</v>
      </c>
      <c r="B73" s="5" t="s">
        <v>3334</v>
      </c>
      <c r="C73" s="5" t="s">
        <v>3479</v>
      </c>
      <c r="D73" s="7" t="s">
        <v>322</v>
      </c>
      <c r="E73" s="5"/>
      <c r="F73" s="5"/>
      <c r="G73" s="7">
        <v>2</v>
      </c>
      <c r="H73" s="5" t="s">
        <v>3451</v>
      </c>
      <c r="I73" s="5" t="s">
        <v>3483</v>
      </c>
      <c r="J73" s="5"/>
      <c r="K73" s="7" t="s">
        <v>7</v>
      </c>
      <c r="L73" s="7"/>
      <c r="M73" s="5"/>
      <c r="N73" s="5"/>
    </row>
    <row r="74" spans="1:14" customHeight="1" ht="30">
      <c r="A74" s="9" t="s">
        <v>3478</v>
      </c>
      <c r="B74" s="5" t="s">
        <v>3334</v>
      </c>
      <c r="C74" s="5" t="s">
        <v>3479</v>
      </c>
      <c r="D74" s="7" t="s">
        <v>322</v>
      </c>
      <c r="E74" s="5"/>
      <c r="F74" s="5"/>
      <c r="G74" s="7">
        <v>3</v>
      </c>
      <c r="H74" s="5" t="s">
        <v>2836</v>
      </c>
      <c r="I74" s="5" t="s">
        <v>3381</v>
      </c>
      <c r="J74" s="5"/>
      <c r="K74" s="7" t="s">
        <v>7</v>
      </c>
      <c r="L74" s="7"/>
      <c r="M74" s="5"/>
      <c r="N74" s="5"/>
    </row>
    <row r="75" spans="1:14" customHeight="1" ht="30">
      <c r="A75" s="9" t="s">
        <v>3478</v>
      </c>
      <c r="B75" s="5" t="s">
        <v>3334</v>
      </c>
      <c r="C75" s="5" t="s">
        <v>3479</v>
      </c>
      <c r="D75" s="7" t="s">
        <v>322</v>
      </c>
      <c r="E75" s="5"/>
      <c r="F75" s="5"/>
      <c r="G75" s="7">
        <v>4</v>
      </c>
      <c r="H75" s="5" t="s">
        <v>3453</v>
      </c>
      <c r="I75" s="5" t="s">
        <v>3484</v>
      </c>
      <c r="J75" s="5"/>
      <c r="K75" s="7" t="s">
        <v>7</v>
      </c>
      <c r="L75" s="7"/>
      <c r="M75" s="5"/>
      <c r="N75" s="5"/>
    </row>
    <row r="76" spans="1:14" customHeight="1" ht="30">
      <c r="A76" s="9" t="s">
        <v>3478</v>
      </c>
      <c r="B76" s="5" t="s">
        <v>3334</v>
      </c>
      <c r="C76" s="5" t="s">
        <v>3479</v>
      </c>
      <c r="D76" s="7" t="s">
        <v>322</v>
      </c>
      <c r="E76" s="5"/>
      <c r="F76" s="5"/>
      <c r="G76" s="7">
        <v>5</v>
      </c>
      <c r="H76" s="5" t="s">
        <v>3040</v>
      </c>
      <c r="I76" s="5" t="s">
        <v>3041</v>
      </c>
      <c r="J76" s="5"/>
      <c r="K76" s="7" t="s">
        <v>7</v>
      </c>
      <c r="L76" s="7"/>
      <c r="M76" s="5"/>
      <c r="N76" s="5"/>
    </row>
    <row r="77" spans="1:14" customHeight="1" ht="40">
      <c r="A77" s="9" t="s">
        <v>3478</v>
      </c>
      <c r="B77" s="5" t="s">
        <v>3334</v>
      </c>
      <c r="C77" s="5" t="s">
        <v>3479</v>
      </c>
      <c r="D77" s="7" t="s">
        <v>322</v>
      </c>
      <c r="E77" s="5"/>
      <c r="F77" s="5"/>
      <c r="G77" s="7">
        <v>6</v>
      </c>
      <c r="H77" s="5" t="s">
        <v>3485</v>
      </c>
      <c r="I77" s="5" t="s">
        <v>3486</v>
      </c>
      <c r="J77" s="5"/>
      <c r="K77" s="7" t="s">
        <v>7</v>
      </c>
      <c r="L77" s="7"/>
      <c r="M77" s="5"/>
      <c r="N77" s="5"/>
    </row>
    <row r="78" spans="1:14" customHeight="1" ht="30">
      <c r="A78" s="9" t="s">
        <v>3478</v>
      </c>
      <c r="B78" s="5" t="s">
        <v>3334</v>
      </c>
      <c r="C78" s="5" t="s">
        <v>3479</v>
      </c>
      <c r="D78" s="7" t="s">
        <v>322</v>
      </c>
      <c r="E78" s="5"/>
      <c r="F78" s="5"/>
      <c r="G78" s="7">
        <v>7</v>
      </c>
      <c r="H78" s="5" t="s">
        <v>3462</v>
      </c>
      <c r="I78" s="5" t="s">
        <v>3487</v>
      </c>
      <c r="J78" s="5"/>
      <c r="K78" s="7" t="s">
        <v>7</v>
      </c>
      <c r="L78" s="7"/>
      <c r="M78" s="5"/>
      <c r="N78" s="5"/>
    </row>
    <row r="79" spans="1:14" customHeight="1" ht="40">
      <c r="A79" s="8" t="s">
        <v>3488</v>
      </c>
      <c r="B79" s="4" t="s">
        <v>3334</v>
      </c>
      <c r="C79" s="4" t="s">
        <v>3489</v>
      </c>
      <c r="D79" s="6" t="s">
        <v>322</v>
      </c>
      <c r="E79" s="4" t="s">
        <v>3490</v>
      </c>
      <c r="F79" s="4" t="s">
        <v>604</v>
      </c>
      <c r="G79" s="6">
        <v>1</v>
      </c>
      <c r="H79" s="4" t="s">
        <v>3491</v>
      </c>
      <c r="I79" s="4" t="s">
        <v>3492</v>
      </c>
      <c r="J79" s="4"/>
      <c r="K79" s="6" t="s">
        <v>7</v>
      </c>
      <c r="L79" s="6"/>
      <c r="M79" s="4"/>
      <c r="N79" s="4"/>
    </row>
    <row r="80" spans="1:14" customHeight="1" ht="53">
      <c r="A80" s="8" t="s">
        <v>3488</v>
      </c>
      <c r="B80" s="4" t="s">
        <v>3334</v>
      </c>
      <c r="C80" s="4" t="s">
        <v>3489</v>
      </c>
      <c r="D80" s="6" t="s">
        <v>322</v>
      </c>
      <c r="E80" s="4"/>
      <c r="F80" s="4"/>
      <c r="G80" s="6">
        <v>2</v>
      </c>
      <c r="H80" s="4" t="s">
        <v>3493</v>
      </c>
      <c r="I80" s="4" t="s">
        <v>3494</v>
      </c>
      <c r="J80" s="4"/>
      <c r="K80" s="6" t="s">
        <v>7</v>
      </c>
      <c r="L80" s="6"/>
      <c r="M80" s="4"/>
      <c r="N80" s="4"/>
    </row>
    <row r="81" spans="1:14" customHeight="1" ht="40">
      <c r="A81" s="8" t="s">
        <v>3488</v>
      </c>
      <c r="B81" s="4" t="s">
        <v>3334</v>
      </c>
      <c r="C81" s="4" t="s">
        <v>3489</v>
      </c>
      <c r="D81" s="6" t="s">
        <v>322</v>
      </c>
      <c r="E81" s="4"/>
      <c r="F81" s="4"/>
      <c r="G81" s="6">
        <v>3</v>
      </c>
      <c r="H81" s="4" t="s">
        <v>3495</v>
      </c>
      <c r="I81" s="4" t="s">
        <v>3496</v>
      </c>
      <c r="J81" s="4"/>
      <c r="K81" s="6" t="s">
        <v>7</v>
      </c>
      <c r="L81" s="6"/>
      <c r="M81" s="4"/>
      <c r="N81" s="4"/>
    </row>
    <row r="82" spans="1:14" customHeight="1" ht="40">
      <c r="A82" s="8" t="s">
        <v>3488</v>
      </c>
      <c r="B82" s="4" t="s">
        <v>3334</v>
      </c>
      <c r="C82" s="4" t="s">
        <v>3489</v>
      </c>
      <c r="D82" s="6" t="s">
        <v>322</v>
      </c>
      <c r="E82" s="4"/>
      <c r="F82" s="4"/>
      <c r="G82" s="6">
        <v>4</v>
      </c>
      <c r="H82" s="4" t="s">
        <v>3497</v>
      </c>
      <c r="I82" s="4" t="s">
        <v>3498</v>
      </c>
      <c r="J82" s="4"/>
      <c r="K82" s="6" t="s">
        <v>7</v>
      </c>
      <c r="L82" s="6"/>
      <c r="M82" s="4"/>
      <c r="N82" s="4"/>
    </row>
    <row r="83" spans="1:14" customHeight="1" ht="30">
      <c r="A83" s="8" t="s">
        <v>3488</v>
      </c>
      <c r="B83" s="4" t="s">
        <v>3334</v>
      </c>
      <c r="C83" s="4" t="s">
        <v>3489</v>
      </c>
      <c r="D83" s="6" t="s">
        <v>322</v>
      </c>
      <c r="E83" s="4"/>
      <c r="F83" s="4"/>
      <c r="G83" s="6">
        <v>5</v>
      </c>
      <c r="H83" s="4" t="s">
        <v>3499</v>
      </c>
      <c r="I83" s="4" t="s">
        <v>3500</v>
      </c>
      <c r="J83" s="4"/>
      <c r="K83" s="6" t="s">
        <v>7</v>
      </c>
      <c r="L83" s="6"/>
      <c r="M83" s="4"/>
      <c r="N83" s="4"/>
    </row>
    <row r="84" spans="1:14" customHeight="1" ht="40">
      <c r="A84" s="8" t="s">
        <v>3488</v>
      </c>
      <c r="B84" s="4" t="s">
        <v>3334</v>
      </c>
      <c r="C84" s="4" t="s">
        <v>3489</v>
      </c>
      <c r="D84" s="6" t="s">
        <v>322</v>
      </c>
      <c r="E84" s="4"/>
      <c r="F84" s="4"/>
      <c r="G84" s="6">
        <v>6</v>
      </c>
      <c r="H84" s="4" t="s">
        <v>3501</v>
      </c>
      <c r="I84" s="4" t="s">
        <v>3502</v>
      </c>
      <c r="J84" s="4"/>
      <c r="K84" s="6" t="s">
        <v>7</v>
      </c>
      <c r="L84" s="6"/>
      <c r="M84" s="4"/>
      <c r="N84" s="4"/>
    </row>
    <row r="85" spans="1:14" customHeight="1" ht="53">
      <c r="A85" s="8" t="s">
        <v>3488</v>
      </c>
      <c r="B85" s="4" t="s">
        <v>3334</v>
      </c>
      <c r="C85" s="4" t="s">
        <v>3489</v>
      </c>
      <c r="D85" s="6" t="s">
        <v>322</v>
      </c>
      <c r="E85" s="4"/>
      <c r="F85" s="4"/>
      <c r="G85" s="6">
        <v>7</v>
      </c>
      <c r="H85" s="4" t="s">
        <v>3503</v>
      </c>
      <c r="I85" s="4" t="s">
        <v>3504</v>
      </c>
      <c r="J85" s="4"/>
      <c r="K85" s="6" t="s">
        <v>7</v>
      </c>
      <c r="L85" s="6"/>
      <c r="M85" s="4"/>
      <c r="N85" s="4"/>
    </row>
    <row r="86" spans="1:14" customHeight="1" ht="40">
      <c r="A86" s="9" t="s">
        <v>3505</v>
      </c>
      <c r="B86" s="5" t="s">
        <v>3334</v>
      </c>
      <c r="C86" s="5" t="s">
        <v>3506</v>
      </c>
      <c r="D86" s="7" t="s">
        <v>441</v>
      </c>
      <c r="E86" s="5" t="s">
        <v>3507</v>
      </c>
      <c r="F86" s="5" t="s">
        <v>3508</v>
      </c>
      <c r="G86" s="7">
        <v>1</v>
      </c>
      <c r="H86" s="5" t="s">
        <v>3509</v>
      </c>
      <c r="I86" s="5" t="s">
        <v>3510</v>
      </c>
      <c r="J86" s="5"/>
      <c r="K86" s="7" t="s">
        <v>7</v>
      </c>
      <c r="L86" s="7"/>
      <c r="M86" s="5"/>
      <c r="N86" s="5"/>
    </row>
    <row r="87" spans="1:14" customHeight="1" ht="66">
      <c r="A87" s="9" t="s">
        <v>3505</v>
      </c>
      <c r="B87" s="5" t="s">
        <v>3334</v>
      </c>
      <c r="C87" s="5" t="s">
        <v>3506</v>
      </c>
      <c r="D87" s="7" t="s">
        <v>441</v>
      </c>
      <c r="E87" s="5"/>
      <c r="F87" s="5"/>
      <c r="G87" s="7">
        <v>2</v>
      </c>
      <c r="H87" s="5" t="s">
        <v>3511</v>
      </c>
      <c r="I87" s="5" t="s">
        <v>3512</v>
      </c>
      <c r="J87" s="5"/>
      <c r="K87" s="7" t="s">
        <v>7</v>
      </c>
      <c r="L87" s="7"/>
      <c r="M87" s="5"/>
      <c r="N87" s="5"/>
    </row>
    <row r="88" spans="1:14" customHeight="1" ht="30">
      <c r="A88" s="9" t="s">
        <v>3505</v>
      </c>
      <c r="B88" s="5" t="s">
        <v>3334</v>
      </c>
      <c r="C88" s="5" t="s">
        <v>3506</v>
      </c>
      <c r="D88" s="7" t="s">
        <v>441</v>
      </c>
      <c r="E88" s="5"/>
      <c r="F88" s="5"/>
      <c r="G88" s="7">
        <v>3</v>
      </c>
      <c r="H88" s="5" t="s">
        <v>541</v>
      </c>
      <c r="I88" s="5" t="s">
        <v>3513</v>
      </c>
      <c r="J88" s="5"/>
      <c r="K88" s="7" t="s">
        <v>7</v>
      </c>
      <c r="L88" s="7"/>
      <c r="M88" s="5"/>
      <c r="N88" s="5"/>
    </row>
    <row r="89" spans="1:14" customHeight="1" ht="30">
      <c r="A89" s="9" t="s">
        <v>3505</v>
      </c>
      <c r="B89" s="5" t="s">
        <v>3334</v>
      </c>
      <c r="C89" s="5" t="s">
        <v>3506</v>
      </c>
      <c r="D89" s="7" t="s">
        <v>441</v>
      </c>
      <c r="E89" s="5"/>
      <c r="F89" s="5"/>
      <c r="G89" s="7">
        <v>4</v>
      </c>
      <c r="H89" s="5" t="s">
        <v>3514</v>
      </c>
      <c r="I89" s="5" t="s">
        <v>3515</v>
      </c>
      <c r="J89" s="5"/>
      <c r="K89" s="7" t="s">
        <v>7</v>
      </c>
      <c r="L89" s="7"/>
      <c r="M89" s="5"/>
      <c r="N89" s="5"/>
    </row>
    <row r="90" spans="1:14" customHeight="1" ht="40">
      <c r="A90" s="9" t="s">
        <v>3505</v>
      </c>
      <c r="B90" s="5" t="s">
        <v>3334</v>
      </c>
      <c r="C90" s="5" t="s">
        <v>3506</v>
      </c>
      <c r="D90" s="7" t="s">
        <v>441</v>
      </c>
      <c r="E90" s="5"/>
      <c r="F90" s="5"/>
      <c r="G90" s="7">
        <v>5</v>
      </c>
      <c r="H90" s="5" t="s">
        <v>3516</v>
      </c>
      <c r="I90" s="5" t="s">
        <v>3517</v>
      </c>
      <c r="J90" s="5"/>
      <c r="K90" s="7" t="s">
        <v>7</v>
      </c>
      <c r="L90" s="7"/>
      <c r="M90" s="5"/>
      <c r="N90" s="5"/>
    </row>
    <row r="91" spans="1:14" customHeight="1" ht="40">
      <c r="A91" s="8" t="s">
        <v>3518</v>
      </c>
      <c r="B91" s="4" t="s">
        <v>3334</v>
      </c>
      <c r="C91" s="4" t="s">
        <v>3519</v>
      </c>
      <c r="D91" s="6" t="s">
        <v>441</v>
      </c>
      <c r="E91" s="4" t="s">
        <v>3520</v>
      </c>
      <c r="F91" s="4" t="s">
        <v>3521</v>
      </c>
      <c r="G91" s="6">
        <v>1</v>
      </c>
      <c r="H91" s="4" t="s">
        <v>3522</v>
      </c>
      <c r="I91" s="4" t="s">
        <v>3523</v>
      </c>
      <c r="J91" s="4"/>
      <c r="K91" s="6" t="s">
        <v>7</v>
      </c>
      <c r="L91" s="6"/>
      <c r="M91" s="4"/>
      <c r="N91" s="4"/>
    </row>
    <row r="92" spans="1:14" customHeight="1" ht="30">
      <c r="A92" s="8" t="s">
        <v>3518</v>
      </c>
      <c r="B92" s="4" t="s">
        <v>3334</v>
      </c>
      <c r="C92" s="4" t="s">
        <v>3519</v>
      </c>
      <c r="D92" s="6" t="s">
        <v>441</v>
      </c>
      <c r="E92" s="4"/>
      <c r="F92" s="4"/>
      <c r="G92" s="6">
        <v>2</v>
      </c>
      <c r="H92" s="4" t="s">
        <v>3524</v>
      </c>
      <c r="I92" s="4" t="s">
        <v>3525</v>
      </c>
      <c r="J92" s="4"/>
      <c r="K92" s="6" t="s">
        <v>7</v>
      </c>
      <c r="L92" s="6"/>
      <c r="M92" s="4"/>
      <c r="N92" s="4"/>
    </row>
    <row r="93" spans="1:14" customHeight="1" ht="30">
      <c r="A93" s="8" t="s">
        <v>3518</v>
      </c>
      <c r="B93" s="4" t="s">
        <v>3334</v>
      </c>
      <c r="C93" s="4" t="s">
        <v>3519</v>
      </c>
      <c r="D93" s="6" t="s">
        <v>441</v>
      </c>
      <c r="E93" s="4"/>
      <c r="F93" s="4"/>
      <c r="G93" s="6">
        <v>3</v>
      </c>
      <c r="H93" s="4" t="s">
        <v>3526</v>
      </c>
      <c r="I93" s="4" t="s">
        <v>3527</v>
      </c>
      <c r="J93" s="4"/>
      <c r="K93" s="6" t="s">
        <v>7</v>
      </c>
      <c r="L93" s="6"/>
      <c r="M93" s="4"/>
      <c r="N93" s="4"/>
    </row>
    <row r="94" spans="1:14" customHeight="1" ht="40">
      <c r="A94" s="8" t="s">
        <v>3518</v>
      </c>
      <c r="B94" s="4" t="s">
        <v>3334</v>
      </c>
      <c r="C94" s="4" t="s">
        <v>3519</v>
      </c>
      <c r="D94" s="6" t="s">
        <v>441</v>
      </c>
      <c r="E94" s="4"/>
      <c r="F94" s="4"/>
      <c r="G94" s="6">
        <v>4</v>
      </c>
      <c r="H94" s="4" t="s">
        <v>3528</v>
      </c>
      <c r="I94" s="4" t="s">
        <v>3529</v>
      </c>
      <c r="J94" s="4"/>
      <c r="K94" s="6" t="s">
        <v>7</v>
      </c>
      <c r="L94" s="6"/>
      <c r="M94" s="4"/>
      <c r="N94" s="4"/>
    </row>
    <row r="95" spans="1:14" customHeight="1" ht="40">
      <c r="A95" s="8" t="s">
        <v>3518</v>
      </c>
      <c r="B95" s="4" t="s">
        <v>3334</v>
      </c>
      <c r="C95" s="4" t="s">
        <v>3519</v>
      </c>
      <c r="D95" s="6" t="s">
        <v>441</v>
      </c>
      <c r="E95" s="4"/>
      <c r="F95" s="4"/>
      <c r="G95" s="6">
        <v>5</v>
      </c>
      <c r="H95" s="4" t="s">
        <v>3530</v>
      </c>
      <c r="I95" s="4" t="s">
        <v>3531</v>
      </c>
      <c r="J95" s="4"/>
      <c r="K95" s="6" t="s">
        <v>7</v>
      </c>
      <c r="L95" s="6"/>
      <c r="M95" s="4"/>
      <c r="N95" s="4"/>
    </row>
    <row r="96" spans="1:14" customHeight="1" ht="30">
      <c r="A96" s="8" t="s">
        <v>3518</v>
      </c>
      <c r="B96" s="4" t="s">
        <v>3334</v>
      </c>
      <c r="C96" s="4" t="s">
        <v>3519</v>
      </c>
      <c r="D96" s="6" t="s">
        <v>441</v>
      </c>
      <c r="E96" s="4"/>
      <c r="F96" s="4"/>
      <c r="G96" s="6">
        <v>6</v>
      </c>
      <c r="H96" s="4" t="s">
        <v>3532</v>
      </c>
      <c r="I96" s="4" t="s">
        <v>3533</v>
      </c>
      <c r="J96" s="4"/>
      <c r="K96" s="6" t="s">
        <v>7</v>
      </c>
      <c r="L96" s="6"/>
      <c r="M96" s="4"/>
      <c r="N96" s="4"/>
    </row>
    <row r="97" spans="1:14" customHeight="1" ht="30">
      <c r="A97" s="8" t="s">
        <v>3518</v>
      </c>
      <c r="B97" s="4" t="s">
        <v>3334</v>
      </c>
      <c r="C97" s="4" t="s">
        <v>3519</v>
      </c>
      <c r="D97" s="6" t="s">
        <v>441</v>
      </c>
      <c r="E97" s="4"/>
      <c r="F97" s="4"/>
      <c r="G97" s="6">
        <v>7</v>
      </c>
      <c r="H97" s="4" t="s">
        <v>3534</v>
      </c>
      <c r="I97" s="4" t="s">
        <v>3535</v>
      </c>
      <c r="J97" s="4"/>
      <c r="K97" s="6" t="s">
        <v>7</v>
      </c>
      <c r="L97" s="6"/>
      <c r="M97" s="4"/>
      <c r="N97" s="4"/>
    </row>
  </sheetData>
  <autoFilter ref="A3:N97"/>
  <mergeCells>
    <mergeCell ref="A1:N1"/>
    <mergeCell ref="A2:N2"/>
  </mergeCells>
  <conditionalFormatting sqref="K4:K97">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97">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97">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97">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97">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91"/>
  <sheetViews>
    <sheetView tabSelected="0" workbookViewId="0" showGridLines="true" showRowColHeaders="1">
      <pane xSplit="2" ySplit="3" topLeftCell="C4" activePane="bottomRight" state="frozen"/>
      <selection pane="topRight"/>
      <selection pane="bottomLeft"/>
      <selection pane="bottomRight" activeCell="L4" sqref="L4:L91"/>
    </sheetView>
  </sheetViews>
  <sheetFormatPr defaultRowHeight="14.4" outlineLevelRow="0" outlineLevelCol="0"/>
  <cols>
    <col min="1" max="1" width="14" customWidth="true" style="0"/>
    <col min="2" max="2" width="18" customWidth="true" style="0"/>
    <col min="3" max="3" width="38" customWidth="true" style="0"/>
    <col min="4" max="4" width="10" customWidth="true" style="0"/>
    <col min="5" max="5" width="34" customWidth="true" style="0"/>
    <col min="6" max="6" width="34" customWidth="true" style="0"/>
    <col min="7" max="7" width="8" customWidth="true" style="0"/>
    <col min="8" max="8" width="60" customWidth="true" style="0"/>
    <col min="9" max="9" width="60" customWidth="true" style="0"/>
    <col min="10" max="10" width="26" customWidth="true" style="0"/>
    <col min="11" max="11" width="14" customWidth="true" style="0"/>
    <col min="12" max="12" width="12" customWidth="true" style="0"/>
    <col min="13" max="13" width="10" customWidth="true" style="0"/>
    <col min="14" max="14" width="26" customWidth="true" style="0"/>
  </cols>
  <sheetData>
    <row r="1" spans="1:14" customHeight="1" ht="24">
      <c r="A1" s="1" t="s">
        <v>3536</v>
      </c>
    </row>
    <row r="2" spans="1:14" customHeight="1" ht="30">
      <c r="A2" s="2" t="s">
        <v>3537</v>
      </c>
    </row>
    <row r="3" spans="1:14" customHeight="1" ht="30">
      <c r="A3" s="3" t="s">
        <v>293</v>
      </c>
      <c r="B3" s="3" t="s">
        <v>294</v>
      </c>
      <c r="C3" s="3" t="s">
        <v>295</v>
      </c>
      <c r="D3" s="3" t="s">
        <v>296</v>
      </c>
      <c r="E3" s="3" t="s">
        <v>297</v>
      </c>
      <c r="F3" s="3" t="s">
        <v>298</v>
      </c>
      <c r="G3" s="3" t="s">
        <v>299</v>
      </c>
      <c r="H3" s="3" t="s">
        <v>300</v>
      </c>
      <c r="I3" s="3" t="s">
        <v>301</v>
      </c>
      <c r="J3" s="3" t="s">
        <v>302</v>
      </c>
      <c r="K3" s="3" t="s">
        <v>303</v>
      </c>
      <c r="L3" s="3" t="s">
        <v>304</v>
      </c>
      <c r="M3" s="3" t="s">
        <v>305</v>
      </c>
      <c r="N3" s="3" t="s">
        <v>306</v>
      </c>
    </row>
    <row r="4" spans="1:14" customHeight="1" ht="30">
      <c r="A4" s="8" t="s">
        <v>3538</v>
      </c>
      <c r="B4" s="4" t="s">
        <v>3536</v>
      </c>
      <c r="C4" s="4" t="s">
        <v>3539</v>
      </c>
      <c r="D4" s="6" t="s">
        <v>322</v>
      </c>
      <c r="E4" s="4" t="s">
        <v>3540</v>
      </c>
      <c r="F4" s="4" t="s">
        <v>3541</v>
      </c>
      <c r="G4" s="6">
        <v>1</v>
      </c>
      <c r="H4" s="4" t="s">
        <v>3542</v>
      </c>
      <c r="I4" s="4" t="s">
        <v>3543</v>
      </c>
      <c r="J4" s="4"/>
      <c r="K4" s="6" t="s">
        <v>7</v>
      </c>
      <c r="L4" s="6"/>
      <c r="M4" s="4"/>
      <c r="N4" s="4"/>
    </row>
    <row r="5" spans="1:14" customHeight="1" ht="30">
      <c r="A5" s="8" t="s">
        <v>3538</v>
      </c>
      <c r="B5" s="4" t="s">
        <v>3536</v>
      </c>
      <c r="C5" s="4" t="s">
        <v>3539</v>
      </c>
      <c r="D5" s="6" t="s">
        <v>322</v>
      </c>
      <c r="E5" s="4"/>
      <c r="F5" s="4"/>
      <c r="G5" s="6">
        <v>2</v>
      </c>
      <c r="H5" s="4" t="s">
        <v>3544</v>
      </c>
      <c r="I5" s="4" t="s">
        <v>988</v>
      </c>
      <c r="J5" s="4"/>
      <c r="K5" s="6" t="s">
        <v>7</v>
      </c>
      <c r="L5" s="6"/>
      <c r="M5" s="4"/>
      <c r="N5" s="4"/>
    </row>
    <row r="6" spans="1:14" customHeight="1" ht="40">
      <c r="A6" s="8" t="s">
        <v>3538</v>
      </c>
      <c r="B6" s="4" t="s">
        <v>3536</v>
      </c>
      <c r="C6" s="4" t="s">
        <v>3539</v>
      </c>
      <c r="D6" s="6" t="s">
        <v>322</v>
      </c>
      <c r="E6" s="4"/>
      <c r="F6" s="4"/>
      <c r="G6" s="6">
        <v>3</v>
      </c>
      <c r="H6" s="4" t="s">
        <v>1218</v>
      </c>
      <c r="I6" s="4" t="s">
        <v>3545</v>
      </c>
      <c r="J6" s="4"/>
      <c r="K6" s="6" t="s">
        <v>7</v>
      </c>
      <c r="L6" s="6"/>
      <c r="M6" s="4"/>
      <c r="N6" s="4"/>
    </row>
    <row r="7" spans="1:14" customHeight="1" ht="40">
      <c r="A7" s="8" t="s">
        <v>3538</v>
      </c>
      <c r="B7" s="4" t="s">
        <v>3536</v>
      </c>
      <c r="C7" s="4" t="s">
        <v>3539</v>
      </c>
      <c r="D7" s="6" t="s">
        <v>322</v>
      </c>
      <c r="E7" s="4"/>
      <c r="F7" s="4"/>
      <c r="G7" s="6">
        <v>4</v>
      </c>
      <c r="H7" s="4" t="s">
        <v>3546</v>
      </c>
      <c r="I7" s="4" t="s">
        <v>3547</v>
      </c>
      <c r="J7" s="4"/>
      <c r="K7" s="6" t="s">
        <v>7</v>
      </c>
      <c r="L7" s="6"/>
      <c r="M7" s="4"/>
      <c r="N7" s="4"/>
    </row>
    <row r="8" spans="1:14" customHeight="1" ht="40">
      <c r="A8" s="8" t="s">
        <v>3538</v>
      </c>
      <c r="B8" s="4" t="s">
        <v>3536</v>
      </c>
      <c r="C8" s="4" t="s">
        <v>3539</v>
      </c>
      <c r="D8" s="6" t="s">
        <v>322</v>
      </c>
      <c r="E8" s="4"/>
      <c r="F8" s="4"/>
      <c r="G8" s="6">
        <v>5</v>
      </c>
      <c r="H8" s="4" t="s">
        <v>3548</v>
      </c>
      <c r="I8" s="4" t="s">
        <v>3549</v>
      </c>
      <c r="J8" s="4"/>
      <c r="K8" s="6" t="s">
        <v>7</v>
      </c>
      <c r="L8" s="6"/>
      <c r="M8" s="4"/>
      <c r="N8" s="4"/>
    </row>
    <row r="9" spans="1:14" customHeight="1" ht="40">
      <c r="A9" s="8" t="s">
        <v>3538</v>
      </c>
      <c r="B9" s="4" t="s">
        <v>3536</v>
      </c>
      <c r="C9" s="4" t="s">
        <v>3539</v>
      </c>
      <c r="D9" s="6" t="s">
        <v>322</v>
      </c>
      <c r="E9" s="4"/>
      <c r="F9" s="4"/>
      <c r="G9" s="6">
        <v>6</v>
      </c>
      <c r="H9" s="4" t="s">
        <v>3550</v>
      </c>
      <c r="I9" s="4" t="s">
        <v>3551</v>
      </c>
      <c r="J9" s="4"/>
      <c r="K9" s="6" t="s">
        <v>7</v>
      </c>
      <c r="L9" s="6"/>
      <c r="M9" s="4"/>
      <c r="N9" s="4"/>
    </row>
    <row r="10" spans="1:14" customHeight="1" ht="30">
      <c r="A10" s="8" t="s">
        <v>3538</v>
      </c>
      <c r="B10" s="4" t="s">
        <v>3536</v>
      </c>
      <c r="C10" s="4" t="s">
        <v>3539</v>
      </c>
      <c r="D10" s="6" t="s">
        <v>322</v>
      </c>
      <c r="E10" s="4"/>
      <c r="F10" s="4"/>
      <c r="G10" s="6">
        <v>7</v>
      </c>
      <c r="H10" s="4" t="s">
        <v>3552</v>
      </c>
      <c r="I10" s="4" t="s">
        <v>3553</v>
      </c>
      <c r="J10" s="4"/>
      <c r="K10" s="6" t="s">
        <v>7</v>
      </c>
      <c r="L10" s="6"/>
      <c r="M10" s="4"/>
      <c r="N10" s="4"/>
    </row>
    <row r="11" spans="1:14" customHeight="1" ht="40">
      <c r="A11" s="8" t="s">
        <v>3538</v>
      </c>
      <c r="B11" s="4" t="s">
        <v>3536</v>
      </c>
      <c r="C11" s="4" t="s">
        <v>3539</v>
      </c>
      <c r="D11" s="6" t="s">
        <v>322</v>
      </c>
      <c r="E11" s="4"/>
      <c r="F11" s="4"/>
      <c r="G11" s="6">
        <v>8</v>
      </c>
      <c r="H11" s="4" t="s">
        <v>3554</v>
      </c>
      <c r="I11" s="4" t="s">
        <v>3555</v>
      </c>
      <c r="J11" s="4"/>
      <c r="K11" s="6" t="s">
        <v>7</v>
      </c>
      <c r="L11" s="6"/>
      <c r="M11" s="4"/>
      <c r="N11" s="4"/>
    </row>
    <row r="12" spans="1:14" customHeight="1" ht="53">
      <c r="A12" s="9" t="s">
        <v>3556</v>
      </c>
      <c r="B12" s="5" t="s">
        <v>3536</v>
      </c>
      <c r="C12" s="5" t="s">
        <v>3557</v>
      </c>
      <c r="D12" s="7" t="s">
        <v>309</v>
      </c>
      <c r="E12" s="5" t="s">
        <v>3558</v>
      </c>
      <c r="F12" s="5" t="s">
        <v>3559</v>
      </c>
      <c r="G12" s="7">
        <v>1</v>
      </c>
      <c r="H12" s="5" t="s">
        <v>3560</v>
      </c>
      <c r="I12" s="5" t="s">
        <v>3561</v>
      </c>
      <c r="J12" s="5"/>
      <c r="K12" s="7" t="s">
        <v>7</v>
      </c>
      <c r="L12" s="7"/>
      <c r="M12" s="5"/>
      <c r="N12" s="5"/>
    </row>
    <row r="13" spans="1:14" customHeight="1" ht="30">
      <c r="A13" s="9" t="s">
        <v>3556</v>
      </c>
      <c r="B13" s="5" t="s">
        <v>3536</v>
      </c>
      <c r="C13" s="5" t="s">
        <v>3557</v>
      </c>
      <c r="D13" s="7" t="s">
        <v>309</v>
      </c>
      <c r="E13" s="5"/>
      <c r="F13" s="5"/>
      <c r="G13" s="7">
        <v>2</v>
      </c>
      <c r="H13" s="5" t="s">
        <v>3562</v>
      </c>
      <c r="I13" s="5" t="s">
        <v>3563</v>
      </c>
      <c r="J13" s="5"/>
      <c r="K13" s="7" t="s">
        <v>7</v>
      </c>
      <c r="L13" s="7"/>
      <c r="M13" s="5"/>
      <c r="N13" s="5"/>
    </row>
    <row r="14" spans="1:14" customHeight="1" ht="30">
      <c r="A14" s="9" t="s">
        <v>3556</v>
      </c>
      <c r="B14" s="5" t="s">
        <v>3536</v>
      </c>
      <c r="C14" s="5" t="s">
        <v>3557</v>
      </c>
      <c r="D14" s="7" t="s">
        <v>309</v>
      </c>
      <c r="E14" s="5"/>
      <c r="F14" s="5"/>
      <c r="G14" s="7">
        <v>3</v>
      </c>
      <c r="H14" s="5" t="s">
        <v>3564</v>
      </c>
      <c r="I14" s="5" t="s">
        <v>3565</v>
      </c>
      <c r="J14" s="5"/>
      <c r="K14" s="7" t="s">
        <v>7</v>
      </c>
      <c r="L14" s="7"/>
      <c r="M14" s="5"/>
      <c r="N14" s="5"/>
    </row>
    <row r="15" spans="1:14" customHeight="1" ht="40">
      <c r="A15" s="8" t="s">
        <v>3566</v>
      </c>
      <c r="B15" s="4" t="s">
        <v>3536</v>
      </c>
      <c r="C15" s="4" t="s">
        <v>3567</v>
      </c>
      <c r="D15" s="6" t="s">
        <v>322</v>
      </c>
      <c r="E15" s="4" t="s">
        <v>3568</v>
      </c>
      <c r="F15" s="4" t="s">
        <v>3569</v>
      </c>
      <c r="G15" s="6">
        <v>1</v>
      </c>
      <c r="H15" s="4" t="s">
        <v>3570</v>
      </c>
      <c r="I15" s="4" t="s">
        <v>3571</v>
      </c>
      <c r="J15" s="4"/>
      <c r="K15" s="6" t="s">
        <v>7</v>
      </c>
      <c r="L15" s="6"/>
      <c r="M15" s="4"/>
      <c r="N15" s="4"/>
    </row>
    <row r="16" spans="1:14" customHeight="1" ht="30">
      <c r="A16" s="8" t="s">
        <v>3566</v>
      </c>
      <c r="B16" s="4" t="s">
        <v>3536</v>
      </c>
      <c r="C16" s="4" t="s">
        <v>3567</v>
      </c>
      <c r="D16" s="6" t="s">
        <v>322</v>
      </c>
      <c r="E16" s="4"/>
      <c r="F16" s="4"/>
      <c r="G16" s="6">
        <v>2</v>
      </c>
      <c r="H16" s="4" t="s">
        <v>3572</v>
      </c>
      <c r="I16" s="4" t="s">
        <v>1498</v>
      </c>
      <c r="J16" s="4"/>
      <c r="K16" s="6" t="s">
        <v>7</v>
      </c>
      <c r="L16" s="6"/>
      <c r="M16" s="4"/>
      <c r="N16" s="4"/>
    </row>
    <row r="17" spans="1:14" customHeight="1" ht="53">
      <c r="A17" s="8" t="s">
        <v>3566</v>
      </c>
      <c r="B17" s="4" t="s">
        <v>3536</v>
      </c>
      <c r="C17" s="4" t="s">
        <v>3567</v>
      </c>
      <c r="D17" s="6" t="s">
        <v>322</v>
      </c>
      <c r="E17" s="4"/>
      <c r="F17" s="4"/>
      <c r="G17" s="6">
        <v>3</v>
      </c>
      <c r="H17" s="4" t="s">
        <v>3573</v>
      </c>
      <c r="I17" s="4" t="s">
        <v>3574</v>
      </c>
      <c r="J17" s="4"/>
      <c r="K17" s="6" t="s">
        <v>7</v>
      </c>
      <c r="L17" s="6"/>
      <c r="M17" s="4"/>
      <c r="N17" s="4"/>
    </row>
    <row r="18" spans="1:14" customHeight="1" ht="40">
      <c r="A18" s="8" t="s">
        <v>3566</v>
      </c>
      <c r="B18" s="4" t="s">
        <v>3536</v>
      </c>
      <c r="C18" s="4" t="s">
        <v>3567</v>
      </c>
      <c r="D18" s="6" t="s">
        <v>322</v>
      </c>
      <c r="E18" s="4"/>
      <c r="F18" s="4"/>
      <c r="G18" s="6">
        <v>4</v>
      </c>
      <c r="H18" s="4" t="s">
        <v>3575</v>
      </c>
      <c r="I18" s="4" t="s">
        <v>3576</v>
      </c>
      <c r="J18" s="4"/>
      <c r="K18" s="6" t="s">
        <v>7</v>
      </c>
      <c r="L18" s="6"/>
      <c r="M18" s="4"/>
      <c r="N18" s="4"/>
    </row>
    <row r="19" spans="1:14" customHeight="1" ht="53">
      <c r="A19" s="8" t="s">
        <v>3566</v>
      </c>
      <c r="B19" s="4" t="s">
        <v>3536</v>
      </c>
      <c r="C19" s="4" t="s">
        <v>3567</v>
      </c>
      <c r="D19" s="6" t="s">
        <v>322</v>
      </c>
      <c r="E19" s="4"/>
      <c r="F19" s="4"/>
      <c r="G19" s="6">
        <v>5</v>
      </c>
      <c r="H19" s="4" t="s">
        <v>3577</v>
      </c>
      <c r="I19" s="4" t="s">
        <v>3578</v>
      </c>
      <c r="J19" s="4"/>
      <c r="K19" s="6" t="s">
        <v>7</v>
      </c>
      <c r="L19" s="6"/>
      <c r="M19" s="4"/>
      <c r="N19" s="4"/>
    </row>
    <row r="20" spans="1:14" customHeight="1" ht="40">
      <c r="A20" s="8" t="s">
        <v>3566</v>
      </c>
      <c r="B20" s="4" t="s">
        <v>3536</v>
      </c>
      <c r="C20" s="4" t="s">
        <v>3567</v>
      </c>
      <c r="D20" s="6" t="s">
        <v>322</v>
      </c>
      <c r="E20" s="4"/>
      <c r="F20" s="4"/>
      <c r="G20" s="6">
        <v>6</v>
      </c>
      <c r="H20" s="4" t="s">
        <v>3579</v>
      </c>
      <c r="I20" s="4" t="s">
        <v>3580</v>
      </c>
      <c r="J20" s="4"/>
      <c r="K20" s="6" t="s">
        <v>7</v>
      </c>
      <c r="L20" s="6"/>
      <c r="M20" s="4"/>
      <c r="N20" s="4"/>
    </row>
    <row r="21" spans="1:14" customHeight="1" ht="30">
      <c r="A21" s="9" t="s">
        <v>3581</v>
      </c>
      <c r="B21" s="5" t="s">
        <v>3536</v>
      </c>
      <c r="C21" s="5" t="s">
        <v>3582</v>
      </c>
      <c r="D21" s="7" t="s">
        <v>322</v>
      </c>
      <c r="E21" s="5" t="s">
        <v>3583</v>
      </c>
      <c r="F21" s="5" t="s">
        <v>3584</v>
      </c>
      <c r="G21" s="7">
        <v>1</v>
      </c>
      <c r="H21" s="5" t="s">
        <v>3585</v>
      </c>
      <c r="I21" s="5" t="s">
        <v>3571</v>
      </c>
      <c r="J21" s="5"/>
      <c r="K21" s="7" t="s">
        <v>7</v>
      </c>
      <c r="L21" s="7"/>
      <c r="M21" s="5"/>
      <c r="N21" s="5"/>
    </row>
    <row r="22" spans="1:14" customHeight="1" ht="30">
      <c r="A22" s="9" t="s">
        <v>3581</v>
      </c>
      <c r="B22" s="5" t="s">
        <v>3536</v>
      </c>
      <c r="C22" s="5" t="s">
        <v>3582</v>
      </c>
      <c r="D22" s="7" t="s">
        <v>322</v>
      </c>
      <c r="E22" s="5"/>
      <c r="F22" s="5"/>
      <c r="G22" s="7">
        <v>2</v>
      </c>
      <c r="H22" s="5" t="s">
        <v>3586</v>
      </c>
      <c r="I22" s="5" t="s">
        <v>3587</v>
      </c>
      <c r="J22" s="5"/>
      <c r="K22" s="7" t="s">
        <v>7</v>
      </c>
      <c r="L22" s="7"/>
      <c r="M22" s="5"/>
      <c r="N22" s="5"/>
    </row>
    <row r="23" spans="1:14" customHeight="1" ht="30">
      <c r="A23" s="9" t="s">
        <v>3581</v>
      </c>
      <c r="B23" s="5" t="s">
        <v>3536</v>
      </c>
      <c r="C23" s="5" t="s">
        <v>3582</v>
      </c>
      <c r="D23" s="7" t="s">
        <v>322</v>
      </c>
      <c r="E23" s="5"/>
      <c r="F23" s="5"/>
      <c r="G23" s="7">
        <v>3</v>
      </c>
      <c r="H23" s="5" t="s">
        <v>3588</v>
      </c>
      <c r="I23" s="5" t="s">
        <v>3589</v>
      </c>
      <c r="J23" s="5"/>
      <c r="K23" s="7" t="s">
        <v>7</v>
      </c>
      <c r="L23" s="7"/>
      <c r="M23" s="5"/>
      <c r="N23" s="5"/>
    </row>
    <row r="24" spans="1:14" customHeight="1" ht="30">
      <c r="A24" s="9" t="s">
        <v>3581</v>
      </c>
      <c r="B24" s="5" t="s">
        <v>3536</v>
      </c>
      <c r="C24" s="5" t="s">
        <v>3582</v>
      </c>
      <c r="D24" s="7" t="s">
        <v>322</v>
      </c>
      <c r="E24" s="5"/>
      <c r="F24" s="5"/>
      <c r="G24" s="7">
        <v>4</v>
      </c>
      <c r="H24" s="5" t="s">
        <v>3590</v>
      </c>
      <c r="I24" s="5" t="s">
        <v>1498</v>
      </c>
      <c r="J24" s="5"/>
      <c r="K24" s="7" t="s">
        <v>7</v>
      </c>
      <c r="L24" s="7"/>
      <c r="M24" s="5"/>
      <c r="N24" s="5"/>
    </row>
    <row r="25" spans="1:14" customHeight="1" ht="30">
      <c r="A25" s="9" t="s">
        <v>3581</v>
      </c>
      <c r="B25" s="5" t="s">
        <v>3536</v>
      </c>
      <c r="C25" s="5" t="s">
        <v>3582</v>
      </c>
      <c r="D25" s="7" t="s">
        <v>322</v>
      </c>
      <c r="E25" s="5"/>
      <c r="F25" s="5"/>
      <c r="G25" s="7">
        <v>5</v>
      </c>
      <c r="H25" s="5" t="s">
        <v>3591</v>
      </c>
      <c r="I25" s="5" t="s">
        <v>3592</v>
      </c>
      <c r="J25" s="5"/>
      <c r="K25" s="7" t="s">
        <v>7</v>
      </c>
      <c r="L25" s="7"/>
      <c r="M25" s="5"/>
      <c r="N25" s="5"/>
    </row>
    <row r="26" spans="1:14" customHeight="1" ht="30">
      <c r="A26" s="9" t="s">
        <v>3581</v>
      </c>
      <c r="B26" s="5" t="s">
        <v>3536</v>
      </c>
      <c r="C26" s="5" t="s">
        <v>3582</v>
      </c>
      <c r="D26" s="7" t="s">
        <v>322</v>
      </c>
      <c r="E26" s="5"/>
      <c r="F26" s="5"/>
      <c r="G26" s="7">
        <v>6</v>
      </c>
      <c r="H26" s="5" t="s">
        <v>3593</v>
      </c>
      <c r="I26" s="5" t="s">
        <v>3592</v>
      </c>
      <c r="J26" s="5"/>
      <c r="K26" s="7" t="s">
        <v>7</v>
      </c>
      <c r="L26" s="7"/>
      <c r="M26" s="5"/>
      <c r="N26" s="5"/>
    </row>
    <row r="27" spans="1:14" customHeight="1" ht="40">
      <c r="A27" s="9" t="s">
        <v>3581</v>
      </c>
      <c r="B27" s="5" t="s">
        <v>3536</v>
      </c>
      <c r="C27" s="5" t="s">
        <v>3582</v>
      </c>
      <c r="D27" s="7" t="s">
        <v>322</v>
      </c>
      <c r="E27" s="5"/>
      <c r="F27" s="5"/>
      <c r="G27" s="7">
        <v>7</v>
      </c>
      <c r="H27" s="5" t="s">
        <v>3594</v>
      </c>
      <c r="I27" s="5" t="s">
        <v>3595</v>
      </c>
      <c r="J27" s="5"/>
      <c r="K27" s="7" t="s">
        <v>7</v>
      </c>
      <c r="L27" s="7"/>
      <c r="M27" s="5"/>
      <c r="N27" s="5"/>
    </row>
    <row r="28" spans="1:14" customHeight="1" ht="40">
      <c r="A28" s="9" t="s">
        <v>3581</v>
      </c>
      <c r="B28" s="5" t="s">
        <v>3536</v>
      </c>
      <c r="C28" s="5" t="s">
        <v>3582</v>
      </c>
      <c r="D28" s="7" t="s">
        <v>322</v>
      </c>
      <c r="E28" s="5"/>
      <c r="F28" s="5"/>
      <c r="G28" s="7">
        <v>8</v>
      </c>
      <c r="H28" s="5" t="s">
        <v>3596</v>
      </c>
      <c r="I28" s="5" t="s">
        <v>3597</v>
      </c>
      <c r="J28" s="5"/>
      <c r="K28" s="7" t="s">
        <v>7</v>
      </c>
      <c r="L28" s="7"/>
      <c r="M28" s="5"/>
      <c r="N28" s="5"/>
    </row>
    <row r="29" spans="1:14" customHeight="1" ht="40">
      <c r="A29" s="8" t="s">
        <v>3598</v>
      </c>
      <c r="B29" s="4" t="s">
        <v>3536</v>
      </c>
      <c r="C29" s="4" t="s">
        <v>3599</v>
      </c>
      <c r="D29" s="6" t="s">
        <v>322</v>
      </c>
      <c r="E29" s="4" t="s">
        <v>3600</v>
      </c>
      <c r="F29" s="4" t="s">
        <v>3601</v>
      </c>
      <c r="G29" s="6">
        <v>1</v>
      </c>
      <c r="H29" s="4" t="s">
        <v>3602</v>
      </c>
      <c r="I29" s="4" t="s">
        <v>3603</v>
      </c>
      <c r="J29" s="4"/>
      <c r="K29" s="6" t="s">
        <v>7</v>
      </c>
      <c r="L29" s="6"/>
      <c r="M29" s="4"/>
      <c r="N29" s="4"/>
    </row>
    <row r="30" spans="1:14" customHeight="1" ht="40">
      <c r="A30" s="8" t="s">
        <v>3598</v>
      </c>
      <c r="B30" s="4" t="s">
        <v>3536</v>
      </c>
      <c r="C30" s="4" t="s">
        <v>3599</v>
      </c>
      <c r="D30" s="6" t="s">
        <v>322</v>
      </c>
      <c r="E30" s="4"/>
      <c r="F30" s="4"/>
      <c r="G30" s="6">
        <v>2</v>
      </c>
      <c r="H30" s="4" t="s">
        <v>3604</v>
      </c>
      <c r="I30" s="4" t="s">
        <v>3605</v>
      </c>
      <c r="J30" s="4"/>
      <c r="K30" s="6" t="s">
        <v>7</v>
      </c>
      <c r="L30" s="6"/>
      <c r="M30" s="4"/>
      <c r="N30" s="4"/>
    </row>
    <row r="31" spans="1:14" customHeight="1" ht="30">
      <c r="A31" s="8" t="s">
        <v>3598</v>
      </c>
      <c r="B31" s="4" t="s">
        <v>3536</v>
      </c>
      <c r="C31" s="4" t="s">
        <v>3599</v>
      </c>
      <c r="D31" s="6" t="s">
        <v>322</v>
      </c>
      <c r="E31" s="4"/>
      <c r="F31" s="4"/>
      <c r="G31" s="6">
        <v>3</v>
      </c>
      <c r="H31" s="4" t="s">
        <v>3590</v>
      </c>
      <c r="I31" s="4" t="s">
        <v>3606</v>
      </c>
      <c r="J31" s="4"/>
      <c r="K31" s="6" t="s">
        <v>7</v>
      </c>
      <c r="L31" s="6"/>
      <c r="M31" s="4"/>
      <c r="N31" s="4"/>
    </row>
    <row r="32" spans="1:14" customHeight="1" ht="79">
      <c r="A32" s="8" t="s">
        <v>3598</v>
      </c>
      <c r="B32" s="4" t="s">
        <v>3536</v>
      </c>
      <c r="C32" s="4" t="s">
        <v>3599</v>
      </c>
      <c r="D32" s="6" t="s">
        <v>322</v>
      </c>
      <c r="E32" s="4"/>
      <c r="F32" s="4"/>
      <c r="G32" s="6">
        <v>4</v>
      </c>
      <c r="H32" s="4" t="s">
        <v>3607</v>
      </c>
      <c r="I32" s="4" t="s">
        <v>3608</v>
      </c>
      <c r="J32" s="4"/>
      <c r="K32" s="6" t="s">
        <v>7</v>
      </c>
      <c r="L32" s="6"/>
      <c r="M32" s="4"/>
      <c r="N32" s="4"/>
    </row>
    <row r="33" spans="1:14" customHeight="1" ht="40">
      <c r="A33" s="8" t="s">
        <v>3598</v>
      </c>
      <c r="B33" s="4" t="s">
        <v>3536</v>
      </c>
      <c r="C33" s="4" t="s">
        <v>3599</v>
      </c>
      <c r="D33" s="6" t="s">
        <v>322</v>
      </c>
      <c r="E33" s="4"/>
      <c r="F33" s="4"/>
      <c r="G33" s="6">
        <v>5</v>
      </c>
      <c r="H33" s="4" t="s">
        <v>3609</v>
      </c>
      <c r="I33" s="4" t="s">
        <v>3610</v>
      </c>
      <c r="J33" s="4"/>
      <c r="K33" s="6" t="s">
        <v>7</v>
      </c>
      <c r="L33" s="6"/>
      <c r="M33" s="4"/>
      <c r="N33" s="4"/>
    </row>
    <row r="34" spans="1:14" customHeight="1" ht="53">
      <c r="A34" s="8" t="s">
        <v>3598</v>
      </c>
      <c r="B34" s="4" t="s">
        <v>3536</v>
      </c>
      <c r="C34" s="4" t="s">
        <v>3599</v>
      </c>
      <c r="D34" s="6" t="s">
        <v>322</v>
      </c>
      <c r="E34" s="4"/>
      <c r="F34" s="4"/>
      <c r="G34" s="6">
        <v>6</v>
      </c>
      <c r="H34" s="4" t="s">
        <v>3611</v>
      </c>
      <c r="I34" s="4" t="s">
        <v>3612</v>
      </c>
      <c r="J34" s="4"/>
      <c r="K34" s="6" t="s">
        <v>7</v>
      </c>
      <c r="L34" s="6"/>
      <c r="M34" s="4"/>
      <c r="N34" s="4"/>
    </row>
    <row r="35" spans="1:14" customHeight="1" ht="30">
      <c r="A35" s="8" t="s">
        <v>3598</v>
      </c>
      <c r="B35" s="4" t="s">
        <v>3536</v>
      </c>
      <c r="C35" s="4" t="s">
        <v>3599</v>
      </c>
      <c r="D35" s="6" t="s">
        <v>322</v>
      </c>
      <c r="E35" s="4"/>
      <c r="F35" s="4"/>
      <c r="G35" s="6">
        <v>7</v>
      </c>
      <c r="H35" s="4" t="s">
        <v>3613</v>
      </c>
      <c r="I35" s="4" t="s">
        <v>3614</v>
      </c>
      <c r="J35" s="4"/>
      <c r="K35" s="6" t="s">
        <v>7</v>
      </c>
      <c r="L35" s="6"/>
      <c r="M35" s="4"/>
      <c r="N35" s="4"/>
    </row>
    <row r="36" spans="1:14" customHeight="1" ht="40">
      <c r="A36" s="8" t="s">
        <v>3598</v>
      </c>
      <c r="B36" s="4" t="s">
        <v>3536</v>
      </c>
      <c r="C36" s="4" t="s">
        <v>3599</v>
      </c>
      <c r="D36" s="6" t="s">
        <v>322</v>
      </c>
      <c r="E36" s="4"/>
      <c r="F36" s="4"/>
      <c r="G36" s="6">
        <v>8</v>
      </c>
      <c r="H36" s="4" t="s">
        <v>3615</v>
      </c>
      <c r="I36" s="4" t="s">
        <v>3616</v>
      </c>
      <c r="J36" s="4"/>
      <c r="K36" s="6" t="s">
        <v>7</v>
      </c>
      <c r="L36" s="6"/>
      <c r="M36" s="4"/>
      <c r="N36" s="4"/>
    </row>
    <row r="37" spans="1:14" customHeight="1" ht="30">
      <c r="A37" s="8" t="s">
        <v>3598</v>
      </c>
      <c r="B37" s="4" t="s">
        <v>3536</v>
      </c>
      <c r="C37" s="4" t="s">
        <v>3599</v>
      </c>
      <c r="D37" s="6" t="s">
        <v>322</v>
      </c>
      <c r="E37" s="4"/>
      <c r="F37" s="4"/>
      <c r="G37" s="6">
        <v>9</v>
      </c>
      <c r="H37" s="4" t="s">
        <v>3617</v>
      </c>
      <c r="I37" s="4" t="s">
        <v>3618</v>
      </c>
      <c r="J37" s="4"/>
      <c r="K37" s="6" t="s">
        <v>7</v>
      </c>
      <c r="L37" s="6"/>
      <c r="M37" s="4"/>
      <c r="N37" s="4"/>
    </row>
    <row r="38" spans="1:14" customHeight="1" ht="30">
      <c r="A38" s="9" t="s">
        <v>3619</v>
      </c>
      <c r="B38" s="5" t="s">
        <v>3536</v>
      </c>
      <c r="C38" s="5" t="s">
        <v>3620</v>
      </c>
      <c r="D38" s="7" t="s">
        <v>309</v>
      </c>
      <c r="E38" s="5" t="s">
        <v>3621</v>
      </c>
      <c r="F38" s="5" t="s">
        <v>3622</v>
      </c>
      <c r="G38" s="7">
        <v>1</v>
      </c>
      <c r="H38" s="5" t="s">
        <v>3623</v>
      </c>
      <c r="I38" s="5" t="s">
        <v>3571</v>
      </c>
      <c r="J38" s="5"/>
      <c r="K38" s="7" t="s">
        <v>7</v>
      </c>
      <c r="L38" s="7"/>
      <c r="M38" s="5"/>
      <c r="N38" s="5"/>
    </row>
    <row r="39" spans="1:14" customHeight="1" ht="30">
      <c r="A39" s="9" t="s">
        <v>3619</v>
      </c>
      <c r="B39" s="5" t="s">
        <v>3536</v>
      </c>
      <c r="C39" s="5" t="s">
        <v>3620</v>
      </c>
      <c r="D39" s="7" t="s">
        <v>309</v>
      </c>
      <c r="E39" s="5"/>
      <c r="F39" s="5"/>
      <c r="G39" s="7">
        <v>2</v>
      </c>
      <c r="H39" s="5" t="s">
        <v>3624</v>
      </c>
      <c r="I39" s="5" t="s">
        <v>3625</v>
      </c>
      <c r="J39" s="5"/>
      <c r="K39" s="7" t="s">
        <v>7</v>
      </c>
      <c r="L39" s="7"/>
      <c r="M39" s="5"/>
      <c r="N39" s="5"/>
    </row>
    <row r="40" spans="1:14" customHeight="1" ht="30">
      <c r="A40" s="9" t="s">
        <v>3619</v>
      </c>
      <c r="B40" s="5" t="s">
        <v>3536</v>
      </c>
      <c r="C40" s="5" t="s">
        <v>3620</v>
      </c>
      <c r="D40" s="7" t="s">
        <v>309</v>
      </c>
      <c r="E40" s="5"/>
      <c r="F40" s="5"/>
      <c r="G40" s="7">
        <v>3</v>
      </c>
      <c r="H40" s="5" t="s">
        <v>3590</v>
      </c>
      <c r="I40" s="5" t="s">
        <v>3606</v>
      </c>
      <c r="J40" s="5"/>
      <c r="K40" s="7" t="s">
        <v>7</v>
      </c>
      <c r="L40" s="7"/>
      <c r="M40" s="5"/>
      <c r="N40" s="5"/>
    </row>
    <row r="41" spans="1:14" customHeight="1" ht="40">
      <c r="A41" s="9" t="s">
        <v>3619</v>
      </c>
      <c r="B41" s="5" t="s">
        <v>3536</v>
      </c>
      <c r="C41" s="5" t="s">
        <v>3620</v>
      </c>
      <c r="D41" s="7" t="s">
        <v>309</v>
      </c>
      <c r="E41" s="5"/>
      <c r="F41" s="5"/>
      <c r="G41" s="7">
        <v>4</v>
      </c>
      <c r="H41" s="5" t="s">
        <v>3626</v>
      </c>
      <c r="I41" s="5" t="s">
        <v>3627</v>
      </c>
      <c r="J41" s="5"/>
      <c r="K41" s="7" t="s">
        <v>7</v>
      </c>
      <c r="L41" s="7"/>
      <c r="M41" s="5"/>
      <c r="N41" s="5"/>
    </row>
    <row r="42" spans="1:14" customHeight="1" ht="30">
      <c r="A42" s="9" t="s">
        <v>3619</v>
      </c>
      <c r="B42" s="5" t="s">
        <v>3536</v>
      </c>
      <c r="C42" s="5" t="s">
        <v>3620</v>
      </c>
      <c r="D42" s="7" t="s">
        <v>309</v>
      </c>
      <c r="E42" s="5"/>
      <c r="F42" s="5"/>
      <c r="G42" s="7">
        <v>5</v>
      </c>
      <c r="H42" s="5" t="s">
        <v>3628</v>
      </c>
      <c r="I42" s="5" t="s">
        <v>3629</v>
      </c>
      <c r="J42" s="5"/>
      <c r="K42" s="7" t="s">
        <v>7</v>
      </c>
      <c r="L42" s="7"/>
      <c r="M42" s="5"/>
      <c r="N42" s="5"/>
    </row>
    <row r="43" spans="1:14" customHeight="1" ht="30">
      <c r="A43" s="8" t="s">
        <v>3630</v>
      </c>
      <c r="B43" s="4" t="s">
        <v>3536</v>
      </c>
      <c r="C43" s="4" t="s">
        <v>3631</v>
      </c>
      <c r="D43" s="6" t="s">
        <v>322</v>
      </c>
      <c r="E43" s="4" t="s">
        <v>3632</v>
      </c>
      <c r="F43" s="4" t="s">
        <v>3633</v>
      </c>
      <c r="G43" s="6">
        <v>1</v>
      </c>
      <c r="H43" s="4" t="s">
        <v>3634</v>
      </c>
      <c r="I43" s="4" t="s">
        <v>3635</v>
      </c>
      <c r="J43" s="4"/>
      <c r="K43" s="6" t="s">
        <v>7</v>
      </c>
      <c r="L43" s="6"/>
      <c r="M43" s="4"/>
      <c r="N43" s="4"/>
    </row>
    <row r="44" spans="1:14" customHeight="1" ht="30">
      <c r="A44" s="8" t="s">
        <v>3630</v>
      </c>
      <c r="B44" s="4" t="s">
        <v>3536</v>
      </c>
      <c r="C44" s="4" t="s">
        <v>3631</v>
      </c>
      <c r="D44" s="6" t="s">
        <v>322</v>
      </c>
      <c r="E44" s="4"/>
      <c r="F44" s="4"/>
      <c r="G44" s="6">
        <v>2</v>
      </c>
      <c r="H44" s="4" t="s">
        <v>3636</v>
      </c>
      <c r="I44" s="4" t="s">
        <v>3637</v>
      </c>
      <c r="J44" s="4"/>
      <c r="K44" s="6" t="s">
        <v>7</v>
      </c>
      <c r="L44" s="6"/>
      <c r="M44" s="4"/>
      <c r="N44" s="4"/>
    </row>
    <row r="45" spans="1:14" customHeight="1" ht="30">
      <c r="A45" s="8" t="s">
        <v>3630</v>
      </c>
      <c r="B45" s="4" t="s">
        <v>3536</v>
      </c>
      <c r="C45" s="4" t="s">
        <v>3631</v>
      </c>
      <c r="D45" s="6" t="s">
        <v>322</v>
      </c>
      <c r="E45" s="4"/>
      <c r="F45" s="4"/>
      <c r="G45" s="6">
        <v>3</v>
      </c>
      <c r="H45" s="4" t="s">
        <v>3638</v>
      </c>
      <c r="I45" s="4" t="s">
        <v>3637</v>
      </c>
      <c r="J45" s="4"/>
      <c r="K45" s="6" t="s">
        <v>7</v>
      </c>
      <c r="L45" s="6"/>
      <c r="M45" s="4"/>
      <c r="N45" s="4"/>
    </row>
    <row r="46" spans="1:14" customHeight="1" ht="30">
      <c r="A46" s="8" t="s">
        <v>3630</v>
      </c>
      <c r="B46" s="4" t="s">
        <v>3536</v>
      </c>
      <c r="C46" s="4" t="s">
        <v>3631</v>
      </c>
      <c r="D46" s="6" t="s">
        <v>322</v>
      </c>
      <c r="E46" s="4"/>
      <c r="F46" s="4"/>
      <c r="G46" s="6">
        <v>4</v>
      </c>
      <c r="H46" s="4" t="s">
        <v>3639</v>
      </c>
      <c r="I46" s="4" t="s">
        <v>3640</v>
      </c>
      <c r="J46" s="4"/>
      <c r="K46" s="6" t="s">
        <v>7</v>
      </c>
      <c r="L46" s="6"/>
      <c r="M46" s="4"/>
      <c r="N46" s="4"/>
    </row>
    <row r="47" spans="1:14" customHeight="1" ht="40">
      <c r="A47" s="8" t="s">
        <v>3630</v>
      </c>
      <c r="B47" s="4" t="s">
        <v>3536</v>
      </c>
      <c r="C47" s="4" t="s">
        <v>3631</v>
      </c>
      <c r="D47" s="6" t="s">
        <v>322</v>
      </c>
      <c r="E47" s="4"/>
      <c r="F47" s="4"/>
      <c r="G47" s="6">
        <v>5</v>
      </c>
      <c r="H47" s="4" t="s">
        <v>3641</v>
      </c>
      <c r="I47" s="4" t="s">
        <v>3637</v>
      </c>
      <c r="J47" s="4"/>
      <c r="K47" s="6" t="s">
        <v>7</v>
      </c>
      <c r="L47" s="6"/>
      <c r="M47" s="4"/>
      <c r="N47" s="4"/>
    </row>
    <row r="48" spans="1:14" customHeight="1" ht="30">
      <c r="A48" s="8" t="s">
        <v>3630</v>
      </c>
      <c r="B48" s="4" t="s">
        <v>3536</v>
      </c>
      <c r="C48" s="4" t="s">
        <v>3631</v>
      </c>
      <c r="D48" s="6" t="s">
        <v>322</v>
      </c>
      <c r="E48" s="4"/>
      <c r="F48" s="4"/>
      <c r="G48" s="6">
        <v>6</v>
      </c>
      <c r="H48" s="4" t="s">
        <v>3642</v>
      </c>
      <c r="I48" s="4" t="s">
        <v>3643</v>
      </c>
      <c r="J48" s="4"/>
      <c r="K48" s="6" t="s">
        <v>7</v>
      </c>
      <c r="L48" s="6"/>
      <c r="M48" s="4"/>
      <c r="N48" s="4"/>
    </row>
    <row r="49" spans="1:14" customHeight="1" ht="40">
      <c r="A49" s="9" t="s">
        <v>3644</v>
      </c>
      <c r="B49" s="5" t="s">
        <v>3536</v>
      </c>
      <c r="C49" s="5" t="s">
        <v>3645</v>
      </c>
      <c r="D49" s="7" t="s">
        <v>322</v>
      </c>
      <c r="E49" s="5" t="s">
        <v>3646</v>
      </c>
      <c r="F49" s="5" t="s">
        <v>3647</v>
      </c>
      <c r="G49" s="7">
        <v>1</v>
      </c>
      <c r="H49" s="5" t="s">
        <v>3648</v>
      </c>
      <c r="I49" s="5" t="s">
        <v>3649</v>
      </c>
      <c r="J49" s="5"/>
      <c r="K49" s="7" t="s">
        <v>7</v>
      </c>
      <c r="L49" s="7"/>
      <c r="M49" s="5"/>
      <c r="N49" s="5"/>
    </row>
    <row r="50" spans="1:14" customHeight="1" ht="30">
      <c r="A50" s="9" t="s">
        <v>3644</v>
      </c>
      <c r="B50" s="5" t="s">
        <v>3536</v>
      </c>
      <c r="C50" s="5" t="s">
        <v>3645</v>
      </c>
      <c r="D50" s="7" t="s">
        <v>322</v>
      </c>
      <c r="E50" s="5"/>
      <c r="F50" s="5"/>
      <c r="G50" s="7">
        <v>2</v>
      </c>
      <c r="H50" s="5" t="s">
        <v>3650</v>
      </c>
      <c r="I50" s="5" t="s">
        <v>3606</v>
      </c>
      <c r="J50" s="5"/>
      <c r="K50" s="7" t="s">
        <v>7</v>
      </c>
      <c r="L50" s="7"/>
      <c r="M50" s="5"/>
      <c r="N50" s="5"/>
    </row>
    <row r="51" spans="1:14" customHeight="1" ht="40">
      <c r="A51" s="9" t="s">
        <v>3644</v>
      </c>
      <c r="B51" s="5" t="s">
        <v>3536</v>
      </c>
      <c r="C51" s="5" t="s">
        <v>3645</v>
      </c>
      <c r="D51" s="7" t="s">
        <v>322</v>
      </c>
      <c r="E51" s="5"/>
      <c r="F51" s="5"/>
      <c r="G51" s="7">
        <v>3</v>
      </c>
      <c r="H51" s="5" t="s">
        <v>3651</v>
      </c>
      <c r="I51" s="5" t="s">
        <v>3652</v>
      </c>
      <c r="J51" s="5"/>
      <c r="K51" s="7" t="s">
        <v>7</v>
      </c>
      <c r="L51" s="7"/>
      <c r="M51" s="5"/>
      <c r="N51" s="5"/>
    </row>
    <row r="52" spans="1:14" customHeight="1" ht="30">
      <c r="A52" s="9" t="s">
        <v>3644</v>
      </c>
      <c r="B52" s="5" t="s">
        <v>3536</v>
      </c>
      <c r="C52" s="5" t="s">
        <v>3645</v>
      </c>
      <c r="D52" s="7" t="s">
        <v>322</v>
      </c>
      <c r="E52" s="5"/>
      <c r="F52" s="5"/>
      <c r="G52" s="7">
        <v>4</v>
      </c>
      <c r="H52" s="5" t="s">
        <v>3653</v>
      </c>
      <c r="I52" s="5" t="s">
        <v>3654</v>
      </c>
      <c r="J52" s="5"/>
      <c r="K52" s="7" t="s">
        <v>7</v>
      </c>
      <c r="L52" s="7"/>
      <c r="M52" s="5"/>
      <c r="N52" s="5"/>
    </row>
    <row r="53" spans="1:14" customHeight="1" ht="30">
      <c r="A53" s="9" t="s">
        <v>3644</v>
      </c>
      <c r="B53" s="5" t="s">
        <v>3536</v>
      </c>
      <c r="C53" s="5" t="s">
        <v>3645</v>
      </c>
      <c r="D53" s="7" t="s">
        <v>322</v>
      </c>
      <c r="E53" s="5"/>
      <c r="F53" s="5"/>
      <c r="G53" s="7">
        <v>5</v>
      </c>
      <c r="H53" s="5" t="s">
        <v>1939</v>
      </c>
      <c r="I53" s="5" t="s">
        <v>3655</v>
      </c>
      <c r="J53" s="5"/>
      <c r="K53" s="7" t="s">
        <v>7</v>
      </c>
      <c r="L53" s="7"/>
      <c r="M53" s="5"/>
      <c r="N53" s="5"/>
    </row>
    <row r="54" spans="1:14" customHeight="1" ht="40">
      <c r="A54" s="8" t="s">
        <v>3656</v>
      </c>
      <c r="B54" s="4" t="s">
        <v>3536</v>
      </c>
      <c r="C54" s="4" t="s">
        <v>3657</v>
      </c>
      <c r="D54" s="6" t="s">
        <v>322</v>
      </c>
      <c r="E54" s="4" t="s">
        <v>3658</v>
      </c>
      <c r="F54" s="4" t="s">
        <v>3659</v>
      </c>
      <c r="G54" s="6">
        <v>1</v>
      </c>
      <c r="H54" s="4" t="s">
        <v>3660</v>
      </c>
      <c r="I54" s="4" t="s">
        <v>3661</v>
      </c>
      <c r="J54" s="4"/>
      <c r="K54" s="6" t="s">
        <v>7</v>
      </c>
      <c r="L54" s="6"/>
      <c r="M54" s="4"/>
      <c r="N54" s="4"/>
    </row>
    <row r="55" spans="1:14" customHeight="1" ht="40">
      <c r="A55" s="8" t="s">
        <v>3656</v>
      </c>
      <c r="B55" s="4" t="s">
        <v>3536</v>
      </c>
      <c r="C55" s="4" t="s">
        <v>3657</v>
      </c>
      <c r="D55" s="6" t="s">
        <v>322</v>
      </c>
      <c r="E55" s="4"/>
      <c r="F55" s="4"/>
      <c r="G55" s="6">
        <v>2</v>
      </c>
      <c r="H55" s="4" t="s">
        <v>3662</v>
      </c>
      <c r="I55" s="4" t="s">
        <v>3663</v>
      </c>
      <c r="J55" s="4"/>
      <c r="K55" s="6" t="s">
        <v>7</v>
      </c>
      <c r="L55" s="6"/>
      <c r="M55" s="4"/>
      <c r="N55" s="4"/>
    </row>
    <row r="56" spans="1:14" customHeight="1" ht="30">
      <c r="A56" s="8" t="s">
        <v>3656</v>
      </c>
      <c r="B56" s="4" t="s">
        <v>3536</v>
      </c>
      <c r="C56" s="4" t="s">
        <v>3657</v>
      </c>
      <c r="D56" s="6" t="s">
        <v>322</v>
      </c>
      <c r="E56" s="4"/>
      <c r="F56" s="4"/>
      <c r="G56" s="6">
        <v>3</v>
      </c>
      <c r="H56" s="4" t="s">
        <v>3664</v>
      </c>
      <c r="I56" s="4" t="s">
        <v>3665</v>
      </c>
      <c r="J56" s="4"/>
      <c r="K56" s="6" t="s">
        <v>7</v>
      </c>
      <c r="L56" s="6"/>
      <c r="M56" s="4"/>
      <c r="N56" s="4"/>
    </row>
    <row r="57" spans="1:14" customHeight="1" ht="30">
      <c r="A57" s="8" t="s">
        <v>3656</v>
      </c>
      <c r="B57" s="4" t="s">
        <v>3536</v>
      </c>
      <c r="C57" s="4" t="s">
        <v>3657</v>
      </c>
      <c r="D57" s="6" t="s">
        <v>322</v>
      </c>
      <c r="E57" s="4"/>
      <c r="F57" s="4"/>
      <c r="G57" s="6">
        <v>4</v>
      </c>
      <c r="H57" s="4" t="s">
        <v>3666</v>
      </c>
      <c r="I57" s="4" t="s">
        <v>3667</v>
      </c>
      <c r="J57" s="4"/>
      <c r="K57" s="6" t="s">
        <v>7</v>
      </c>
      <c r="L57" s="6"/>
      <c r="M57" s="4"/>
      <c r="N57" s="4"/>
    </row>
    <row r="58" spans="1:14" customHeight="1" ht="40">
      <c r="A58" s="8" t="s">
        <v>3656</v>
      </c>
      <c r="B58" s="4" t="s">
        <v>3536</v>
      </c>
      <c r="C58" s="4" t="s">
        <v>3657</v>
      </c>
      <c r="D58" s="6" t="s">
        <v>322</v>
      </c>
      <c r="E58" s="4"/>
      <c r="F58" s="4"/>
      <c r="G58" s="6">
        <v>5</v>
      </c>
      <c r="H58" s="4" t="s">
        <v>3668</v>
      </c>
      <c r="I58" s="4" t="s">
        <v>3669</v>
      </c>
      <c r="J58" s="4"/>
      <c r="K58" s="6" t="s">
        <v>7</v>
      </c>
      <c r="L58" s="6"/>
      <c r="M58" s="4"/>
      <c r="N58" s="4"/>
    </row>
    <row r="59" spans="1:14" customHeight="1" ht="30">
      <c r="A59" s="8" t="s">
        <v>3656</v>
      </c>
      <c r="B59" s="4" t="s">
        <v>3536</v>
      </c>
      <c r="C59" s="4" t="s">
        <v>3657</v>
      </c>
      <c r="D59" s="6" t="s">
        <v>322</v>
      </c>
      <c r="E59" s="4"/>
      <c r="F59" s="4"/>
      <c r="G59" s="6">
        <v>6</v>
      </c>
      <c r="H59" s="4" t="s">
        <v>3670</v>
      </c>
      <c r="I59" s="4" t="s">
        <v>3671</v>
      </c>
      <c r="J59" s="4"/>
      <c r="K59" s="6" t="s">
        <v>7</v>
      </c>
      <c r="L59" s="6"/>
      <c r="M59" s="4"/>
      <c r="N59" s="4"/>
    </row>
    <row r="60" spans="1:14" customHeight="1" ht="40">
      <c r="A60" s="8" t="s">
        <v>3656</v>
      </c>
      <c r="B60" s="4" t="s">
        <v>3536</v>
      </c>
      <c r="C60" s="4" t="s">
        <v>3657</v>
      </c>
      <c r="D60" s="6" t="s">
        <v>322</v>
      </c>
      <c r="E60" s="4"/>
      <c r="F60" s="4"/>
      <c r="G60" s="6">
        <v>7</v>
      </c>
      <c r="H60" s="4" t="s">
        <v>3672</v>
      </c>
      <c r="I60" s="4" t="s">
        <v>3673</v>
      </c>
      <c r="J60" s="4"/>
      <c r="K60" s="6" t="s">
        <v>7</v>
      </c>
      <c r="L60" s="6"/>
      <c r="M60" s="4"/>
      <c r="N60" s="4"/>
    </row>
    <row r="61" spans="1:14" customHeight="1" ht="30">
      <c r="A61" s="9" t="s">
        <v>3674</v>
      </c>
      <c r="B61" s="5" t="s">
        <v>3536</v>
      </c>
      <c r="C61" s="5" t="s">
        <v>3675</v>
      </c>
      <c r="D61" s="7" t="s">
        <v>322</v>
      </c>
      <c r="E61" s="5" t="s">
        <v>3676</v>
      </c>
      <c r="F61" s="5" t="s">
        <v>3677</v>
      </c>
      <c r="G61" s="7">
        <v>1</v>
      </c>
      <c r="H61" s="5" t="s">
        <v>3678</v>
      </c>
      <c r="I61" s="5" t="s">
        <v>2172</v>
      </c>
      <c r="J61" s="5"/>
      <c r="K61" s="7" t="s">
        <v>7</v>
      </c>
      <c r="L61" s="7"/>
      <c r="M61" s="5"/>
      <c r="N61" s="5"/>
    </row>
    <row r="62" spans="1:14" customHeight="1" ht="30">
      <c r="A62" s="9" t="s">
        <v>3674</v>
      </c>
      <c r="B62" s="5" t="s">
        <v>3536</v>
      </c>
      <c r="C62" s="5" t="s">
        <v>3675</v>
      </c>
      <c r="D62" s="7" t="s">
        <v>322</v>
      </c>
      <c r="E62" s="5"/>
      <c r="F62" s="5"/>
      <c r="G62" s="7">
        <v>2</v>
      </c>
      <c r="H62" s="5" t="s">
        <v>3679</v>
      </c>
      <c r="I62" s="5" t="s">
        <v>350</v>
      </c>
      <c r="J62" s="5"/>
      <c r="K62" s="7" t="s">
        <v>7</v>
      </c>
      <c r="L62" s="7"/>
      <c r="M62" s="5"/>
      <c r="N62" s="5"/>
    </row>
    <row r="63" spans="1:14" customHeight="1" ht="40">
      <c r="A63" s="9" t="s">
        <v>3674</v>
      </c>
      <c r="B63" s="5" t="s">
        <v>3536</v>
      </c>
      <c r="C63" s="5" t="s">
        <v>3675</v>
      </c>
      <c r="D63" s="7" t="s">
        <v>322</v>
      </c>
      <c r="E63" s="5"/>
      <c r="F63" s="5"/>
      <c r="G63" s="7">
        <v>3</v>
      </c>
      <c r="H63" s="5" t="s">
        <v>3680</v>
      </c>
      <c r="I63" s="5" t="s">
        <v>3681</v>
      </c>
      <c r="J63" s="5"/>
      <c r="K63" s="7" t="s">
        <v>7</v>
      </c>
      <c r="L63" s="7"/>
      <c r="M63" s="5"/>
      <c r="N63" s="5"/>
    </row>
    <row r="64" spans="1:14" customHeight="1" ht="30">
      <c r="A64" s="9" t="s">
        <v>3674</v>
      </c>
      <c r="B64" s="5" t="s">
        <v>3536</v>
      </c>
      <c r="C64" s="5" t="s">
        <v>3675</v>
      </c>
      <c r="D64" s="7" t="s">
        <v>322</v>
      </c>
      <c r="E64" s="5"/>
      <c r="F64" s="5"/>
      <c r="G64" s="7">
        <v>4</v>
      </c>
      <c r="H64" s="5" t="s">
        <v>3682</v>
      </c>
      <c r="I64" s="5" t="s">
        <v>3683</v>
      </c>
      <c r="J64" s="5"/>
      <c r="K64" s="7" t="s">
        <v>7</v>
      </c>
      <c r="L64" s="7"/>
      <c r="M64" s="5"/>
      <c r="N64" s="5"/>
    </row>
    <row r="65" spans="1:14" customHeight="1" ht="40">
      <c r="A65" s="9" t="s">
        <v>3674</v>
      </c>
      <c r="B65" s="5" t="s">
        <v>3536</v>
      </c>
      <c r="C65" s="5" t="s">
        <v>3675</v>
      </c>
      <c r="D65" s="7" t="s">
        <v>322</v>
      </c>
      <c r="E65" s="5"/>
      <c r="F65" s="5"/>
      <c r="G65" s="7">
        <v>5</v>
      </c>
      <c r="H65" s="5" t="s">
        <v>3684</v>
      </c>
      <c r="I65" s="5" t="s">
        <v>3685</v>
      </c>
      <c r="J65" s="5"/>
      <c r="K65" s="7" t="s">
        <v>7</v>
      </c>
      <c r="L65" s="7"/>
      <c r="M65" s="5"/>
      <c r="N65" s="5"/>
    </row>
    <row r="66" spans="1:14" customHeight="1" ht="40">
      <c r="A66" s="9" t="s">
        <v>3674</v>
      </c>
      <c r="B66" s="5" t="s">
        <v>3536</v>
      </c>
      <c r="C66" s="5" t="s">
        <v>3675</v>
      </c>
      <c r="D66" s="7" t="s">
        <v>322</v>
      </c>
      <c r="E66" s="5"/>
      <c r="F66" s="5"/>
      <c r="G66" s="7">
        <v>6</v>
      </c>
      <c r="H66" s="5" t="s">
        <v>3686</v>
      </c>
      <c r="I66" s="5" t="s">
        <v>3687</v>
      </c>
      <c r="J66" s="5"/>
      <c r="K66" s="7" t="s">
        <v>7</v>
      </c>
      <c r="L66" s="7"/>
      <c r="M66" s="5"/>
      <c r="N66" s="5"/>
    </row>
    <row r="67" spans="1:14" customHeight="1" ht="40">
      <c r="A67" s="8" t="s">
        <v>3688</v>
      </c>
      <c r="B67" s="4" t="s">
        <v>3536</v>
      </c>
      <c r="C67" s="4" t="s">
        <v>3689</v>
      </c>
      <c r="D67" s="6" t="s">
        <v>322</v>
      </c>
      <c r="E67" s="4" t="s">
        <v>3690</v>
      </c>
      <c r="F67" s="4" t="s">
        <v>3691</v>
      </c>
      <c r="G67" s="6">
        <v>1</v>
      </c>
      <c r="H67" s="4" t="s">
        <v>3692</v>
      </c>
      <c r="I67" s="4" t="s">
        <v>3693</v>
      </c>
      <c r="J67" s="4"/>
      <c r="K67" s="6" t="s">
        <v>7</v>
      </c>
      <c r="L67" s="6"/>
      <c r="M67" s="4"/>
      <c r="N67" s="4"/>
    </row>
    <row r="68" spans="1:14" customHeight="1" ht="30">
      <c r="A68" s="8" t="s">
        <v>3688</v>
      </c>
      <c r="B68" s="4" t="s">
        <v>3536</v>
      </c>
      <c r="C68" s="4" t="s">
        <v>3689</v>
      </c>
      <c r="D68" s="6" t="s">
        <v>322</v>
      </c>
      <c r="E68" s="4"/>
      <c r="F68" s="4"/>
      <c r="G68" s="6">
        <v>2</v>
      </c>
      <c r="H68" s="4" t="s">
        <v>3694</v>
      </c>
      <c r="I68" s="4" t="s">
        <v>3695</v>
      </c>
      <c r="J68" s="4"/>
      <c r="K68" s="6" t="s">
        <v>7</v>
      </c>
      <c r="L68" s="6"/>
      <c r="M68" s="4"/>
      <c r="N68" s="4"/>
    </row>
    <row r="69" spans="1:14" customHeight="1" ht="30">
      <c r="A69" s="8" t="s">
        <v>3688</v>
      </c>
      <c r="B69" s="4" t="s">
        <v>3536</v>
      </c>
      <c r="C69" s="4" t="s">
        <v>3689</v>
      </c>
      <c r="D69" s="6" t="s">
        <v>322</v>
      </c>
      <c r="E69" s="4"/>
      <c r="F69" s="4"/>
      <c r="G69" s="6">
        <v>3</v>
      </c>
      <c r="H69" s="4" t="s">
        <v>3696</v>
      </c>
      <c r="I69" s="4" t="s">
        <v>3592</v>
      </c>
      <c r="J69" s="4"/>
      <c r="K69" s="6" t="s">
        <v>7</v>
      </c>
      <c r="L69" s="6"/>
      <c r="M69" s="4"/>
      <c r="N69" s="4"/>
    </row>
    <row r="70" spans="1:14" customHeight="1" ht="40">
      <c r="A70" s="8" t="s">
        <v>3688</v>
      </c>
      <c r="B70" s="4" t="s">
        <v>3536</v>
      </c>
      <c r="C70" s="4" t="s">
        <v>3689</v>
      </c>
      <c r="D70" s="6" t="s">
        <v>322</v>
      </c>
      <c r="E70" s="4"/>
      <c r="F70" s="4"/>
      <c r="G70" s="6">
        <v>4</v>
      </c>
      <c r="H70" s="4" t="s">
        <v>3697</v>
      </c>
      <c r="I70" s="4" t="s">
        <v>3698</v>
      </c>
      <c r="J70" s="4"/>
      <c r="K70" s="6" t="s">
        <v>7</v>
      </c>
      <c r="L70" s="6"/>
      <c r="M70" s="4"/>
      <c r="N70" s="4"/>
    </row>
    <row r="71" spans="1:14" customHeight="1" ht="30">
      <c r="A71" s="8" t="s">
        <v>3688</v>
      </c>
      <c r="B71" s="4" t="s">
        <v>3536</v>
      </c>
      <c r="C71" s="4" t="s">
        <v>3689</v>
      </c>
      <c r="D71" s="6" t="s">
        <v>322</v>
      </c>
      <c r="E71" s="4"/>
      <c r="F71" s="4"/>
      <c r="G71" s="6">
        <v>5</v>
      </c>
      <c r="H71" s="4" t="s">
        <v>3699</v>
      </c>
      <c r="I71" s="4" t="s">
        <v>1933</v>
      </c>
      <c r="J71" s="4"/>
      <c r="K71" s="6" t="s">
        <v>7</v>
      </c>
      <c r="L71" s="6"/>
      <c r="M71" s="4"/>
      <c r="N71" s="4"/>
    </row>
    <row r="72" spans="1:14" customHeight="1" ht="40">
      <c r="A72" s="8" t="s">
        <v>3688</v>
      </c>
      <c r="B72" s="4" t="s">
        <v>3536</v>
      </c>
      <c r="C72" s="4" t="s">
        <v>3689</v>
      </c>
      <c r="D72" s="6" t="s">
        <v>322</v>
      </c>
      <c r="E72" s="4"/>
      <c r="F72" s="4"/>
      <c r="G72" s="6">
        <v>6</v>
      </c>
      <c r="H72" s="4" t="s">
        <v>3700</v>
      </c>
      <c r="I72" s="4" t="s">
        <v>2072</v>
      </c>
      <c r="J72" s="4"/>
      <c r="K72" s="6" t="s">
        <v>7</v>
      </c>
      <c r="L72" s="6"/>
      <c r="M72" s="4"/>
      <c r="N72" s="4"/>
    </row>
    <row r="73" spans="1:14" customHeight="1" ht="30">
      <c r="A73" s="8" t="s">
        <v>3688</v>
      </c>
      <c r="B73" s="4" t="s">
        <v>3536</v>
      </c>
      <c r="C73" s="4" t="s">
        <v>3689</v>
      </c>
      <c r="D73" s="6" t="s">
        <v>322</v>
      </c>
      <c r="E73" s="4"/>
      <c r="F73" s="4"/>
      <c r="G73" s="6">
        <v>7</v>
      </c>
      <c r="H73" s="4" t="s">
        <v>3701</v>
      </c>
      <c r="I73" s="4" t="s">
        <v>3702</v>
      </c>
      <c r="J73" s="4"/>
      <c r="K73" s="6" t="s">
        <v>7</v>
      </c>
      <c r="L73" s="6"/>
      <c r="M73" s="4"/>
      <c r="N73" s="4"/>
    </row>
    <row r="74" spans="1:14" customHeight="1" ht="30">
      <c r="A74" s="8" t="s">
        <v>3688</v>
      </c>
      <c r="B74" s="4" t="s">
        <v>3536</v>
      </c>
      <c r="C74" s="4" t="s">
        <v>3689</v>
      </c>
      <c r="D74" s="6" t="s">
        <v>322</v>
      </c>
      <c r="E74" s="4"/>
      <c r="F74" s="4"/>
      <c r="G74" s="6">
        <v>8</v>
      </c>
      <c r="H74" s="4" t="s">
        <v>3703</v>
      </c>
      <c r="I74" s="4" t="s">
        <v>3704</v>
      </c>
      <c r="J74" s="4"/>
      <c r="K74" s="6" t="s">
        <v>7</v>
      </c>
      <c r="L74" s="6"/>
      <c r="M74" s="4"/>
      <c r="N74" s="4"/>
    </row>
    <row r="75" spans="1:14" customHeight="1" ht="30">
      <c r="A75" s="9" t="s">
        <v>3705</v>
      </c>
      <c r="B75" s="5" t="s">
        <v>3536</v>
      </c>
      <c r="C75" s="5" t="s">
        <v>3706</v>
      </c>
      <c r="D75" s="7" t="s">
        <v>441</v>
      </c>
      <c r="E75" s="5" t="s">
        <v>3558</v>
      </c>
      <c r="F75" s="5" t="s">
        <v>3707</v>
      </c>
      <c r="G75" s="7">
        <v>1</v>
      </c>
      <c r="H75" s="5" t="s">
        <v>3708</v>
      </c>
      <c r="I75" s="5" t="s">
        <v>3709</v>
      </c>
      <c r="J75" s="5"/>
      <c r="K75" s="7" t="s">
        <v>7</v>
      </c>
      <c r="L75" s="7"/>
      <c r="M75" s="5"/>
      <c r="N75" s="5"/>
    </row>
    <row r="76" spans="1:14" customHeight="1" ht="40">
      <c r="A76" s="9" t="s">
        <v>3705</v>
      </c>
      <c r="B76" s="5" t="s">
        <v>3536</v>
      </c>
      <c r="C76" s="5" t="s">
        <v>3706</v>
      </c>
      <c r="D76" s="7" t="s">
        <v>441</v>
      </c>
      <c r="E76" s="5"/>
      <c r="F76" s="5"/>
      <c r="G76" s="7">
        <v>2</v>
      </c>
      <c r="H76" s="5" t="s">
        <v>2679</v>
      </c>
      <c r="I76" s="5" t="s">
        <v>3710</v>
      </c>
      <c r="J76" s="5"/>
      <c r="K76" s="7" t="s">
        <v>7</v>
      </c>
      <c r="L76" s="7"/>
      <c r="M76" s="5"/>
      <c r="N76" s="5"/>
    </row>
    <row r="77" spans="1:14" customHeight="1" ht="53">
      <c r="A77" s="9" t="s">
        <v>3705</v>
      </c>
      <c r="B77" s="5" t="s">
        <v>3536</v>
      </c>
      <c r="C77" s="5" t="s">
        <v>3706</v>
      </c>
      <c r="D77" s="7" t="s">
        <v>441</v>
      </c>
      <c r="E77" s="5"/>
      <c r="F77" s="5"/>
      <c r="G77" s="7">
        <v>3</v>
      </c>
      <c r="H77" s="5" t="s">
        <v>3711</v>
      </c>
      <c r="I77" s="5" t="s">
        <v>3712</v>
      </c>
      <c r="J77" s="5"/>
      <c r="K77" s="7" t="s">
        <v>7</v>
      </c>
      <c r="L77" s="7"/>
      <c r="M77" s="5"/>
      <c r="N77" s="5"/>
    </row>
    <row r="78" spans="1:14" customHeight="1" ht="40">
      <c r="A78" s="9" t="s">
        <v>3705</v>
      </c>
      <c r="B78" s="5" t="s">
        <v>3536</v>
      </c>
      <c r="C78" s="5" t="s">
        <v>3706</v>
      </c>
      <c r="D78" s="7" t="s">
        <v>441</v>
      </c>
      <c r="E78" s="5"/>
      <c r="F78" s="5"/>
      <c r="G78" s="7">
        <v>4</v>
      </c>
      <c r="H78" s="5" t="s">
        <v>3713</v>
      </c>
      <c r="I78" s="5" t="s">
        <v>3714</v>
      </c>
      <c r="J78" s="5"/>
      <c r="K78" s="7" t="s">
        <v>7</v>
      </c>
      <c r="L78" s="7"/>
      <c r="M78" s="5"/>
      <c r="N78" s="5"/>
    </row>
    <row r="79" spans="1:14" customHeight="1" ht="40">
      <c r="A79" s="8" t="s">
        <v>3715</v>
      </c>
      <c r="B79" s="4" t="s">
        <v>3536</v>
      </c>
      <c r="C79" s="4" t="s">
        <v>3716</v>
      </c>
      <c r="D79" s="6" t="s">
        <v>322</v>
      </c>
      <c r="E79" s="4" t="s">
        <v>3717</v>
      </c>
      <c r="F79" s="4" t="s">
        <v>3718</v>
      </c>
      <c r="G79" s="6">
        <v>1</v>
      </c>
      <c r="H79" s="4" t="s">
        <v>3719</v>
      </c>
      <c r="I79" s="4" t="s">
        <v>2172</v>
      </c>
      <c r="J79" s="4"/>
      <c r="K79" s="6" t="s">
        <v>7</v>
      </c>
      <c r="L79" s="6"/>
      <c r="M79" s="4"/>
      <c r="N79" s="4"/>
    </row>
    <row r="80" spans="1:14" customHeight="1" ht="30">
      <c r="A80" s="8" t="s">
        <v>3715</v>
      </c>
      <c r="B80" s="4" t="s">
        <v>3536</v>
      </c>
      <c r="C80" s="4" t="s">
        <v>3716</v>
      </c>
      <c r="D80" s="6" t="s">
        <v>322</v>
      </c>
      <c r="E80" s="4"/>
      <c r="F80" s="4"/>
      <c r="G80" s="6">
        <v>2</v>
      </c>
      <c r="H80" s="4" t="s">
        <v>3720</v>
      </c>
      <c r="I80" s="4" t="s">
        <v>2172</v>
      </c>
      <c r="J80" s="4"/>
      <c r="K80" s="6" t="s">
        <v>7</v>
      </c>
      <c r="L80" s="6"/>
      <c r="M80" s="4"/>
      <c r="N80" s="4"/>
    </row>
    <row r="81" spans="1:14" customHeight="1" ht="30">
      <c r="A81" s="8" t="s">
        <v>3715</v>
      </c>
      <c r="B81" s="4" t="s">
        <v>3536</v>
      </c>
      <c r="C81" s="4" t="s">
        <v>3716</v>
      </c>
      <c r="D81" s="6" t="s">
        <v>322</v>
      </c>
      <c r="E81" s="4"/>
      <c r="F81" s="4"/>
      <c r="G81" s="6">
        <v>3</v>
      </c>
      <c r="H81" s="4" t="s">
        <v>3721</v>
      </c>
      <c r="I81" s="4" t="s">
        <v>2172</v>
      </c>
      <c r="J81" s="4"/>
      <c r="K81" s="6" t="s">
        <v>7</v>
      </c>
      <c r="L81" s="6"/>
      <c r="M81" s="4"/>
      <c r="N81" s="4"/>
    </row>
    <row r="82" spans="1:14" customHeight="1" ht="40">
      <c r="A82" s="8" t="s">
        <v>3715</v>
      </c>
      <c r="B82" s="4" t="s">
        <v>3536</v>
      </c>
      <c r="C82" s="4" t="s">
        <v>3716</v>
      </c>
      <c r="D82" s="6" t="s">
        <v>322</v>
      </c>
      <c r="E82" s="4"/>
      <c r="F82" s="4"/>
      <c r="G82" s="6">
        <v>4</v>
      </c>
      <c r="H82" s="4" t="s">
        <v>3722</v>
      </c>
      <c r="I82" s="4" t="s">
        <v>3723</v>
      </c>
      <c r="J82" s="4"/>
      <c r="K82" s="6" t="s">
        <v>7</v>
      </c>
      <c r="L82" s="6"/>
      <c r="M82" s="4"/>
      <c r="N82" s="4"/>
    </row>
    <row r="83" spans="1:14" customHeight="1" ht="40">
      <c r="A83" s="8" t="s">
        <v>3715</v>
      </c>
      <c r="B83" s="4" t="s">
        <v>3536</v>
      </c>
      <c r="C83" s="4" t="s">
        <v>3716</v>
      </c>
      <c r="D83" s="6" t="s">
        <v>322</v>
      </c>
      <c r="E83" s="4"/>
      <c r="F83" s="4"/>
      <c r="G83" s="6">
        <v>5</v>
      </c>
      <c r="H83" s="4" t="s">
        <v>3724</v>
      </c>
      <c r="I83" s="4" t="s">
        <v>3725</v>
      </c>
      <c r="J83" s="4"/>
      <c r="K83" s="6" t="s">
        <v>7</v>
      </c>
      <c r="L83" s="6"/>
      <c r="M83" s="4"/>
      <c r="N83" s="4"/>
    </row>
    <row r="84" spans="1:14" customHeight="1" ht="30">
      <c r="A84" s="8" t="s">
        <v>3715</v>
      </c>
      <c r="B84" s="4" t="s">
        <v>3536</v>
      </c>
      <c r="C84" s="4" t="s">
        <v>3716</v>
      </c>
      <c r="D84" s="6" t="s">
        <v>322</v>
      </c>
      <c r="E84" s="4"/>
      <c r="F84" s="4"/>
      <c r="G84" s="6">
        <v>6</v>
      </c>
      <c r="H84" s="4" t="s">
        <v>3726</v>
      </c>
      <c r="I84" s="4" t="s">
        <v>3727</v>
      </c>
      <c r="J84" s="4"/>
      <c r="K84" s="6" t="s">
        <v>7</v>
      </c>
      <c r="L84" s="6"/>
      <c r="M84" s="4"/>
      <c r="N84" s="4"/>
    </row>
    <row r="85" spans="1:14" customHeight="1" ht="30">
      <c r="A85" s="8" t="s">
        <v>3715</v>
      </c>
      <c r="B85" s="4" t="s">
        <v>3536</v>
      </c>
      <c r="C85" s="4" t="s">
        <v>3716</v>
      </c>
      <c r="D85" s="6" t="s">
        <v>322</v>
      </c>
      <c r="E85" s="4"/>
      <c r="F85" s="4"/>
      <c r="G85" s="6">
        <v>7</v>
      </c>
      <c r="H85" s="4" t="s">
        <v>3728</v>
      </c>
      <c r="I85" s="4" t="s">
        <v>3729</v>
      </c>
      <c r="J85" s="4"/>
      <c r="K85" s="6" t="s">
        <v>7</v>
      </c>
      <c r="L85" s="6"/>
      <c r="M85" s="4"/>
      <c r="N85" s="4"/>
    </row>
    <row r="86" spans="1:14" customHeight="1" ht="30">
      <c r="A86" s="9" t="s">
        <v>3730</v>
      </c>
      <c r="B86" s="5" t="s">
        <v>3536</v>
      </c>
      <c r="C86" s="5" t="s">
        <v>3731</v>
      </c>
      <c r="D86" s="7" t="s">
        <v>309</v>
      </c>
      <c r="E86" s="5" t="s">
        <v>3732</v>
      </c>
      <c r="F86" s="5" t="s">
        <v>3733</v>
      </c>
      <c r="G86" s="7">
        <v>1</v>
      </c>
      <c r="H86" s="5" t="s">
        <v>3734</v>
      </c>
      <c r="I86" s="5" t="s">
        <v>2374</v>
      </c>
      <c r="J86" s="5"/>
      <c r="K86" s="7" t="s">
        <v>7</v>
      </c>
      <c r="L86" s="7"/>
      <c r="M86" s="5"/>
      <c r="N86" s="5"/>
    </row>
    <row r="87" spans="1:14" customHeight="1" ht="40">
      <c r="A87" s="9" t="s">
        <v>3730</v>
      </c>
      <c r="B87" s="5" t="s">
        <v>3536</v>
      </c>
      <c r="C87" s="5" t="s">
        <v>3731</v>
      </c>
      <c r="D87" s="7" t="s">
        <v>309</v>
      </c>
      <c r="E87" s="5"/>
      <c r="F87" s="5"/>
      <c r="G87" s="7">
        <v>2</v>
      </c>
      <c r="H87" s="5" t="s">
        <v>3735</v>
      </c>
      <c r="I87" s="5" t="s">
        <v>3736</v>
      </c>
      <c r="J87" s="5"/>
      <c r="K87" s="7" t="s">
        <v>7</v>
      </c>
      <c r="L87" s="7"/>
      <c r="M87" s="5"/>
      <c r="N87" s="5"/>
    </row>
    <row r="88" spans="1:14" customHeight="1" ht="30">
      <c r="A88" s="9" t="s">
        <v>3730</v>
      </c>
      <c r="B88" s="5" t="s">
        <v>3536</v>
      </c>
      <c r="C88" s="5" t="s">
        <v>3731</v>
      </c>
      <c r="D88" s="7" t="s">
        <v>309</v>
      </c>
      <c r="E88" s="5"/>
      <c r="F88" s="5"/>
      <c r="G88" s="7">
        <v>3</v>
      </c>
      <c r="H88" s="5" t="s">
        <v>956</v>
      </c>
      <c r="I88" s="5" t="s">
        <v>3737</v>
      </c>
      <c r="J88" s="5"/>
      <c r="K88" s="7" t="s">
        <v>7</v>
      </c>
      <c r="L88" s="7"/>
      <c r="M88" s="5"/>
      <c r="N88" s="5"/>
    </row>
    <row r="89" spans="1:14" customHeight="1" ht="30">
      <c r="A89" s="9" t="s">
        <v>3730</v>
      </c>
      <c r="B89" s="5" t="s">
        <v>3536</v>
      </c>
      <c r="C89" s="5" t="s">
        <v>3731</v>
      </c>
      <c r="D89" s="7" t="s">
        <v>309</v>
      </c>
      <c r="E89" s="5"/>
      <c r="F89" s="5"/>
      <c r="G89" s="7">
        <v>4</v>
      </c>
      <c r="H89" s="5" t="s">
        <v>3738</v>
      </c>
      <c r="I89" s="5" t="s">
        <v>3739</v>
      </c>
      <c r="J89" s="5"/>
      <c r="K89" s="7" t="s">
        <v>7</v>
      </c>
      <c r="L89" s="7"/>
      <c r="M89" s="5"/>
      <c r="N89" s="5"/>
    </row>
    <row r="90" spans="1:14" customHeight="1" ht="40">
      <c r="A90" s="9" t="s">
        <v>3730</v>
      </c>
      <c r="B90" s="5" t="s">
        <v>3536</v>
      </c>
      <c r="C90" s="5" t="s">
        <v>3731</v>
      </c>
      <c r="D90" s="7" t="s">
        <v>309</v>
      </c>
      <c r="E90" s="5"/>
      <c r="F90" s="5"/>
      <c r="G90" s="7">
        <v>5</v>
      </c>
      <c r="H90" s="5" t="s">
        <v>3740</v>
      </c>
      <c r="I90" s="5" t="s">
        <v>3741</v>
      </c>
      <c r="J90" s="5"/>
      <c r="K90" s="7" t="s">
        <v>7</v>
      </c>
      <c r="L90" s="7"/>
      <c r="M90" s="5"/>
      <c r="N90" s="5"/>
    </row>
    <row r="91" spans="1:14" customHeight="1" ht="40">
      <c r="A91" s="9" t="s">
        <v>3730</v>
      </c>
      <c r="B91" s="5" t="s">
        <v>3536</v>
      </c>
      <c r="C91" s="5" t="s">
        <v>3731</v>
      </c>
      <c r="D91" s="7" t="s">
        <v>309</v>
      </c>
      <c r="E91" s="5"/>
      <c r="F91" s="5"/>
      <c r="G91" s="7">
        <v>6</v>
      </c>
      <c r="H91" s="5" t="s">
        <v>3742</v>
      </c>
      <c r="I91" s="5" t="s">
        <v>3743</v>
      </c>
      <c r="J91" s="5"/>
      <c r="K91" s="7" t="s">
        <v>7</v>
      </c>
      <c r="L91" s="7"/>
      <c r="M91" s="5"/>
      <c r="N91" s="5"/>
    </row>
  </sheetData>
  <autoFilter ref="A3:N91"/>
  <mergeCells>
    <mergeCell ref="A1:N1"/>
    <mergeCell ref="A2:N2"/>
  </mergeCells>
  <conditionalFormatting sqref="K4:K91">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Applicable"</formula>
    </cfRule>
    <cfRule type="cellIs" dxfId="4" priority="5" operator="equal">
      <formula>"Not Run"</formula>
    </cfRule>
  </conditionalFormatting>
  <conditionalFormatting sqref="L4:L91">
    <cfRule type="cellIs" dxfId="5" priority="6" operator="equal">
      <formula>"Critical"</formula>
    </cfRule>
    <cfRule type="cellIs" dxfId="6" priority="7" operator="equal">
      <formula>"Major"</formula>
    </cfRule>
    <cfRule type="cellIs" dxfId="7" priority="8" operator="equal">
      <formula>"Minor"</formula>
    </cfRule>
    <cfRule type="cellIs" dxfId="8" priority="9" operator="equal">
      <formula>"Cosmetic"</formula>
    </cfRule>
  </conditionalFormatting>
  <dataValidations count="3">
    <dataValidation type="list" errorStyle="stop" operator="between" allowBlank="1" showDropDown="0" showInputMessage="1" showErrorMessage="1" errorTitle="Value not allowed" error="Choose a value from the list." promptTitle="Priority" prompt="Pick one: Critical, High, Medium, Low." sqref="D4:D91">
      <formula1>"Critical,High,Medium,Low"</formula1>
    </dataValidation>
    <dataValidation type="list" errorStyle="stop" operator="between" allowBlank="1" showDropDown="0" showInputMessage="1" showErrorMessage="1" errorTitle="Value not allowed" error="Choose a value from the list." promptTitle="Status" prompt="Pick one: Not Run, Pass, Fail, Blocked, Not Applicable." sqref="K4:K91">
      <formula1>"Not Run,Pass,Fail,Blocked,Not Applicable"</formula1>
    </dataValidation>
    <dataValidation type="list" errorStyle="stop" operator="between" allowBlank="1" showDropDown="0" showInputMessage="1" showErrorMessage="1" errorTitle="Value not allowed" error="Choose a value from the list." promptTitle="Severity" prompt="On a failure only: Critical, Major, Minor, Cosmetic." sqref="L4:L91">
      <formula1>"Critical,Major,Minor,Cosmetic"</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Q83"/>
  <sheetViews>
    <sheetView tabSelected="0" workbookViewId="0" showGridLines="true" showRowColHeaders="1">
      <pane xSplit="2" ySplit="3" topLeftCell="C4" activePane="bottomRight" state="frozen"/>
      <selection pane="topRight"/>
      <selection pane="bottomLeft"/>
      <selection pane="bottomRight" activeCell="Q4" sqref="Q4:Q83"/>
    </sheetView>
  </sheetViews>
  <sheetFormatPr defaultRowHeight="14.4" outlineLevelRow="0" outlineLevelCol="0"/>
  <cols>
    <col min="1" max="1" width="12" customWidth="true" style="0"/>
    <col min="2" max="2" width="14" customWidth="true" style="0"/>
    <col min="3" max="3" width="20" customWidth="true" style="0"/>
    <col min="4" max="4" width="38" customWidth="true" style="0"/>
    <col min="5" max="5" width="44" customWidth="true" style="0"/>
    <col min="6" max="6" width="52" customWidth="true" style="0"/>
    <col min="7" max="7" width="40" customWidth="true" style="0"/>
    <col min="8" max="8" width="40" customWidth="true" style="0"/>
    <col min="9" max="9" width="12" customWidth="true" style="0"/>
    <col min="10" max="10" width="12" customWidth="true" style="0"/>
    <col min="11" max="11" width="22" customWidth="true" style="0"/>
    <col min="12" max="12" width="22" customWidth="true" style="0"/>
    <col min="13" max="13" width="26" customWidth="true" style="0"/>
    <col min="14" max="14" width="18" customWidth="true" style="0"/>
    <col min="15" max="15" width="14" customWidth="true" style="0"/>
    <col min="16" max="16" width="34" customWidth="true" style="0"/>
    <col min="17" max="17" width="18" customWidth="true" style="0"/>
  </cols>
  <sheetData>
    <row r="1" spans="1:17" customHeight="1" ht="26">
      <c r="A1" s="16" t="s">
        <v>3744</v>
      </c>
    </row>
    <row r="2" spans="1:17" customHeight="1" ht="30">
      <c r="A2" s="11" t="s">
        <v>3745</v>
      </c>
    </row>
    <row r="3" spans="1:17" customHeight="1" ht="30">
      <c r="A3" s="3" t="s">
        <v>305</v>
      </c>
      <c r="B3" s="3" t="s">
        <v>293</v>
      </c>
      <c r="C3" s="3" t="s">
        <v>294</v>
      </c>
      <c r="D3" s="3" t="s">
        <v>3746</v>
      </c>
      <c r="E3" s="3" t="s">
        <v>3747</v>
      </c>
      <c r="F3" s="3" t="s">
        <v>3748</v>
      </c>
      <c r="G3" s="3" t="s">
        <v>301</v>
      </c>
      <c r="H3" s="3" t="s">
        <v>302</v>
      </c>
      <c r="I3" s="3" t="s">
        <v>304</v>
      </c>
      <c r="J3" s="3" t="s">
        <v>296</v>
      </c>
      <c r="K3" s="3" t="s">
        <v>3749</v>
      </c>
      <c r="L3" s="3" t="s">
        <v>3750</v>
      </c>
      <c r="M3" s="3" t="s">
        <v>3751</v>
      </c>
      <c r="N3" s="3" t="s">
        <v>3752</v>
      </c>
      <c r="O3" s="3" t="s">
        <v>303</v>
      </c>
      <c r="P3" s="3" t="s">
        <v>3753</v>
      </c>
      <c r="Q3" s="3" t="s">
        <v>3754</v>
      </c>
    </row>
    <row r="4" spans="1:17" customHeight="1" ht="78">
      <c r="A4" s="17" t="s">
        <v>3755</v>
      </c>
      <c r="B4" s="17" t="s">
        <v>966</v>
      </c>
      <c r="C4" s="17" t="s">
        <v>910</v>
      </c>
      <c r="D4" s="17" t="s">
        <v>3756</v>
      </c>
      <c r="E4" s="17" t="s">
        <v>3757</v>
      </c>
      <c r="F4" s="17" t="s">
        <v>3758</v>
      </c>
      <c r="G4" s="17" t="s">
        <v>3759</v>
      </c>
      <c r="H4" s="17" t="s">
        <v>3760</v>
      </c>
      <c r="I4" s="17" t="s">
        <v>3761</v>
      </c>
      <c r="J4" s="17" t="s">
        <v>309</v>
      </c>
      <c r="K4" s="17" t="s">
        <v>3762</v>
      </c>
      <c r="L4" s="17" t="s">
        <v>3763</v>
      </c>
      <c r="M4" s="17" t="s">
        <v>3764</v>
      </c>
      <c r="N4" s="17"/>
      <c r="O4" s="17" t="s">
        <v>3765</v>
      </c>
      <c r="P4" s="17"/>
      <c r="Q4" s="17"/>
    </row>
    <row r="5" spans="1:17" customHeight="1" ht="30">
      <c r="A5" s="4"/>
      <c r="B5" s="4"/>
      <c r="C5" s="4"/>
      <c r="D5" s="4"/>
      <c r="E5" s="4"/>
      <c r="F5" s="4"/>
      <c r="G5" s="4"/>
      <c r="H5" s="4"/>
      <c r="I5" s="4"/>
      <c r="J5" s="4"/>
      <c r="K5" s="4"/>
      <c r="L5" s="4"/>
      <c r="M5" s="4"/>
      <c r="N5" s="4"/>
      <c r="O5" s="4"/>
      <c r="P5" s="4"/>
      <c r="Q5" s="4"/>
    </row>
    <row r="6" spans="1:17" customHeight="1" ht="30">
      <c r="A6" s="4"/>
      <c r="B6" s="4"/>
      <c r="C6" s="4"/>
      <c r="D6" s="4"/>
      <c r="E6" s="4"/>
      <c r="F6" s="4"/>
      <c r="G6" s="4"/>
      <c r="H6" s="4"/>
      <c r="I6" s="4"/>
      <c r="J6" s="4"/>
      <c r="K6" s="4"/>
      <c r="L6" s="4"/>
      <c r="M6" s="4"/>
      <c r="N6" s="4"/>
      <c r="O6" s="4"/>
      <c r="P6" s="4"/>
      <c r="Q6" s="4"/>
    </row>
    <row r="7" spans="1:17" customHeight="1" ht="30">
      <c r="A7" s="4"/>
      <c r="B7" s="4"/>
      <c r="C7" s="4"/>
      <c r="D7" s="4"/>
      <c r="E7" s="4"/>
      <c r="F7" s="4"/>
      <c r="G7" s="4"/>
      <c r="H7" s="4"/>
      <c r="I7" s="4"/>
      <c r="J7" s="4"/>
      <c r="K7" s="4"/>
      <c r="L7" s="4"/>
      <c r="M7" s="4"/>
      <c r="N7" s="4"/>
      <c r="O7" s="4"/>
      <c r="P7" s="4"/>
      <c r="Q7" s="4"/>
    </row>
    <row r="8" spans="1:17" customHeight="1" ht="30">
      <c r="A8" s="4"/>
      <c r="B8" s="4"/>
      <c r="C8" s="4"/>
      <c r="D8" s="4"/>
      <c r="E8" s="4"/>
      <c r="F8" s="4"/>
      <c r="G8" s="4"/>
      <c r="H8" s="4"/>
      <c r="I8" s="4"/>
      <c r="J8" s="4"/>
      <c r="K8" s="4"/>
      <c r="L8" s="4"/>
      <c r="M8" s="4"/>
      <c r="N8" s="4"/>
      <c r="O8" s="4"/>
      <c r="P8" s="4"/>
      <c r="Q8" s="4"/>
    </row>
    <row r="9" spans="1:17" customHeight="1" ht="30">
      <c r="A9" s="4"/>
      <c r="B9" s="4"/>
      <c r="C9" s="4"/>
      <c r="D9" s="4"/>
      <c r="E9" s="4"/>
      <c r="F9" s="4"/>
      <c r="G9" s="4"/>
      <c r="H9" s="4"/>
      <c r="I9" s="4"/>
      <c r="J9" s="4"/>
      <c r="K9" s="4"/>
      <c r="L9" s="4"/>
      <c r="M9" s="4"/>
      <c r="N9" s="4"/>
      <c r="O9" s="4"/>
      <c r="P9" s="4"/>
      <c r="Q9" s="4"/>
    </row>
    <row r="10" spans="1:17" customHeight="1" ht="30">
      <c r="A10" s="4"/>
      <c r="B10" s="4"/>
      <c r="C10" s="4"/>
      <c r="D10" s="4"/>
      <c r="E10" s="4"/>
      <c r="F10" s="4"/>
      <c r="G10" s="4"/>
      <c r="H10" s="4"/>
      <c r="I10" s="4"/>
      <c r="J10" s="4"/>
      <c r="K10" s="4"/>
      <c r="L10" s="4"/>
      <c r="M10" s="4"/>
      <c r="N10" s="4"/>
      <c r="O10" s="4"/>
      <c r="P10" s="4"/>
      <c r="Q10" s="4"/>
    </row>
    <row r="11" spans="1:17" customHeight="1" ht="30">
      <c r="A11" s="4"/>
      <c r="B11" s="4"/>
      <c r="C11" s="4"/>
      <c r="D11" s="4"/>
      <c r="E11" s="4"/>
      <c r="F11" s="4"/>
      <c r="G11" s="4"/>
      <c r="H11" s="4"/>
      <c r="I11" s="4"/>
      <c r="J11" s="4"/>
      <c r="K11" s="4"/>
      <c r="L11" s="4"/>
      <c r="M11" s="4"/>
      <c r="N11" s="4"/>
      <c r="O11" s="4"/>
      <c r="P11" s="4"/>
      <c r="Q11" s="4"/>
    </row>
    <row r="12" spans="1:17" customHeight="1" ht="30">
      <c r="A12" s="4"/>
      <c r="B12" s="4"/>
      <c r="C12" s="4"/>
      <c r="D12" s="4"/>
      <c r="E12" s="4"/>
      <c r="F12" s="4"/>
      <c r="G12" s="4"/>
      <c r="H12" s="4"/>
      <c r="I12" s="4"/>
      <c r="J12" s="4"/>
      <c r="K12" s="4"/>
      <c r="L12" s="4"/>
      <c r="M12" s="4"/>
      <c r="N12" s="4"/>
      <c r="O12" s="4"/>
      <c r="P12" s="4"/>
      <c r="Q12" s="4"/>
    </row>
    <row r="13" spans="1:17" customHeight="1" ht="30">
      <c r="A13" s="4"/>
      <c r="B13" s="4"/>
      <c r="C13" s="4"/>
      <c r="D13" s="4"/>
      <c r="E13" s="4"/>
      <c r="F13" s="4"/>
      <c r="G13" s="4"/>
      <c r="H13" s="4"/>
      <c r="I13" s="4"/>
      <c r="J13" s="4"/>
      <c r="K13" s="4"/>
      <c r="L13" s="4"/>
      <c r="M13" s="4"/>
      <c r="N13" s="4"/>
      <c r="O13" s="4"/>
      <c r="P13" s="4"/>
      <c r="Q13" s="4"/>
    </row>
    <row r="14" spans="1:17" customHeight="1" ht="30">
      <c r="A14" s="4"/>
      <c r="B14" s="4"/>
      <c r="C14" s="4"/>
      <c r="D14" s="4"/>
      <c r="E14" s="4"/>
      <c r="F14" s="4"/>
      <c r="G14" s="4"/>
      <c r="H14" s="4"/>
      <c r="I14" s="4"/>
      <c r="J14" s="4"/>
      <c r="K14" s="4"/>
      <c r="L14" s="4"/>
      <c r="M14" s="4"/>
      <c r="N14" s="4"/>
      <c r="O14" s="4"/>
      <c r="P14" s="4"/>
      <c r="Q14" s="4"/>
    </row>
    <row r="15" spans="1:17" customHeight="1" ht="30">
      <c r="A15" s="4"/>
      <c r="B15" s="4"/>
      <c r="C15" s="4"/>
      <c r="D15" s="4"/>
      <c r="E15" s="4"/>
      <c r="F15" s="4"/>
      <c r="G15" s="4"/>
      <c r="H15" s="4"/>
      <c r="I15" s="4"/>
      <c r="J15" s="4"/>
      <c r="K15" s="4"/>
      <c r="L15" s="4"/>
      <c r="M15" s="4"/>
      <c r="N15" s="4"/>
      <c r="O15" s="4"/>
      <c r="P15" s="4"/>
      <c r="Q15" s="4"/>
    </row>
    <row r="16" spans="1:17" customHeight="1" ht="30">
      <c r="A16" s="4"/>
      <c r="B16" s="4"/>
      <c r="C16" s="4"/>
      <c r="D16" s="4"/>
      <c r="E16" s="4"/>
      <c r="F16" s="4"/>
      <c r="G16" s="4"/>
      <c r="H16" s="4"/>
      <c r="I16" s="4"/>
      <c r="J16" s="4"/>
      <c r="K16" s="4"/>
      <c r="L16" s="4"/>
      <c r="M16" s="4"/>
      <c r="N16" s="4"/>
      <c r="O16" s="4"/>
      <c r="P16" s="4"/>
      <c r="Q16" s="4"/>
    </row>
    <row r="17" spans="1:17" customHeight="1" ht="30">
      <c r="A17" s="4"/>
      <c r="B17" s="4"/>
      <c r="C17" s="4"/>
      <c r="D17" s="4"/>
      <c r="E17" s="4"/>
      <c r="F17" s="4"/>
      <c r="G17" s="4"/>
      <c r="H17" s="4"/>
      <c r="I17" s="4"/>
      <c r="J17" s="4"/>
      <c r="K17" s="4"/>
      <c r="L17" s="4"/>
      <c r="M17" s="4"/>
      <c r="N17" s="4"/>
      <c r="O17" s="4"/>
      <c r="P17" s="4"/>
      <c r="Q17" s="4"/>
    </row>
    <row r="18" spans="1:17" customHeight="1" ht="30">
      <c r="A18" s="4"/>
      <c r="B18" s="4"/>
      <c r="C18" s="4"/>
      <c r="D18" s="4"/>
      <c r="E18" s="4"/>
      <c r="F18" s="4"/>
      <c r="G18" s="4"/>
      <c r="H18" s="4"/>
      <c r="I18" s="4"/>
      <c r="J18" s="4"/>
      <c r="K18" s="4"/>
      <c r="L18" s="4"/>
      <c r="M18" s="4"/>
      <c r="N18" s="4"/>
      <c r="O18" s="4"/>
      <c r="P18" s="4"/>
      <c r="Q18" s="4"/>
    </row>
    <row r="19" spans="1:17" customHeight="1" ht="30">
      <c r="A19" s="4"/>
      <c r="B19" s="4"/>
      <c r="C19" s="4"/>
      <c r="D19" s="4"/>
      <c r="E19" s="4"/>
      <c r="F19" s="4"/>
      <c r="G19" s="4"/>
      <c r="H19" s="4"/>
      <c r="I19" s="4"/>
      <c r="J19" s="4"/>
      <c r="K19" s="4"/>
      <c r="L19" s="4"/>
      <c r="M19" s="4"/>
      <c r="N19" s="4"/>
      <c r="O19" s="4"/>
      <c r="P19" s="4"/>
      <c r="Q19" s="4"/>
    </row>
    <row r="20" spans="1:17" customHeight="1" ht="30">
      <c r="A20" s="4"/>
      <c r="B20" s="4"/>
      <c r="C20" s="4"/>
      <c r="D20" s="4"/>
      <c r="E20" s="4"/>
      <c r="F20" s="4"/>
      <c r="G20" s="4"/>
      <c r="H20" s="4"/>
      <c r="I20" s="4"/>
      <c r="J20" s="4"/>
      <c r="K20" s="4"/>
      <c r="L20" s="4"/>
      <c r="M20" s="4"/>
      <c r="N20" s="4"/>
      <c r="O20" s="4"/>
      <c r="P20" s="4"/>
      <c r="Q20" s="4"/>
    </row>
    <row r="21" spans="1:17" customHeight="1" ht="30">
      <c r="A21" s="4"/>
      <c r="B21" s="4"/>
      <c r="C21" s="4"/>
      <c r="D21" s="4"/>
      <c r="E21" s="4"/>
      <c r="F21" s="4"/>
      <c r="G21" s="4"/>
      <c r="H21" s="4"/>
      <c r="I21" s="4"/>
      <c r="J21" s="4"/>
      <c r="K21" s="4"/>
      <c r="L21" s="4"/>
      <c r="M21" s="4"/>
      <c r="N21" s="4"/>
      <c r="O21" s="4"/>
      <c r="P21" s="4"/>
      <c r="Q21" s="4"/>
    </row>
    <row r="22" spans="1:17" customHeight="1" ht="30">
      <c r="A22" s="4"/>
      <c r="B22" s="4"/>
      <c r="C22" s="4"/>
      <c r="D22" s="4"/>
      <c r="E22" s="4"/>
      <c r="F22" s="4"/>
      <c r="G22" s="4"/>
      <c r="H22" s="4"/>
      <c r="I22" s="4"/>
      <c r="J22" s="4"/>
      <c r="K22" s="4"/>
      <c r="L22" s="4"/>
      <c r="M22" s="4"/>
      <c r="N22" s="4"/>
      <c r="O22" s="4"/>
      <c r="P22" s="4"/>
      <c r="Q22" s="4"/>
    </row>
    <row r="23" spans="1:17" customHeight="1" ht="30">
      <c r="A23" s="4"/>
      <c r="B23" s="4"/>
      <c r="C23" s="4"/>
      <c r="D23" s="4"/>
      <c r="E23" s="4"/>
      <c r="F23" s="4"/>
      <c r="G23" s="4"/>
      <c r="H23" s="4"/>
      <c r="I23" s="4"/>
      <c r="J23" s="4"/>
      <c r="K23" s="4"/>
      <c r="L23" s="4"/>
      <c r="M23" s="4"/>
      <c r="N23" s="4"/>
      <c r="O23" s="4"/>
      <c r="P23" s="4"/>
      <c r="Q23" s="4"/>
    </row>
    <row r="24" spans="1:17" customHeight="1" ht="30">
      <c r="A24" s="4"/>
      <c r="B24" s="4"/>
      <c r="C24" s="4"/>
      <c r="D24" s="4"/>
      <c r="E24" s="4"/>
      <c r="F24" s="4"/>
      <c r="G24" s="4"/>
      <c r="H24" s="4"/>
      <c r="I24" s="4"/>
      <c r="J24" s="4"/>
      <c r="K24" s="4"/>
      <c r="L24" s="4"/>
      <c r="M24" s="4"/>
      <c r="N24" s="4"/>
      <c r="O24" s="4"/>
      <c r="P24" s="4"/>
      <c r="Q24" s="4"/>
    </row>
    <row r="25" spans="1:17" customHeight="1" ht="30">
      <c r="A25" s="4"/>
      <c r="B25" s="4"/>
      <c r="C25" s="4"/>
      <c r="D25" s="4"/>
      <c r="E25" s="4"/>
      <c r="F25" s="4"/>
      <c r="G25" s="4"/>
      <c r="H25" s="4"/>
      <c r="I25" s="4"/>
      <c r="J25" s="4"/>
      <c r="K25" s="4"/>
      <c r="L25" s="4"/>
      <c r="M25" s="4"/>
      <c r="N25" s="4"/>
      <c r="O25" s="4"/>
      <c r="P25" s="4"/>
      <c r="Q25" s="4"/>
    </row>
    <row r="26" spans="1:17" customHeight="1" ht="30">
      <c r="A26" s="4"/>
      <c r="B26" s="4"/>
      <c r="C26" s="4"/>
      <c r="D26" s="4"/>
      <c r="E26" s="4"/>
      <c r="F26" s="4"/>
      <c r="G26" s="4"/>
      <c r="H26" s="4"/>
      <c r="I26" s="4"/>
      <c r="J26" s="4"/>
      <c r="K26" s="4"/>
      <c r="L26" s="4"/>
      <c r="M26" s="4"/>
      <c r="N26" s="4"/>
      <c r="O26" s="4"/>
      <c r="P26" s="4"/>
      <c r="Q26" s="4"/>
    </row>
    <row r="27" spans="1:17" customHeight="1" ht="30">
      <c r="A27" s="4"/>
      <c r="B27" s="4"/>
      <c r="C27" s="4"/>
      <c r="D27" s="4"/>
      <c r="E27" s="4"/>
      <c r="F27" s="4"/>
      <c r="G27" s="4"/>
      <c r="H27" s="4"/>
      <c r="I27" s="4"/>
      <c r="J27" s="4"/>
      <c r="K27" s="4"/>
      <c r="L27" s="4"/>
      <c r="M27" s="4"/>
      <c r="N27" s="4"/>
      <c r="O27" s="4"/>
      <c r="P27" s="4"/>
      <c r="Q27" s="4"/>
    </row>
    <row r="28" spans="1:17" customHeight="1" ht="30">
      <c r="A28" s="4"/>
      <c r="B28" s="4"/>
      <c r="C28" s="4"/>
      <c r="D28" s="4"/>
      <c r="E28" s="4"/>
      <c r="F28" s="4"/>
      <c r="G28" s="4"/>
      <c r="H28" s="4"/>
      <c r="I28" s="4"/>
      <c r="J28" s="4"/>
      <c r="K28" s="4"/>
      <c r="L28" s="4"/>
      <c r="M28" s="4"/>
      <c r="N28" s="4"/>
      <c r="O28" s="4"/>
      <c r="P28" s="4"/>
      <c r="Q28" s="4"/>
    </row>
    <row r="29" spans="1:17" customHeight="1" ht="30">
      <c r="A29" s="4"/>
      <c r="B29" s="4"/>
      <c r="C29" s="4"/>
      <c r="D29" s="4"/>
      <c r="E29" s="4"/>
      <c r="F29" s="4"/>
      <c r="G29" s="4"/>
      <c r="H29" s="4"/>
      <c r="I29" s="4"/>
      <c r="J29" s="4"/>
      <c r="K29" s="4"/>
      <c r="L29" s="4"/>
      <c r="M29" s="4"/>
      <c r="N29" s="4"/>
      <c r="O29" s="4"/>
      <c r="P29" s="4"/>
      <c r="Q29" s="4"/>
    </row>
    <row r="30" spans="1:17" customHeight="1" ht="30">
      <c r="A30" s="4"/>
      <c r="B30" s="4"/>
      <c r="C30" s="4"/>
      <c r="D30" s="4"/>
      <c r="E30" s="4"/>
      <c r="F30" s="4"/>
      <c r="G30" s="4"/>
      <c r="H30" s="4"/>
      <c r="I30" s="4"/>
      <c r="J30" s="4"/>
      <c r="K30" s="4"/>
      <c r="L30" s="4"/>
      <c r="M30" s="4"/>
      <c r="N30" s="4"/>
      <c r="O30" s="4"/>
      <c r="P30" s="4"/>
      <c r="Q30" s="4"/>
    </row>
    <row r="31" spans="1:17" customHeight="1" ht="30">
      <c r="A31" s="4"/>
      <c r="B31" s="4"/>
      <c r="C31" s="4"/>
      <c r="D31" s="4"/>
      <c r="E31" s="4"/>
      <c r="F31" s="4"/>
      <c r="G31" s="4"/>
      <c r="H31" s="4"/>
      <c r="I31" s="4"/>
      <c r="J31" s="4"/>
      <c r="K31" s="4"/>
      <c r="L31" s="4"/>
      <c r="M31" s="4"/>
      <c r="N31" s="4"/>
      <c r="O31" s="4"/>
      <c r="P31" s="4"/>
      <c r="Q31" s="4"/>
    </row>
    <row r="32" spans="1:17" customHeight="1" ht="30">
      <c r="A32" s="4"/>
      <c r="B32" s="4"/>
      <c r="C32" s="4"/>
      <c r="D32" s="4"/>
      <c r="E32" s="4"/>
      <c r="F32" s="4"/>
      <c r="G32" s="4"/>
      <c r="H32" s="4"/>
      <c r="I32" s="4"/>
      <c r="J32" s="4"/>
      <c r="K32" s="4"/>
      <c r="L32" s="4"/>
      <c r="M32" s="4"/>
      <c r="N32" s="4"/>
      <c r="O32" s="4"/>
      <c r="P32" s="4"/>
      <c r="Q32" s="4"/>
    </row>
    <row r="33" spans="1:17" customHeight="1" ht="30">
      <c r="A33" s="4"/>
      <c r="B33" s="4"/>
      <c r="C33" s="4"/>
      <c r="D33" s="4"/>
      <c r="E33" s="4"/>
      <c r="F33" s="4"/>
      <c r="G33" s="4"/>
      <c r="H33" s="4"/>
      <c r="I33" s="4"/>
      <c r="J33" s="4"/>
      <c r="K33" s="4"/>
      <c r="L33" s="4"/>
      <c r="M33" s="4"/>
      <c r="N33" s="4"/>
      <c r="O33" s="4"/>
      <c r="P33" s="4"/>
      <c r="Q33" s="4"/>
    </row>
    <row r="34" spans="1:17" customHeight="1" ht="30">
      <c r="A34" s="4"/>
      <c r="B34" s="4"/>
      <c r="C34" s="4"/>
      <c r="D34" s="4"/>
      <c r="E34" s="4"/>
      <c r="F34" s="4"/>
      <c r="G34" s="4"/>
      <c r="H34" s="4"/>
      <c r="I34" s="4"/>
      <c r="J34" s="4"/>
      <c r="K34" s="4"/>
      <c r="L34" s="4"/>
      <c r="M34" s="4"/>
      <c r="N34" s="4"/>
      <c r="O34" s="4"/>
      <c r="P34" s="4"/>
      <c r="Q34" s="4"/>
    </row>
    <row r="35" spans="1:17" customHeight="1" ht="30">
      <c r="A35" s="4"/>
      <c r="B35" s="4"/>
      <c r="C35" s="4"/>
      <c r="D35" s="4"/>
      <c r="E35" s="4"/>
      <c r="F35" s="4"/>
      <c r="G35" s="4"/>
      <c r="H35" s="4"/>
      <c r="I35" s="4"/>
      <c r="J35" s="4"/>
      <c r="K35" s="4"/>
      <c r="L35" s="4"/>
      <c r="M35" s="4"/>
      <c r="N35" s="4"/>
      <c r="O35" s="4"/>
      <c r="P35" s="4"/>
      <c r="Q35" s="4"/>
    </row>
    <row r="36" spans="1:17" customHeight="1" ht="30">
      <c r="A36" s="4"/>
      <c r="B36" s="4"/>
      <c r="C36" s="4"/>
      <c r="D36" s="4"/>
      <c r="E36" s="4"/>
      <c r="F36" s="4"/>
      <c r="G36" s="4"/>
      <c r="H36" s="4"/>
      <c r="I36" s="4"/>
      <c r="J36" s="4"/>
      <c r="K36" s="4"/>
      <c r="L36" s="4"/>
      <c r="M36" s="4"/>
      <c r="N36" s="4"/>
      <c r="O36" s="4"/>
      <c r="P36" s="4"/>
      <c r="Q36" s="4"/>
    </row>
    <row r="37" spans="1:17" customHeight="1" ht="30">
      <c r="A37" s="4"/>
      <c r="B37" s="4"/>
      <c r="C37" s="4"/>
      <c r="D37" s="4"/>
      <c r="E37" s="4"/>
      <c r="F37" s="4"/>
      <c r="G37" s="4"/>
      <c r="H37" s="4"/>
      <c r="I37" s="4"/>
      <c r="J37" s="4"/>
      <c r="K37" s="4"/>
      <c r="L37" s="4"/>
      <c r="M37" s="4"/>
      <c r="N37" s="4"/>
      <c r="O37" s="4"/>
      <c r="P37" s="4"/>
      <c r="Q37" s="4"/>
    </row>
    <row r="38" spans="1:17" customHeight="1" ht="30">
      <c r="A38" s="4"/>
      <c r="B38" s="4"/>
      <c r="C38" s="4"/>
      <c r="D38" s="4"/>
      <c r="E38" s="4"/>
      <c r="F38" s="4"/>
      <c r="G38" s="4"/>
      <c r="H38" s="4"/>
      <c r="I38" s="4"/>
      <c r="J38" s="4"/>
      <c r="K38" s="4"/>
      <c r="L38" s="4"/>
      <c r="M38" s="4"/>
      <c r="N38" s="4"/>
      <c r="O38" s="4"/>
      <c r="P38" s="4"/>
      <c r="Q38" s="4"/>
    </row>
    <row r="39" spans="1:17" customHeight="1" ht="30">
      <c r="A39" s="4"/>
      <c r="B39" s="4"/>
      <c r="C39" s="4"/>
      <c r="D39" s="4"/>
      <c r="E39" s="4"/>
      <c r="F39" s="4"/>
      <c r="G39" s="4"/>
      <c r="H39" s="4"/>
      <c r="I39" s="4"/>
      <c r="J39" s="4"/>
      <c r="K39" s="4"/>
      <c r="L39" s="4"/>
      <c r="M39" s="4"/>
      <c r="N39" s="4"/>
      <c r="O39" s="4"/>
      <c r="P39" s="4"/>
      <c r="Q39" s="4"/>
    </row>
    <row r="40" spans="1:17" customHeight="1" ht="30">
      <c r="A40" s="4"/>
      <c r="B40" s="4"/>
      <c r="C40" s="4"/>
      <c r="D40" s="4"/>
      <c r="E40" s="4"/>
      <c r="F40" s="4"/>
      <c r="G40" s="4"/>
      <c r="H40" s="4"/>
      <c r="I40" s="4"/>
      <c r="J40" s="4"/>
      <c r="K40" s="4"/>
      <c r="L40" s="4"/>
      <c r="M40" s="4"/>
      <c r="N40" s="4"/>
      <c r="O40" s="4"/>
      <c r="P40" s="4"/>
      <c r="Q40" s="4"/>
    </row>
    <row r="41" spans="1:17" customHeight="1" ht="30">
      <c r="A41" s="4"/>
      <c r="B41" s="4"/>
      <c r="C41" s="4"/>
      <c r="D41" s="4"/>
      <c r="E41" s="4"/>
      <c r="F41" s="4"/>
      <c r="G41" s="4"/>
      <c r="H41" s="4"/>
      <c r="I41" s="4"/>
      <c r="J41" s="4"/>
      <c r="K41" s="4"/>
      <c r="L41" s="4"/>
      <c r="M41" s="4"/>
      <c r="N41" s="4"/>
      <c r="O41" s="4"/>
      <c r="P41" s="4"/>
      <c r="Q41" s="4"/>
    </row>
    <row r="42" spans="1:17" customHeight="1" ht="30">
      <c r="A42" s="4"/>
      <c r="B42" s="4"/>
      <c r="C42" s="4"/>
      <c r="D42" s="4"/>
      <c r="E42" s="4"/>
      <c r="F42" s="4"/>
      <c r="G42" s="4"/>
      <c r="H42" s="4"/>
      <c r="I42" s="4"/>
      <c r="J42" s="4"/>
      <c r="K42" s="4"/>
      <c r="L42" s="4"/>
      <c r="M42" s="4"/>
      <c r="N42" s="4"/>
      <c r="O42" s="4"/>
      <c r="P42" s="4"/>
      <c r="Q42" s="4"/>
    </row>
    <row r="43" spans="1:17" customHeight="1" ht="30">
      <c r="A43" s="4"/>
      <c r="B43" s="4"/>
      <c r="C43" s="4"/>
      <c r="D43" s="4"/>
      <c r="E43" s="4"/>
      <c r="F43" s="4"/>
      <c r="G43" s="4"/>
      <c r="H43" s="4"/>
      <c r="I43" s="4"/>
      <c r="J43" s="4"/>
      <c r="K43" s="4"/>
      <c r="L43" s="4"/>
      <c r="M43" s="4"/>
      <c r="N43" s="4"/>
      <c r="O43" s="4"/>
      <c r="P43" s="4"/>
      <c r="Q43" s="4"/>
    </row>
    <row r="44" spans="1:17" customHeight="1" ht="30">
      <c r="A44" s="4"/>
      <c r="B44" s="4"/>
      <c r="C44" s="4"/>
      <c r="D44" s="4"/>
      <c r="E44" s="4"/>
      <c r="F44" s="4"/>
      <c r="G44" s="4"/>
      <c r="H44" s="4"/>
      <c r="I44" s="4"/>
      <c r="J44" s="4"/>
      <c r="K44" s="4"/>
      <c r="L44" s="4"/>
      <c r="M44" s="4"/>
      <c r="N44" s="4"/>
      <c r="O44" s="4"/>
      <c r="P44" s="4"/>
      <c r="Q44" s="4"/>
    </row>
    <row r="45" spans="1:17" customHeight="1" ht="30">
      <c r="A45" s="4"/>
      <c r="B45" s="4"/>
      <c r="C45" s="4"/>
      <c r="D45" s="4"/>
      <c r="E45" s="4"/>
      <c r="F45" s="4"/>
      <c r="G45" s="4"/>
      <c r="H45" s="4"/>
      <c r="I45" s="4"/>
      <c r="J45" s="4"/>
      <c r="K45" s="4"/>
      <c r="L45" s="4"/>
      <c r="M45" s="4"/>
      <c r="N45" s="4"/>
      <c r="O45" s="4"/>
      <c r="P45" s="4"/>
      <c r="Q45" s="4"/>
    </row>
    <row r="46" spans="1:17" customHeight="1" ht="30">
      <c r="A46" s="4"/>
      <c r="B46" s="4"/>
      <c r="C46" s="4"/>
      <c r="D46" s="4"/>
      <c r="E46" s="4"/>
      <c r="F46" s="4"/>
      <c r="G46" s="4"/>
      <c r="H46" s="4"/>
      <c r="I46" s="4"/>
      <c r="J46" s="4"/>
      <c r="K46" s="4"/>
      <c r="L46" s="4"/>
      <c r="M46" s="4"/>
      <c r="N46" s="4"/>
      <c r="O46" s="4"/>
      <c r="P46" s="4"/>
      <c r="Q46" s="4"/>
    </row>
    <row r="47" spans="1:17" customHeight="1" ht="30">
      <c r="A47" s="4"/>
      <c r="B47" s="4"/>
      <c r="C47" s="4"/>
      <c r="D47" s="4"/>
      <c r="E47" s="4"/>
      <c r="F47" s="4"/>
      <c r="G47" s="4"/>
      <c r="H47" s="4"/>
      <c r="I47" s="4"/>
      <c r="J47" s="4"/>
      <c r="K47" s="4"/>
      <c r="L47" s="4"/>
      <c r="M47" s="4"/>
      <c r="N47" s="4"/>
      <c r="O47" s="4"/>
      <c r="P47" s="4"/>
      <c r="Q47" s="4"/>
    </row>
    <row r="48" spans="1:17" customHeight="1" ht="30">
      <c r="A48" s="4"/>
      <c r="B48" s="4"/>
      <c r="C48" s="4"/>
      <c r="D48" s="4"/>
      <c r="E48" s="4"/>
      <c r="F48" s="4"/>
      <c r="G48" s="4"/>
      <c r="H48" s="4"/>
      <c r="I48" s="4"/>
      <c r="J48" s="4"/>
      <c r="K48" s="4"/>
      <c r="L48" s="4"/>
      <c r="M48" s="4"/>
      <c r="N48" s="4"/>
      <c r="O48" s="4"/>
      <c r="P48" s="4"/>
      <c r="Q48" s="4"/>
    </row>
    <row r="49" spans="1:17" customHeight="1" ht="30">
      <c r="A49" s="4"/>
      <c r="B49" s="4"/>
      <c r="C49" s="4"/>
      <c r="D49" s="4"/>
      <c r="E49" s="4"/>
      <c r="F49" s="4"/>
      <c r="G49" s="4"/>
      <c r="H49" s="4"/>
      <c r="I49" s="4"/>
      <c r="J49" s="4"/>
      <c r="K49" s="4"/>
      <c r="L49" s="4"/>
      <c r="M49" s="4"/>
      <c r="N49" s="4"/>
      <c r="O49" s="4"/>
      <c r="P49" s="4"/>
      <c r="Q49" s="4"/>
    </row>
    <row r="50" spans="1:17" customHeight="1" ht="30">
      <c r="A50" s="4"/>
      <c r="B50" s="4"/>
      <c r="C50" s="4"/>
      <c r="D50" s="4"/>
      <c r="E50" s="4"/>
      <c r="F50" s="4"/>
      <c r="G50" s="4"/>
      <c r="H50" s="4"/>
      <c r="I50" s="4"/>
      <c r="J50" s="4"/>
      <c r="K50" s="4"/>
      <c r="L50" s="4"/>
      <c r="M50" s="4"/>
      <c r="N50" s="4"/>
      <c r="O50" s="4"/>
      <c r="P50" s="4"/>
      <c r="Q50" s="4"/>
    </row>
    <row r="51" spans="1:17" customHeight="1" ht="30">
      <c r="A51" s="4"/>
      <c r="B51" s="4"/>
      <c r="C51" s="4"/>
      <c r="D51" s="4"/>
      <c r="E51" s="4"/>
      <c r="F51" s="4"/>
      <c r="G51" s="4"/>
      <c r="H51" s="4"/>
      <c r="I51" s="4"/>
      <c r="J51" s="4"/>
      <c r="K51" s="4"/>
      <c r="L51" s="4"/>
      <c r="M51" s="4"/>
      <c r="N51" s="4"/>
      <c r="O51" s="4"/>
      <c r="P51" s="4"/>
      <c r="Q51" s="4"/>
    </row>
    <row r="52" spans="1:17" customHeight="1" ht="30">
      <c r="A52" s="4"/>
      <c r="B52" s="4"/>
      <c r="C52" s="4"/>
      <c r="D52" s="4"/>
      <c r="E52" s="4"/>
      <c r="F52" s="4"/>
      <c r="G52" s="4"/>
      <c r="H52" s="4"/>
      <c r="I52" s="4"/>
      <c r="J52" s="4"/>
      <c r="K52" s="4"/>
      <c r="L52" s="4"/>
      <c r="M52" s="4"/>
      <c r="N52" s="4"/>
      <c r="O52" s="4"/>
      <c r="P52" s="4"/>
      <c r="Q52" s="4"/>
    </row>
    <row r="53" spans="1:17" customHeight="1" ht="30">
      <c r="A53" s="4"/>
      <c r="B53" s="4"/>
      <c r="C53" s="4"/>
      <c r="D53" s="4"/>
      <c r="E53" s="4"/>
      <c r="F53" s="4"/>
      <c r="G53" s="4"/>
      <c r="H53" s="4"/>
      <c r="I53" s="4"/>
      <c r="J53" s="4"/>
      <c r="K53" s="4"/>
      <c r="L53" s="4"/>
      <c r="M53" s="4"/>
      <c r="N53" s="4"/>
      <c r="O53" s="4"/>
      <c r="P53" s="4"/>
      <c r="Q53" s="4"/>
    </row>
    <row r="54" spans="1:17" customHeight="1" ht="30">
      <c r="A54" s="4"/>
      <c r="B54" s="4"/>
      <c r="C54" s="4"/>
      <c r="D54" s="4"/>
      <c r="E54" s="4"/>
      <c r="F54" s="4"/>
      <c r="G54" s="4"/>
      <c r="H54" s="4"/>
      <c r="I54" s="4"/>
      <c r="J54" s="4"/>
      <c r="K54" s="4"/>
      <c r="L54" s="4"/>
      <c r="M54" s="4"/>
      <c r="N54" s="4"/>
      <c r="O54" s="4"/>
      <c r="P54" s="4"/>
      <c r="Q54" s="4"/>
    </row>
    <row r="55" spans="1:17" customHeight="1" ht="30">
      <c r="A55" s="4"/>
      <c r="B55" s="4"/>
      <c r="C55" s="4"/>
      <c r="D55" s="4"/>
      <c r="E55" s="4"/>
      <c r="F55" s="4"/>
      <c r="G55" s="4"/>
      <c r="H55" s="4"/>
      <c r="I55" s="4"/>
      <c r="J55" s="4"/>
      <c r="K55" s="4"/>
      <c r="L55" s="4"/>
      <c r="M55" s="4"/>
      <c r="N55" s="4"/>
      <c r="O55" s="4"/>
      <c r="P55" s="4"/>
      <c r="Q55" s="4"/>
    </row>
    <row r="56" spans="1:17" customHeight="1" ht="30">
      <c r="A56" s="4"/>
      <c r="B56" s="4"/>
      <c r="C56" s="4"/>
      <c r="D56" s="4"/>
      <c r="E56" s="4"/>
      <c r="F56" s="4"/>
      <c r="G56" s="4"/>
      <c r="H56" s="4"/>
      <c r="I56" s="4"/>
      <c r="J56" s="4"/>
      <c r="K56" s="4"/>
      <c r="L56" s="4"/>
      <c r="M56" s="4"/>
      <c r="N56" s="4"/>
      <c r="O56" s="4"/>
      <c r="P56" s="4"/>
      <c r="Q56" s="4"/>
    </row>
    <row r="57" spans="1:17" customHeight="1" ht="30">
      <c r="A57" s="4"/>
      <c r="B57" s="4"/>
      <c r="C57" s="4"/>
      <c r="D57" s="4"/>
      <c r="E57" s="4"/>
      <c r="F57" s="4"/>
      <c r="G57" s="4"/>
      <c r="H57" s="4"/>
      <c r="I57" s="4"/>
      <c r="J57" s="4"/>
      <c r="K57" s="4"/>
      <c r="L57" s="4"/>
      <c r="M57" s="4"/>
      <c r="N57" s="4"/>
      <c r="O57" s="4"/>
      <c r="P57" s="4"/>
      <c r="Q57" s="4"/>
    </row>
    <row r="58" spans="1:17" customHeight="1" ht="30">
      <c r="A58" s="4"/>
      <c r="B58" s="4"/>
      <c r="C58" s="4"/>
      <c r="D58" s="4"/>
      <c r="E58" s="4"/>
      <c r="F58" s="4"/>
      <c r="G58" s="4"/>
      <c r="H58" s="4"/>
      <c r="I58" s="4"/>
      <c r="J58" s="4"/>
      <c r="K58" s="4"/>
      <c r="L58" s="4"/>
      <c r="M58" s="4"/>
      <c r="N58" s="4"/>
      <c r="O58" s="4"/>
      <c r="P58" s="4"/>
      <c r="Q58" s="4"/>
    </row>
    <row r="59" spans="1:17" customHeight="1" ht="30">
      <c r="A59" s="4"/>
      <c r="B59" s="4"/>
      <c r="C59" s="4"/>
      <c r="D59" s="4"/>
      <c r="E59" s="4"/>
      <c r="F59" s="4"/>
      <c r="G59" s="4"/>
      <c r="H59" s="4"/>
      <c r="I59" s="4"/>
      <c r="J59" s="4"/>
      <c r="K59" s="4"/>
      <c r="L59" s="4"/>
      <c r="M59" s="4"/>
      <c r="N59" s="4"/>
      <c r="O59" s="4"/>
      <c r="P59" s="4"/>
      <c r="Q59" s="4"/>
    </row>
    <row r="60" spans="1:17" customHeight="1" ht="30">
      <c r="A60" s="4"/>
      <c r="B60" s="4"/>
      <c r="C60" s="4"/>
      <c r="D60" s="4"/>
      <c r="E60" s="4"/>
      <c r="F60" s="4"/>
      <c r="G60" s="4"/>
      <c r="H60" s="4"/>
      <c r="I60" s="4"/>
      <c r="J60" s="4"/>
      <c r="K60" s="4"/>
      <c r="L60" s="4"/>
      <c r="M60" s="4"/>
      <c r="N60" s="4"/>
      <c r="O60" s="4"/>
      <c r="P60" s="4"/>
      <c r="Q60" s="4"/>
    </row>
    <row r="61" spans="1:17" customHeight="1" ht="30">
      <c r="A61" s="4"/>
      <c r="B61" s="4"/>
      <c r="C61" s="4"/>
      <c r="D61" s="4"/>
      <c r="E61" s="4"/>
      <c r="F61" s="4"/>
      <c r="G61" s="4"/>
      <c r="H61" s="4"/>
      <c r="I61" s="4"/>
      <c r="J61" s="4"/>
      <c r="K61" s="4"/>
      <c r="L61" s="4"/>
      <c r="M61" s="4"/>
      <c r="N61" s="4"/>
      <c r="O61" s="4"/>
      <c r="P61" s="4"/>
      <c r="Q61" s="4"/>
    </row>
    <row r="62" spans="1:17" customHeight="1" ht="30">
      <c r="A62" s="4"/>
      <c r="B62" s="4"/>
      <c r="C62" s="4"/>
      <c r="D62" s="4"/>
      <c r="E62" s="4"/>
      <c r="F62" s="4"/>
      <c r="G62" s="4"/>
      <c r="H62" s="4"/>
      <c r="I62" s="4"/>
      <c r="J62" s="4"/>
      <c r="K62" s="4"/>
      <c r="L62" s="4"/>
      <c r="M62" s="4"/>
      <c r="N62" s="4"/>
      <c r="O62" s="4"/>
      <c r="P62" s="4"/>
      <c r="Q62" s="4"/>
    </row>
    <row r="63" spans="1:17" customHeight="1" ht="30">
      <c r="A63" s="4"/>
      <c r="B63" s="4"/>
      <c r="C63" s="4"/>
      <c r="D63" s="4"/>
      <c r="E63" s="4"/>
      <c r="F63" s="4"/>
      <c r="G63" s="4"/>
      <c r="H63" s="4"/>
      <c r="I63" s="4"/>
      <c r="J63" s="4"/>
      <c r="K63" s="4"/>
      <c r="L63" s="4"/>
      <c r="M63" s="4"/>
      <c r="N63" s="4"/>
      <c r="O63" s="4"/>
      <c r="P63" s="4"/>
      <c r="Q63" s="4"/>
    </row>
    <row r="64" spans="1:17" customHeight="1" ht="30">
      <c r="A64" s="4"/>
      <c r="B64" s="4"/>
      <c r="C64" s="4"/>
      <c r="D64" s="4"/>
      <c r="E64" s="4"/>
      <c r="F64" s="4"/>
      <c r="G64" s="4"/>
      <c r="H64" s="4"/>
      <c r="I64" s="4"/>
      <c r="J64" s="4"/>
      <c r="K64" s="4"/>
      <c r="L64" s="4"/>
      <c r="M64" s="4"/>
      <c r="N64" s="4"/>
      <c r="O64" s="4"/>
      <c r="P64" s="4"/>
      <c r="Q64" s="4"/>
    </row>
    <row r="65" spans="1:17" customHeight="1" ht="30">
      <c r="A65" s="4"/>
      <c r="B65" s="4"/>
      <c r="C65" s="4"/>
      <c r="D65" s="4"/>
      <c r="E65" s="4"/>
      <c r="F65" s="4"/>
      <c r="G65" s="4"/>
      <c r="H65" s="4"/>
      <c r="I65" s="4"/>
      <c r="J65" s="4"/>
      <c r="K65" s="4"/>
      <c r="L65" s="4"/>
      <c r="M65" s="4"/>
      <c r="N65" s="4"/>
      <c r="O65" s="4"/>
      <c r="P65" s="4"/>
      <c r="Q65" s="4"/>
    </row>
    <row r="66" spans="1:17" customHeight="1" ht="30">
      <c r="A66" s="4"/>
      <c r="B66" s="4"/>
      <c r="C66" s="4"/>
      <c r="D66" s="4"/>
      <c r="E66" s="4"/>
      <c r="F66" s="4"/>
      <c r="G66" s="4"/>
      <c r="H66" s="4"/>
      <c r="I66" s="4"/>
      <c r="J66" s="4"/>
      <c r="K66" s="4"/>
      <c r="L66" s="4"/>
      <c r="M66" s="4"/>
      <c r="N66" s="4"/>
      <c r="O66" s="4"/>
      <c r="P66" s="4"/>
      <c r="Q66" s="4"/>
    </row>
    <row r="67" spans="1:17" customHeight="1" ht="30">
      <c r="A67" s="4"/>
      <c r="B67" s="4"/>
      <c r="C67" s="4"/>
      <c r="D67" s="4"/>
      <c r="E67" s="4"/>
      <c r="F67" s="4"/>
      <c r="G67" s="4"/>
      <c r="H67" s="4"/>
      <c r="I67" s="4"/>
      <c r="J67" s="4"/>
      <c r="K67" s="4"/>
      <c r="L67" s="4"/>
      <c r="M67" s="4"/>
      <c r="N67" s="4"/>
      <c r="O67" s="4"/>
      <c r="P67" s="4"/>
      <c r="Q67" s="4"/>
    </row>
    <row r="68" spans="1:17" customHeight="1" ht="30">
      <c r="A68" s="4"/>
      <c r="B68" s="4"/>
      <c r="C68" s="4"/>
      <c r="D68" s="4"/>
      <c r="E68" s="4"/>
      <c r="F68" s="4"/>
      <c r="G68" s="4"/>
      <c r="H68" s="4"/>
      <c r="I68" s="4"/>
      <c r="J68" s="4"/>
      <c r="K68" s="4"/>
      <c r="L68" s="4"/>
      <c r="M68" s="4"/>
      <c r="N68" s="4"/>
      <c r="O68" s="4"/>
      <c r="P68" s="4"/>
      <c r="Q68" s="4"/>
    </row>
    <row r="69" spans="1:17" customHeight="1" ht="30">
      <c r="A69" s="4"/>
      <c r="B69" s="4"/>
      <c r="C69" s="4"/>
      <c r="D69" s="4"/>
      <c r="E69" s="4"/>
      <c r="F69" s="4"/>
      <c r="G69" s="4"/>
      <c r="H69" s="4"/>
      <c r="I69" s="4"/>
      <c r="J69" s="4"/>
      <c r="K69" s="4"/>
      <c r="L69" s="4"/>
      <c r="M69" s="4"/>
      <c r="N69" s="4"/>
      <c r="O69" s="4"/>
      <c r="P69" s="4"/>
      <c r="Q69" s="4"/>
    </row>
    <row r="70" spans="1:17" customHeight="1" ht="30">
      <c r="A70" s="4"/>
      <c r="B70" s="4"/>
      <c r="C70" s="4"/>
      <c r="D70" s="4"/>
      <c r="E70" s="4"/>
      <c r="F70" s="4"/>
      <c r="G70" s="4"/>
      <c r="H70" s="4"/>
      <c r="I70" s="4"/>
      <c r="J70" s="4"/>
      <c r="K70" s="4"/>
      <c r="L70" s="4"/>
      <c r="M70" s="4"/>
      <c r="N70" s="4"/>
      <c r="O70" s="4"/>
      <c r="P70" s="4"/>
      <c r="Q70" s="4"/>
    </row>
    <row r="71" spans="1:17" customHeight="1" ht="30">
      <c r="A71" s="4"/>
      <c r="B71" s="4"/>
      <c r="C71" s="4"/>
      <c r="D71" s="4"/>
      <c r="E71" s="4"/>
      <c r="F71" s="4"/>
      <c r="G71" s="4"/>
      <c r="H71" s="4"/>
      <c r="I71" s="4"/>
      <c r="J71" s="4"/>
      <c r="K71" s="4"/>
      <c r="L71" s="4"/>
      <c r="M71" s="4"/>
      <c r="N71" s="4"/>
      <c r="O71" s="4"/>
      <c r="P71" s="4"/>
      <c r="Q71" s="4"/>
    </row>
    <row r="72" spans="1:17" customHeight="1" ht="30">
      <c r="A72" s="4"/>
      <c r="B72" s="4"/>
      <c r="C72" s="4"/>
      <c r="D72" s="4"/>
      <c r="E72" s="4"/>
      <c r="F72" s="4"/>
      <c r="G72" s="4"/>
      <c r="H72" s="4"/>
      <c r="I72" s="4"/>
      <c r="J72" s="4"/>
      <c r="K72" s="4"/>
      <c r="L72" s="4"/>
      <c r="M72" s="4"/>
      <c r="N72" s="4"/>
      <c r="O72" s="4"/>
      <c r="P72" s="4"/>
      <c r="Q72" s="4"/>
    </row>
    <row r="73" spans="1:17" customHeight="1" ht="30">
      <c r="A73" s="4"/>
      <c r="B73" s="4"/>
      <c r="C73" s="4"/>
      <c r="D73" s="4"/>
      <c r="E73" s="4"/>
      <c r="F73" s="4"/>
      <c r="G73" s="4"/>
      <c r="H73" s="4"/>
      <c r="I73" s="4"/>
      <c r="J73" s="4"/>
      <c r="K73" s="4"/>
      <c r="L73" s="4"/>
      <c r="M73" s="4"/>
      <c r="N73" s="4"/>
      <c r="O73" s="4"/>
      <c r="P73" s="4"/>
      <c r="Q73" s="4"/>
    </row>
    <row r="74" spans="1:17" customHeight="1" ht="30">
      <c r="A74" s="4"/>
      <c r="B74" s="4"/>
      <c r="C74" s="4"/>
      <c r="D74" s="4"/>
      <c r="E74" s="4"/>
      <c r="F74" s="4"/>
      <c r="G74" s="4"/>
      <c r="H74" s="4"/>
      <c r="I74" s="4"/>
      <c r="J74" s="4"/>
      <c r="K74" s="4"/>
      <c r="L74" s="4"/>
      <c r="M74" s="4"/>
      <c r="N74" s="4"/>
      <c r="O74" s="4"/>
      <c r="P74" s="4"/>
      <c r="Q74" s="4"/>
    </row>
    <row r="75" spans="1:17" customHeight="1" ht="30">
      <c r="A75" s="4"/>
      <c r="B75" s="4"/>
      <c r="C75" s="4"/>
      <c r="D75" s="4"/>
      <c r="E75" s="4"/>
      <c r="F75" s="4"/>
      <c r="G75" s="4"/>
      <c r="H75" s="4"/>
      <c r="I75" s="4"/>
      <c r="J75" s="4"/>
      <c r="K75" s="4"/>
      <c r="L75" s="4"/>
      <c r="M75" s="4"/>
      <c r="N75" s="4"/>
      <c r="O75" s="4"/>
      <c r="P75" s="4"/>
      <c r="Q75" s="4"/>
    </row>
    <row r="76" spans="1:17" customHeight="1" ht="30">
      <c r="A76" s="4"/>
      <c r="B76" s="4"/>
      <c r="C76" s="4"/>
      <c r="D76" s="4"/>
      <c r="E76" s="4"/>
      <c r="F76" s="4"/>
      <c r="G76" s="4"/>
      <c r="H76" s="4"/>
      <c r="I76" s="4"/>
      <c r="J76" s="4"/>
      <c r="K76" s="4"/>
      <c r="L76" s="4"/>
      <c r="M76" s="4"/>
      <c r="N76" s="4"/>
      <c r="O76" s="4"/>
      <c r="P76" s="4"/>
      <c r="Q76" s="4"/>
    </row>
    <row r="77" spans="1:17" customHeight="1" ht="30">
      <c r="A77" s="4"/>
      <c r="B77" s="4"/>
      <c r="C77" s="4"/>
      <c r="D77" s="4"/>
      <c r="E77" s="4"/>
      <c r="F77" s="4"/>
      <c r="G77" s="4"/>
      <c r="H77" s="4"/>
      <c r="I77" s="4"/>
      <c r="J77" s="4"/>
      <c r="K77" s="4"/>
      <c r="L77" s="4"/>
      <c r="M77" s="4"/>
      <c r="N77" s="4"/>
      <c r="O77" s="4"/>
      <c r="P77" s="4"/>
      <c r="Q77" s="4"/>
    </row>
    <row r="78" spans="1:17" customHeight="1" ht="30">
      <c r="A78" s="4"/>
      <c r="B78" s="4"/>
      <c r="C78" s="4"/>
      <c r="D78" s="4"/>
      <c r="E78" s="4"/>
      <c r="F78" s="4"/>
      <c r="G78" s="4"/>
      <c r="H78" s="4"/>
      <c r="I78" s="4"/>
      <c r="J78" s="4"/>
      <c r="K78" s="4"/>
      <c r="L78" s="4"/>
      <c r="M78" s="4"/>
      <c r="N78" s="4"/>
      <c r="O78" s="4"/>
      <c r="P78" s="4"/>
      <c r="Q78" s="4"/>
    </row>
    <row r="79" spans="1:17" customHeight="1" ht="30">
      <c r="A79" s="4"/>
      <c r="B79" s="4"/>
      <c r="C79" s="4"/>
      <c r="D79" s="4"/>
      <c r="E79" s="4"/>
      <c r="F79" s="4"/>
      <c r="G79" s="4"/>
      <c r="H79" s="4"/>
      <c r="I79" s="4"/>
      <c r="J79" s="4"/>
      <c r="K79" s="4"/>
      <c r="L79" s="4"/>
      <c r="M79" s="4"/>
      <c r="N79" s="4"/>
      <c r="O79" s="4"/>
      <c r="P79" s="4"/>
      <c r="Q79" s="4"/>
    </row>
    <row r="80" spans="1:17" customHeight="1" ht="30">
      <c r="A80" s="4"/>
      <c r="B80" s="4"/>
      <c r="C80" s="4"/>
      <c r="D80" s="4"/>
      <c r="E80" s="4"/>
      <c r="F80" s="4"/>
      <c r="G80" s="4"/>
      <c r="H80" s="4"/>
      <c r="I80" s="4"/>
      <c r="J80" s="4"/>
      <c r="K80" s="4"/>
      <c r="L80" s="4"/>
      <c r="M80" s="4"/>
      <c r="N80" s="4"/>
      <c r="O80" s="4"/>
      <c r="P80" s="4"/>
      <c r="Q80" s="4"/>
    </row>
    <row r="81" spans="1:17" customHeight="1" ht="30">
      <c r="A81" s="4"/>
      <c r="B81" s="4"/>
      <c r="C81" s="4"/>
      <c r="D81" s="4"/>
      <c r="E81" s="4"/>
      <c r="F81" s="4"/>
      <c r="G81" s="4"/>
      <c r="H81" s="4"/>
      <c r="I81" s="4"/>
      <c r="J81" s="4"/>
      <c r="K81" s="4"/>
      <c r="L81" s="4"/>
      <c r="M81" s="4"/>
      <c r="N81" s="4"/>
      <c r="O81" s="4"/>
      <c r="P81" s="4"/>
      <c r="Q81" s="4"/>
    </row>
    <row r="82" spans="1:17" customHeight="1" ht="30">
      <c r="A82" s="4"/>
      <c r="B82" s="4"/>
      <c r="C82" s="4"/>
      <c r="D82" s="4"/>
      <c r="E82" s="4"/>
      <c r="F82" s="4"/>
      <c r="G82" s="4"/>
      <c r="H82" s="4"/>
      <c r="I82" s="4"/>
      <c r="J82" s="4"/>
      <c r="K82" s="4"/>
      <c r="L82" s="4"/>
      <c r="M82" s="4"/>
      <c r="N82" s="4"/>
      <c r="O82" s="4"/>
      <c r="P82" s="4"/>
      <c r="Q82" s="4"/>
    </row>
    <row r="83" spans="1:17" customHeight="1" ht="30">
      <c r="A83" s="4"/>
      <c r="B83" s="4"/>
      <c r="C83" s="4"/>
      <c r="D83" s="4"/>
      <c r="E83" s="4"/>
      <c r="F83" s="4"/>
      <c r="G83" s="4"/>
      <c r="H83" s="4"/>
      <c r="I83" s="4"/>
      <c r="J83" s="4"/>
      <c r="K83" s="4"/>
      <c r="L83" s="4"/>
      <c r="M83" s="4"/>
      <c r="N83" s="4"/>
      <c r="O83" s="4"/>
      <c r="P83" s="4"/>
      <c r="Q83" s="4"/>
    </row>
  </sheetData>
  <autoFilter ref="A3:Q83"/>
  <mergeCells>
    <mergeCell ref="A1:Q1"/>
    <mergeCell ref="A2:Q2"/>
  </mergeCells>
  <conditionalFormatting sqref="I4:I83">
    <cfRule type="cellIs" dxfId="5" priority="1" operator="equal">
      <formula>"Critical"</formula>
    </cfRule>
    <cfRule type="cellIs" dxfId="6" priority="2" operator="equal">
      <formula>"Major"</formula>
    </cfRule>
    <cfRule type="cellIs" dxfId="7" priority="3" operator="equal">
      <formula>"Minor"</formula>
    </cfRule>
    <cfRule type="cellIs" dxfId="8" priority="4" operator="equal">
      <formula>"Cosmetic"</formula>
    </cfRule>
  </conditionalFormatting>
  <conditionalFormatting sqref="O4:O83">
    <cfRule type="cellIs" dxfId="9" priority="5" operator="equal">
      <formula>"Open"</formula>
    </cfRule>
    <cfRule type="cellIs" dxfId="10" priority="6" operator="equal">
      <formula>"In Progress"</formula>
    </cfRule>
    <cfRule type="cellIs" dxfId="11" priority="7" operator="equal">
      <formula>"Fixed"</formula>
    </cfRule>
    <cfRule type="cellIs" dxfId="12" priority="8" operator="equal">
      <formula>"Retest"</formula>
    </cfRule>
    <cfRule type="cellIs" dxfId="13" priority="9" operator="equal">
      <formula>"Closed"</formula>
    </cfRule>
    <cfRule type="cellIs" dxfId="14" priority="10" operator="equal">
      <formula>"Reopened"</formula>
    </cfRule>
  </conditionalFormatting>
  <conditionalFormatting sqref="Q4:Q83">
    <cfRule type="cellIs" dxfId="0" priority="11" operator="equal">
      <formula>"Pass"</formula>
    </cfRule>
    <cfRule type="cellIs" dxfId="1" priority="12" operator="equal">
      <formula>"Fail"</formula>
    </cfRule>
  </conditionalFormatting>
  <dataValidations count="4">
    <dataValidation type="list" errorStyle="stop" operator="between" allowBlank="1" showDropDown="0" showInputMessage="1" showErrorMessage="1" errorTitle="Value not allowed" error="Choose a value from the list." promptTitle="Severity" prompt="How badly does this hurt the customer or the business?" sqref="I4:I83">
      <formula1>"Critical,Major,Minor,Cosmetic"</formula1>
    </dataValidation>
    <dataValidation type="list" errorStyle="stop" operator="between" allowBlank="1" showDropDown="0" showInputMessage="1" showErrorMessage="1" errorTitle="Value not allowed" error="Choose a value from the list." promptTitle="Priority" prompt="How soon must this be fixed?" sqref="J4:J83">
      <formula1>"Critical,High,Medium,Low"</formula1>
    </dataValidation>
    <dataValidation type="list" errorStyle="stop" operator="between" allowBlank="1" showDropDown="0" showInputMessage="1" showErrorMessage="1" errorTitle="Value not allowed" error="Choose a value from the list." promptTitle="Status" prompt="Defect workflow state." sqref="O4:O83">
      <formula1>"Open,In Progress,Fixed,Retest,Closed,Reopened,Deferred,Rejected,Duplicate,Not a Defect"</formula1>
    </dataValidation>
    <dataValidation type="list" errorStyle="stop" operator="between" allowBlank="1" showDropDown="0" showInputMessage="1" showErrorMessage="1" errorTitle="Value not allowed" error="Choose a value from the list." promptTitle="Retest Result" prompt="Result of retesting after the fix." sqref="Q4:Q83">
      <formula1>"Not Retested,Pass,Fail"</formula1>
    </dataValidation>
  </dataValidations>
  <printOptions gridLines="false" gridLinesSet="true"/>
  <pageMargins left="0.7" right="0.7" top="0.75" bottom="0.75" header="0.3" footer="0.3"/>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Test Case Summary</vt:lpstr>
      <vt:lpstr>Test Data</vt:lpstr>
      <vt:lpstr>Business Registration</vt:lpstr>
      <vt:lpstr>Business Profile</vt:lpstr>
      <vt:lpstr>Trade Registration</vt:lpstr>
      <vt:lpstr>Trade Approval</vt:lpstr>
      <vt:lpstr>Trade Rejection</vt:lpstr>
      <vt:lpstr>Trade Suspension</vt:lpstr>
      <vt:lpstr>Pricing &amp; Quantity Bands</vt:lpstr>
      <vt:lpstr>Cart &amp; Cart Repricing</vt:lpstr>
      <vt:lpstr>VAT &amp; Tax</vt:lpstr>
      <vt:lpstr>Checkout</vt:lpstr>
      <vt:lpstr>Payment</vt:lpstr>
      <vt:lpstr>Orders</vt:lpstr>
      <vt:lpstr>Invoice</vt:lpstr>
      <vt:lpstr>Email Notifications</vt:lpstr>
      <vt:lpstr>Admin</vt:lpstr>
      <vt:lpstr>Security &amp; Authorization</vt:lpstr>
      <vt:lpstr>Mobile &amp; Responsive</vt:lpstr>
      <vt:lpstr>Regression Testing</vt:lpstr>
      <vt:lpstr>End-to-End Scenarios</vt:lpstr>
      <vt:lpstr>Admin Customer Preview</vt:lpstr>
      <vt:lpstr>Wizard Type Switching</vt:lpstr>
      <vt:lpstr>Suspended Account Access</vt:lpstr>
      <vt:lpstr>Defect Log</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cp:lastModifiedBy>Unknown Creator</cp:lastModifiedBy>
  <dcterms:created xsi:type="dcterms:W3CDTF">2026-09-15T09:35:08+02:00</dcterms:created>
  <dcterms:modified xsi:type="dcterms:W3CDTF">2026-09-15T09:35:08+02:00</dcterms:modified>
  <dc:title>Business &amp; Trade Account - Manual Test Cases</dc:title>
  <dc:description>Step-by-step manual test cases for Business and Trade account functionality.</dc:description>
  <dc:subject>Manual QA test pack</dc:subject>
  <cp:keywords/>
  <cp:category/>
</cp:coreProperties>
</file>